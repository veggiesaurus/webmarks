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gus\Dropbox\UCT\WebMarks\"/>
    </mc:Choice>
  </mc:AlternateContent>
  <bookViews>
    <workbookView xWindow="0" yWindow="0" windowWidth="19200" windowHeight="11595" tabRatio="1000" activeTab="5"/>
  </bookViews>
  <sheets>
    <sheet name="VULA LAB" sheetId="31" r:id="rId1"/>
    <sheet name="VULA TUTORIALS" sheetId="32" r:id="rId2"/>
    <sheet name="SUMMARY SHEET BEFORE SUPP" sheetId="15" r:id="rId3"/>
    <sheet name="SUMMARY SHEET AFTER SUPP " sheetId="28" r:id="rId4"/>
    <sheet name="WEB APP Config" sheetId="35" r:id="rId5"/>
    <sheet name="Macro Controls" sheetId="33" r:id="rId6"/>
    <sheet name="Peoplesoft Classlist" sheetId="17" r:id="rId7"/>
    <sheet name="MASTER" sheetId="13" r:id="rId8"/>
    <sheet name="LAB EXAM" sheetId="1" r:id="rId9"/>
    <sheet name="LAB AFTERNOON" sheetId="2" r:id="rId10"/>
    <sheet name="TUTORIALS" sheetId="3" r:id="rId11"/>
    <sheet name="WPS" sheetId="4" r:id="rId12"/>
    <sheet name="CT1" sheetId="5" r:id="rId13"/>
    <sheet name="CT2" sheetId="6" r:id="rId14"/>
    <sheet name="CT3" sheetId="20" r:id="rId15"/>
    <sheet name="CT4" sheetId="21" r:id="rId16"/>
    <sheet name="CT5" sheetId="27" r:id="rId17"/>
    <sheet name="CLASS TESTS" sheetId="7" r:id="rId18"/>
    <sheet name="OTHER 1" sheetId="8" r:id="rId19"/>
    <sheet name="OTHER 2" sheetId="10" r:id="rId20"/>
    <sheet name="OTHER 3" sheetId="9" r:id="rId21"/>
    <sheet name="DP RULES" sheetId="34" r:id="rId22"/>
    <sheet name="FINAL EXAM P1" sheetId="14" r:id="rId23"/>
    <sheet name="FINAL EXAM P2" sheetId="22" r:id="rId24"/>
    <sheet name="SUPP EXAM" sheetId="16" r:id="rId25"/>
    <sheet name="DEFERRED EXAM" sheetId="23" r:id="rId26"/>
  </sheets>
  <functionGroups builtInGroupCount="18"/>
  <definedNames>
    <definedName name="_xlnm._FilterDatabase" localSheetId="7" hidden="1">MASTER!$A$10:$AD$11</definedName>
    <definedName name="CATEGORY_NAME_CELL">'WEB APP Config'!$A$8</definedName>
    <definedName name="COURSE_NAME">'WEB APP Config'!$B$3</definedName>
    <definedName name="DISPLAY_HISTOGRAM_CELL">'WEB APP Config'!$C$8</definedName>
    <definedName name="MULTI_SHEET_CELL">'WEB APP Config'!$H$8</definedName>
    <definedName name="NUM_CATS">'WEB APP Config'!$B$7</definedName>
    <definedName name="_xlnm.Print_Area" localSheetId="3">'SUMMARY SHEET AFTER SUPP '!$B$2:$T$61</definedName>
    <definedName name="_xlnm.Print_Area" localSheetId="2">'SUMMARY SHEET BEFORE SUPP'!$B$2:$T$57</definedName>
    <definedName name="_xlnm.Print_Titles" localSheetId="17">'CLASS TESTS'!$1:$6</definedName>
    <definedName name="_xlnm.Print_Titles" localSheetId="12">'CT1'!$1:$5</definedName>
    <definedName name="_xlnm.Print_Titles" localSheetId="13">'CT2'!$1:$5</definedName>
    <definedName name="_xlnm.Print_Titles" localSheetId="14">'CT3'!$1:$5</definedName>
    <definedName name="_xlnm.Print_Titles" localSheetId="15">'CT4'!$1:$5</definedName>
    <definedName name="_xlnm.Print_Titles" localSheetId="16">'CT5'!$1:$5</definedName>
    <definedName name="_xlnm.Print_Titles" localSheetId="25">'DEFERRED EXAM'!$1:$5</definedName>
    <definedName name="_xlnm.Print_Titles" localSheetId="21">'DP RULES'!$1:$4</definedName>
    <definedName name="_xlnm.Print_Titles" localSheetId="22">'FINAL EXAM P1'!$1:$5</definedName>
    <definedName name="_xlnm.Print_Titles" localSheetId="23">'FINAL EXAM P2'!$1:$5</definedName>
    <definedName name="_xlnm.Print_Titles" localSheetId="9">'LAB AFTERNOON'!$1:$6</definedName>
    <definedName name="_xlnm.Print_Titles" localSheetId="8">'LAB EXAM'!$1:$5</definedName>
    <definedName name="_xlnm.Print_Titles" localSheetId="7">MASTER!$3:$10</definedName>
    <definedName name="_xlnm.Print_Titles" localSheetId="18">'OTHER 1'!$1:$5</definedName>
    <definedName name="_xlnm.Print_Titles" localSheetId="19">'OTHER 2'!$1:$5</definedName>
    <definedName name="_xlnm.Print_Titles" localSheetId="20">'OTHER 3'!$1:$5</definedName>
    <definedName name="_xlnm.Print_Titles" localSheetId="24">'SUPP EXAM'!$1:$5</definedName>
    <definedName name="_xlnm.Print_Titles" localSheetId="10">TUTORIALS!$1:$6</definedName>
    <definedName name="_xlnm.Print_Titles" localSheetId="11">WPS!$1:$6</definedName>
    <definedName name="SINGLE_SHEET_CELL">'WEB APP Config'!$D$8</definedName>
    <definedName name="STUDENT_ID_CELL">'WEB APP Config'!$B$2</definedName>
    <definedName name="TABLE_PREFIX">'WEB APP Config'!$B$1</definedName>
    <definedName name="TYPE_CELL">'WEB APP Config'!$B$8</definedName>
  </definedNames>
  <calcPr calcId="152511"/>
</workbook>
</file>

<file path=xl/calcChain.xml><?xml version="1.0" encoding="utf-8"?>
<calcChain xmlns="http://schemas.openxmlformats.org/spreadsheetml/2006/main">
  <c r="F15" i="23" l="1"/>
  <c r="F14" i="23"/>
  <c r="F13" i="23"/>
  <c r="F12" i="23"/>
  <c r="F11" i="23"/>
  <c r="F10" i="23"/>
  <c r="F9" i="23"/>
  <c r="F8" i="23"/>
  <c r="F7" i="23"/>
  <c r="F15" i="16"/>
  <c r="F14" i="16"/>
  <c r="F13" i="16"/>
  <c r="F12" i="16"/>
  <c r="F11" i="16"/>
  <c r="F10" i="16"/>
  <c r="F9" i="16"/>
  <c r="F8" i="16"/>
  <c r="F7" i="16"/>
  <c r="F15" i="22"/>
  <c r="F14" i="22"/>
  <c r="F13" i="22"/>
  <c r="U18" i="13" s="1"/>
  <c r="F12" i="22"/>
  <c r="U17" i="13" s="1"/>
  <c r="F11" i="22"/>
  <c r="U16" i="13" s="1"/>
  <c r="F10" i="22"/>
  <c r="U15" i="13" s="1"/>
  <c r="F9" i="22"/>
  <c r="U14" i="13" s="1"/>
  <c r="F8" i="22"/>
  <c r="F7" i="22"/>
  <c r="F15" i="14"/>
  <c r="T20" i="13" s="1"/>
  <c r="F14" i="14"/>
  <c r="F13" i="14"/>
  <c r="T18" i="13" s="1"/>
  <c r="F12" i="14"/>
  <c r="F11" i="14"/>
  <c r="T16" i="13" s="1"/>
  <c r="F10" i="14"/>
  <c r="F9" i="14"/>
  <c r="F8" i="14"/>
  <c r="F7" i="14"/>
  <c r="T12" i="13" s="1"/>
  <c r="X10" i="34"/>
  <c r="X9" i="34"/>
  <c r="F15" i="9"/>
  <c r="Q20" i="13" s="1"/>
  <c r="F14" i="9"/>
  <c r="Z13" i="34" s="1"/>
  <c r="F13" i="9"/>
  <c r="Z12" i="34" s="1"/>
  <c r="F12" i="9"/>
  <c r="Z11" i="34" s="1"/>
  <c r="F11" i="9"/>
  <c r="Z10" i="34" s="1"/>
  <c r="F10" i="9"/>
  <c r="Z9" i="34" s="1"/>
  <c r="F9" i="9"/>
  <c r="Q14" i="13" s="1"/>
  <c r="F8" i="9"/>
  <c r="Z7" i="34" s="1"/>
  <c r="F7" i="9"/>
  <c r="Z6" i="34" s="1"/>
  <c r="F15" i="10"/>
  <c r="P20" i="13" s="1"/>
  <c r="F14" i="10"/>
  <c r="Y13" i="34" s="1"/>
  <c r="F13" i="10"/>
  <c r="Y12" i="34" s="1"/>
  <c r="F12" i="10"/>
  <c r="P17" i="13" s="1"/>
  <c r="F11" i="10"/>
  <c r="Y10" i="34" s="1"/>
  <c r="F10" i="10"/>
  <c r="P15" i="13" s="1"/>
  <c r="F9" i="10"/>
  <c r="Y8" i="34" s="1"/>
  <c r="F8" i="10"/>
  <c r="Y7" i="34" s="1"/>
  <c r="F7" i="10"/>
  <c r="P12" i="13" s="1"/>
  <c r="F15" i="8"/>
  <c r="O20" i="13" s="1"/>
  <c r="F14" i="8"/>
  <c r="O19" i="13" s="1"/>
  <c r="F13" i="8"/>
  <c r="X12" i="34" s="1"/>
  <c r="F12" i="8"/>
  <c r="X11" i="34" s="1"/>
  <c r="F11" i="8"/>
  <c r="F10" i="8"/>
  <c r="F9" i="8"/>
  <c r="O14" i="13" s="1"/>
  <c r="F8" i="8"/>
  <c r="O13" i="13" s="1"/>
  <c r="F7" i="8"/>
  <c r="O12" i="13" s="1"/>
  <c r="K16" i="7"/>
  <c r="J15" i="7"/>
  <c r="J13" i="7"/>
  <c r="I12" i="7"/>
  <c r="G12" i="7"/>
  <c r="J11" i="7"/>
  <c r="I10" i="7"/>
  <c r="J9" i="7"/>
  <c r="J8" i="7"/>
  <c r="H8" i="7"/>
  <c r="E15" i="27"/>
  <c r="E14" i="27"/>
  <c r="K15" i="7" s="1"/>
  <c r="E13" i="27"/>
  <c r="E12" i="27"/>
  <c r="E11" i="27"/>
  <c r="E10" i="27"/>
  <c r="E9" i="27"/>
  <c r="K10" i="7" s="1"/>
  <c r="E8" i="27"/>
  <c r="E7" i="27"/>
  <c r="K8" i="7" s="1"/>
  <c r="E15" i="21"/>
  <c r="E14" i="21"/>
  <c r="E13" i="21"/>
  <c r="E12" i="21"/>
  <c r="E11" i="21"/>
  <c r="J12" i="7" s="1"/>
  <c r="E10" i="21"/>
  <c r="E9" i="21"/>
  <c r="J10" i="7" s="1"/>
  <c r="E8" i="21"/>
  <c r="E7" i="21"/>
  <c r="E15" i="20"/>
  <c r="E14" i="20"/>
  <c r="E13" i="20"/>
  <c r="I14" i="7" s="1"/>
  <c r="E12" i="20"/>
  <c r="E11" i="20"/>
  <c r="E10" i="20"/>
  <c r="E9" i="20"/>
  <c r="E8" i="20"/>
  <c r="I9" i="7" s="1"/>
  <c r="E7" i="20"/>
  <c r="E15" i="6"/>
  <c r="H16" i="7" s="1"/>
  <c r="E14" i="6"/>
  <c r="E13" i="6"/>
  <c r="H14" i="7" s="1"/>
  <c r="E12" i="6"/>
  <c r="E11" i="6"/>
  <c r="H12" i="7" s="1"/>
  <c r="E10" i="6"/>
  <c r="E9" i="6"/>
  <c r="E8" i="6"/>
  <c r="H9" i="7" s="1"/>
  <c r="E7" i="6"/>
  <c r="E15" i="5"/>
  <c r="G16" i="7" s="1"/>
  <c r="E14" i="5"/>
  <c r="E13" i="5"/>
  <c r="E12" i="5"/>
  <c r="E11" i="5"/>
  <c r="F11" i="5" s="1"/>
  <c r="N10" i="34" s="1"/>
  <c r="E10" i="5"/>
  <c r="F10" i="5" s="1"/>
  <c r="N9" i="34" s="1"/>
  <c r="E9" i="5"/>
  <c r="E8" i="5"/>
  <c r="E7" i="5"/>
  <c r="F16" i="4"/>
  <c r="K20" i="13" s="1"/>
  <c r="E16" i="4"/>
  <c r="F15" i="4"/>
  <c r="T13" i="34" s="1"/>
  <c r="E15" i="4"/>
  <c r="F14" i="4"/>
  <c r="T12" i="34" s="1"/>
  <c r="E14" i="4"/>
  <c r="F13" i="4"/>
  <c r="T11" i="34" s="1"/>
  <c r="E13" i="4"/>
  <c r="F12" i="4"/>
  <c r="K16" i="13" s="1"/>
  <c r="E12" i="4"/>
  <c r="F11" i="4"/>
  <c r="T9" i="34" s="1"/>
  <c r="E11" i="4"/>
  <c r="F10" i="4"/>
  <c r="T8" i="34" s="1"/>
  <c r="E10" i="4"/>
  <c r="F9" i="4"/>
  <c r="K13" i="13" s="1"/>
  <c r="E9" i="4"/>
  <c r="F8" i="4"/>
  <c r="T6" i="34" s="1"/>
  <c r="E8" i="4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P12" i="3"/>
  <c r="O12" i="3"/>
  <c r="N12" i="3"/>
  <c r="M12" i="3"/>
  <c r="L12" i="3"/>
  <c r="K12" i="3"/>
  <c r="J12" i="3"/>
  <c r="I12" i="3"/>
  <c r="H12" i="3"/>
  <c r="G12" i="3"/>
  <c r="F12" i="3"/>
  <c r="E12" i="3"/>
  <c r="P11" i="3"/>
  <c r="O11" i="3"/>
  <c r="N11" i="3"/>
  <c r="M11" i="3"/>
  <c r="L11" i="3"/>
  <c r="K11" i="3"/>
  <c r="J11" i="3"/>
  <c r="I11" i="3"/>
  <c r="H11" i="3"/>
  <c r="G11" i="3"/>
  <c r="F11" i="3"/>
  <c r="E11" i="3"/>
  <c r="P10" i="3"/>
  <c r="O10" i="3"/>
  <c r="N10" i="3"/>
  <c r="M10" i="3"/>
  <c r="L10" i="3"/>
  <c r="K10" i="3"/>
  <c r="J10" i="3"/>
  <c r="I10" i="3"/>
  <c r="H10" i="3"/>
  <c r="G10" i="3"/>
  <c r="F10" i="3"/>
  <c r="E10" i="3"/>
  <c r="P9" i="3"/>
  <c r="O9" i="3"/>
  <c r="N9" i="3"/>
  <c r="M9" i="3"/>
  <c r="L9" i="3"/>
  <c r="K9" i="3"/>
  <c r="J9" i="3"/>
  <c r="I9" i="3"/>
  <c r="H9" i="3"/>
  <c r="G9" i="3"/>
  <c r="F9" i="3"/>
  <c r="E9" i="3"/>
  <c r="P8" i="3"/>
  <c r="O8" i="3"/>
  <c r="N8" i="3"/>
  <c r="M8" i="3"/>
  <c r="L8" i="3"/>
  <c r="K8" i="3"/>
  <c r="J8" i="3"/>
  <c r="I8" i="3"/>
  <c r="H8" i="3"/>
  <c r="G8" i="3"/>
  <c r="F8" i="3"/>
  <c r="E8" i="3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G15" i="1"/>
  <c r="N20" i="13" s="1"/>
  <c r="G14" i="1"/>
  <c r="W13" i="34" s="1"/>
  <c r="G13" i="1"/>
  <c r="W12" i="34" s="1"/>
  <c r="G12" i="1"/>
  <c r="N17" i="13" s="1"/>
  <c r="G11" i="1"/>
  <c r="W10" i="34" s="1"/>
  <c r="G10" i="1"/>
  <c r="W9" i="34" s="1"/>
  <c r="G9" i="1"/>
  <c r="N14" i="13" s="1"/>
  <c r="G8" i="1"/>
  <c r="W7" i="34" s="1"/>
  <c r="G7" i="1"/>
  <c r="W6" i="34" s="1"/>
  <c r="U20" i="13"/>
  <c r="U19" i="13"/>
  <c r="T19" i="13"/>
  <c r="P19" i="13"/>
  <c r="N19" i="13"/>
  <c r="Q18" i="13"/>
  <c r="P18" i="13"/>
  <c r="O18" i="13"/>
  <c r="K18" i="13"/>
  <c r="T17" i="13"/>
  <c r="Q17" i="13"/>
  <c r="O17" i="13"/>
  <c r="K17" i="13"/>
  <c r="P16" i="13"/>
  <c r="O16" i="13"/>
  <c r="N16" i="13"/>
  <c r="E16" i="13"/>
  <c r="T15" i="13"/>
  <c r="Q15" i="13"/>
  <c r="O15" i="13"/>
  <c r="N15" i="13"/>
  <c r="K15" i="13"/>
  <c r="E15" i="13"/>
  <c r="T14" i="13"/>
  <c r="P14" i="13"/>
  <c r="K14" i="13"/>
  <c r="U13" i="13"/>
  <c r="T13" i="13"/>
  <c r="Q13" i="13"/>
  <c r="N13" i="13"/>
  <c r="U12" i="13"/>
  <c r="N12" i="13"/>
  <c r="K12" i="13"/>
  <c r="Q19" i="13" l="1"/>
  <c r="K13" i="7"/>
  <c r="Y9" i="34"/>
  <c r="T14" i="34"/>
  <c r="G11" i="7"/>
  <c r="Y14" i="34"/>
  <c r="H11" i="7"/>
  <c r="K12" i="7"/>
  <c r="J14" i="7"/>
  <c r="I16" i="7"/>
  <c r="T7" i="34"/>
  <c r="K9" i="7"/>
  <c r="I11" i="7"/>
  <c r="G13" i="7"/>
  <c r="K14" i="7"/>
  <c r="J16" i="7"/>
  <c r="G10" i="7"/>
  <c r="H13" i="7"/>
  <c r="H15" i="7"/>
  <c r="I8" i="7"/>
  <c r="H10" i="7"/>
  <c r="K11" i="7"/>
  <c r="I13" i="7"/>
  <c r="I15" i="7"/>
  <c r="X6" i="34"/>
  <c r="Z14" i="34"/>
  <c r="Q16" i="13"/>
  <c r="Y11" i="34"/>
  <c r="X13" i="34"/>
  <c r="X14" i="34"/>
  <c r="G15" i="7"/>
  <c r="G14" i="7"/>
  <c r="K19" i="13"/>
  <c r="T10" i="34"/>
  <c r="W14" i="34"/>
  <c r="N18" i="13"/>
  <c r="W11" i="34"/>
  <c r="Z8" i="34"/>
  <c r="Q12" i="13"/>
  <c r="P13" i="13"/>
  <c r="Y6" i="34"/>
  <c r="X8" i="34"/>
  <c r="X7" i="34"/>
  <c r="G9" i="7"/>
  <c r="G8" i="7"/>
  <c r="W8" i="34"/>
  <c r="R14" i="3"/>
  <c r="R12" i="3"/>
  <c r="R16" i="3"/>
  <c r="R9" i="3"/>
  <c r="AA10" i="2"/>
  <c r="AA11" i="2"/>
  <c r="AA15" i="2"/>
  <c r="R15" i="3"/>
  <c r="R13" i="3"/>
  <c r="R11" i="3"/>
  <c r="R10" i="3"/>
  <c r="R8" i="3"/>
  <c r="AA16" i="2"/>
  <c r="AA14" i="2"/>
  <c r="AA13" i="2"/>
  <c r="AA12" i="2"/>
  <c r="AA9" i="2"/>
  <c r="AA8" i="2"/>
  <c r="F6" i="22"/>
  <c r="Z3" i="34" l="1"/>
  <c r="Y3" i="34"/>
  <c r="X3" i="34"/>
  <c r="W3" i="34"/>
  <c r="V3" i="34"/>
  <c r="U3" i="34"/>
  <c r="T3" i="34"/>
  <c r="S3" i="34"/>
  <c r="R3" i="34"/>
  <c r="Q3" i="34"/>
  <c r="P3" i="34"/>
  <c r="O3" i="34"/>
  <c r="N3" i="34"/>
  <c r="AA4" i="34"/>
  <c r="H1597" i="17" l="1"/>
  <c r="H1596" i="17"/>
  <c r="H1595" i="17"/>
  <c r="H1594" i="17"/>
  <c r="H1593" i="17"/>
  <c r="H1592" i="17"/>
  <c r="H1591" i="17"/>
  <c r="H1590" i="17"/>
  <c r="H1589" i="17"/>
  <c r="H1588" i="17"/>
  <c r="H1587" i="17"/>
  <c r="H1586" i="17"/>
  <c r="H1585" i="17"/>
  <c r="H1584" i="17"/>
  <c r="H1583" i="17"/>
  <c r="H1582" i="17"/>
  <c r="H1581" i="17"/>
  <c r="H1580" i="17"/>
  <c r="H1579" i="17"/>
  <c r="H1578" i="17"/>
  <c r="H1577" i="17"/>
  <c r="H1576" i="17"/>
  <c r="H1575" i="17"/>
  <c r="H1574" i="17"/>
  <c r="H1573" i="17"/>
  <c r="H1572" i="17"/>
  <c r="H1571" i="17"/>
  <c r="H1570" i="17"/>
  <c r="H1569" i="17"/>
  <c r="H1568" i="17"/>
  <c r="H1567" i="17"/>
  <c r="H1566" i="17"/>
  <c r="H1565" i="17"/>
  <c r="H1564" i="17"/>
  <c r="H1563" i="17"/>
  <c r="H1562" i="17"/>
  <c r="H1561" i="17"/>
  <c r="H1560" i="17"/>
  <c r="H1559" i="17"/>
  <c r="H1558" i="17"/>
  <c r="H1557" i="17"/>
  <c r="H1556" i="17"/>
  <c r="H1555" i="17"/>
  <c r="H1554" i="17"/>
  <c r="H1553" i="17"/>
  <c r="H1552" i="17"/>
  <c r="H1551" i="17"/>
  <c r="H1550" i="17"/>
  <c r="H1549" i="17"/>
  <c r="H1548" i="17"/>
  <c r="H1547" i="17"/>
  <c r="H1546" i="17"/>
  <c r="H1545" i="17"/>
  <c r="H1544" i="17"/>
  <c r="H1543" i="17"/>
  <c r="H1542" i="17"/>
  <c r="H1541" i="17"/>
  <c r="H1540" i="17"/>
  <c r="H1539" i="17"/>
  <c r="H1538" i="17"/>
  <c r="H1537" i="17"/>
  <c r="H1536" i="17"/>
  <c r="H1535" i="17"/>
  <c r="H1534" i="17"/>
  <c r="H1533" i="17"/>
  <c r="H1532" i="17"/>
  <c r="H1531" i="17"/>
  <c r="H1530" i="17"/>
  <c r="H1529" i="17"/>
  <c r="H1528" i="17"/>
  <c r="H1527" i="17"/>
  <c r="H1526" i="17"/>
  <c r="H1525" i="17"/>
  <c r="H1524" i="17"/>
  <c r="H1523" i="17"/>
  <c r="H1522" i="17"/>
  <c r="H1521" i="17"/>
  <c r="H1520" i="17"/>
  <c r="H1519" i="17"/>
  <c r="H1518" i="17"/>
  <c r="H1517" i="17"/>
  <c r="H1516" i="17"/>
  <c r="H1515" i="17"/>
  <c r="H1514" i="17"/>
  <c r="H1513" i="17"/>
  <c r="H1512" i="17"/>
  <c r="H1511" i="17"/>
  <c r="H1510" i="17"/>
  <c r="H1509" i="17"/>
  <c r="H1508" i="17"/>
  <c r="H1507" i="17"/>
  <c r="H1506" i="17"/>
  <c r="H1505" i="17"/>
  <c r="H1504" i="17"/>
  <c r="H1503" i="17"/>
  <c r="H1502" i="17"/>
  <c r="H1501" i="17"/>
  <c r="H1500" i="17"/>
  <c r="H1499" i="17"/>
  <c r="H1498" i="17"/>
  <c r="H1497" i="17"/>
  <c r="H1496" i="17"/>
  <c r="H1495" i="17"/>
  <c r="H1494" i="17"/>
  <c r="H1493" i="17"/>
  <c r="H1492" i="17"/>
  <c r="H1491" i="17"/>
  <c r="H1490" i="17"/>
  <c r="H1489" i="17"/>
  <c r="H1488" i="17"/>
  <c r="H1487" i="17"/>
  <c r="H1486" i="17"/>
  <c r="H1485" i="17"/>
  <c r="H1484" i="17"/>
  <c r="H1483" i="17"/>
  <c r="H1482" i="17"/>
  <c r="H1481" i="17"/>
  <c r="H1480" i="17"/>
  <c r="H1479" i="17"/>
  <c r="H1478" i="17"/>
  <c r="H1477" i="17"/>
  <c r="H1476" i="17"/>
  <c r="H1475" i="17"/>
  <c r="H1474" i="17"/>
  <c r="H1473" i="17"/>
  <c r="H1472" i="17"/>
  <c r="H1471" i="17"/>
  <c r="H1470" i="17"/>
  <c r="H1469" i="17"/>
  <c r="H1468" i="17"/>
  <c r="H1467" i="17"/>
  <c r="H1466" i="17"/>
  <c r="H1465" i="17"/>
  <c r="H1464" i="17"/>
  <c r="H1463" i="17"/>
  <c r="H1462" i="17"/>
  <c r="H1461" i="17"/>
  <c r="H1460" i="17"/>
  <c r="H1459" i="17"/>
  <c r="H1458" i="17"/>
  <c r="H1457" i="17"/>
  <c r="H1456" i="17"/>
  <c r="H1455" i="17"/>
  <c r="H1454" i="17"/>
  <c r="H1453" i="17"/>
  <c r="H1452" i="17"/>
  <c r="H1451" i="17"/>
  <c r="H1450" i="17"/>
  <c r="H1449" i="17"/>
  <c r="H1448" i="17"/>
  <c r="H1447" i="17"/>
  <c r="H1446" i="17"/>
  <c r="H1445" i="17"/>
  <c r="H1444" i="17"/>
  <c r="H1443" i="17"/>
  <c r="H1442" i="17"/>
  <c r="H1441" i="17"/>
  <c r="H1440" i="17"/>
  <c r="H1439" i="17"/>
  <c r="H1438" i="17"/>
  <c r="H1437" i="17"/>
  <c r="H1436" i="17"/>
  <c r="H1435" i="17"/>
  <c r="H1434" i="17"/>
  <c r="H1433" i="17"/>
  <c r="H1432" i="17"/>
  <c r="H1431" i="17"/>
  <c r="H1430" i="17"/>
  <c r="H1429" i="17"/>
  <c r="H1428" i="17"/>
  <c r="H1427" i="17"/>
  <c r="H1426" i="17"/>
  <c r="H1425" i="17"/>
  <c r="H1424" i="17"/>
  <c r="H1423" i="17"/>
  <c r="H1422" i="17"/>
  <c r="H1421" i="17"/>
  <c r="H1420" i="17"/>
  <c r="H1419" i="17"/>
  <c r="H1418" i="17"/>
  <c r="H1417" i="17"/>
  <c r="H1416" i="17"/>
  <c r="H1415" i="17"/>
  <c r="H1414" i="17"/>
  <c r="H1413" i="17"/>
  <c r="H1412" i="17"/>
  <c r="H1411" i="17"/>
  <c r="H1410" i="17"/>
  <c r="H1409" i="17"/>
  <c r="H1408" i="17"/>
  <c r="H1407" i="17"/>
  <c r="H1406" i="17"/>
  <c r="H1405" i="17"/>
  <c r="H1404" i="17"/>
  <c r="H1403" i="17"/>
  <c r="H1402" i="17"/>
  <c r="H1401" i="17"/>
  <c r="H1400" i="17"/>
  <c r="H1399" i="17"/>
  <c r="H1398" i="17"/>
  <c r="H1397" i="17"/>
  <c r="H1396" i="17"/>
  <c r="H1395" i="17"/>
  <c r="H1394" i="17"/>
  <c r="H1393" i="17"/>
  <c r="H1392" i="17"/>
  <c r="H1391" i="17"/>
  <c r="H1390" i="17"/>
  <c r="H1389" i="17"/>
  <c r="H1388" i="17"/>
  <c r="H1387" i="17"/>
  <c r="H1386" i="17"/>
  <c r="H1385" i="17"/>
  <c r="H1384" i="17"/>
  <c r="H1383" i="17"/>
  <c r="H1382" i="17"/>
  <c r="H1381" i="17"/>
  <c r="H1380" i="17"/>
  <c r="H1379" i="17"/>
  <c r="H1378" i="17"/>
  <c r="H1377" i="17"/>
  <c r="H1376" i="17"/>
  <c r="H1375" i="17"/>
  <c r="H1374" i="17"/>
  <c r="H1373" i="17"/>
  <c r="H1372" i="17"/>
  <c r="H1371" i="17"/>
  <c r="H1370" i="17"/>
  <c r="H1369" i="17"/>
  <c r="H1368" i="17"/>
  <c r="H1367" i="17"/>
  <c r="H1366" i="17"/>
  <c r="H1365" i="17"/>
  <c r="H1364" i="17"/>
  <c r="H1363" i="17"/>
  <c r="H1362" i="17"/>
  <c r="H1361" i="17"/>
  <c r="H1360" i="17"/>
  <c r="H1359" i="17"/>
  <c r="H1358" i="17"/>
  <c r="H1357" i="17"/>
  <c r="H1356" i="17"/>
  <c r="H1355" i="17"/>
  <c r="H1354" i="17"/>
  <c r="H1353" i="17"/>
  <c r="H1352" i="17"/>
  <c r="H1351" i="17"/>
  <c r="H1350" i="17"/>
  <c r="H1349" i="17"/>
  <c r="H1348" i="17"/>
  <c r="H1347" i="17"/>
  <c r="H1346" i="17"/>
  <c r="H1345" i="17"/>
  <c r="H1344" i="17"/>
  <c r="H1343" i="17"/>
  <c r="H1342" i="17"/>
  <c r="H1341" i="17"/>
  <c r="H1340" i="17"/>
  <c r="H1339" i="17"/>
  <c r="H1338" i="17"/>
  <c r="H1337" i="17"/>
  <c r="H1336" i="17"/>
  <c r="H1335" i="17"/>
  <c r="H1334" i="17"/>
  <c r="H1333" i="17"/>
  <c r="H1332" i="17"/>
  <c r="H1331" i="17"/>
  <c r="H1330" i="17"/>
  <c r="H1329" i="17"/>
  <c r="H1328" i="17"/>
  <c r="H1327" i="17"/>
  <c r="H1326" i="17"/>
  <c r="H1325" i="17"/>
  <c r="H1324" i="17"/>
  <c r="H1323" i="17"/>
  <c r="H1322" i="17"/>
  <c r="H1321" i="17"/>
  <c r="H1320" i="17"/>
  <c r="H1319" i="17"/>
  <c r="H1318" i="17"/>
  <c r="H1317" i="17"/>
  <c r="H1316" i="17"/>
  <c r="H1315" i="17"/>
  <c r="H1314" i="17"/>
  <c r="H1313" i="17"/>
  <c r="H1312" i="17"/>
  <c r="H1311" i="17"/>
  <c r="H1310" i="17"/>
  <c r="H1309" i="17"/>
  <c r="H1308" i="17"/>
  <c r="H1307" i="17"/>
  <c r="H1306" i="17"/>
  <c r="H1305" i="17"/>
  <c r="H1304" i="17"/>
  <c r="H1303" i="17"/>
  <c r="H1302" i="17"/>
  <c r="H1301" i="17"/>
  <c r="H1300" i="17"/>
  <c r="H1299" i="17"/>
  <c r="H1298" i="17"/>
  <c r="H1297" i="17"/>
  <c r="H1296" i="17"/>
  <c r="H1295" i="17"/>
  <c r="H1294" i="17"/>
  <c r="H1293" i="17"/>
  <c r="H1292" i="17"/>
  <c r="H1291" i="17"/>
  <c r="H1290" i="17"/>
  <c r="H1289" i="17"/>
  <c r="H1288" i="17"/>
  <c r="H1287" i="17"/>
  <c r="H1286" i="17"/>
  <c r="H1285" i="17"/>
  <c r="H1284" i="17"/>
  <c r="H1283" i="17"/>
  <c r="H1282" i="17"/>
  <c r="H1281" i="17"/>
  <c r="H1280" i="17"/>
  <c r="H1279" i="17"/>
  <c r="H1278" i="17"/>
  <c r="H1277" i="17"/>
  <c r="H1276" i="17"/>
  <c r="H1275" i="17"/>
  <c r="H1274" i="17"/>
  <c r="H1273" i="17"/>
  <c r="H1272" i="17"/>
  <c r="H1271" i="17"/>
  <c r="H1270" i="17"/>
  <c r="H1269" i="17"/>
  <c r="H1268" i="17"/>
  <c r="H1267" i="17"/>
  <c r="H1266" i="17"/>
  <c r="H1265" i="17"/>
  <c r="H1264" i="17"/>
  <c r="H1263" i="17"/>
  <c r="H1262" i="17"/>
  <c r="H1261" i="17"/>
  <c r="H1260" i="17"/>
  <c r="H1259" i="17"/>
  <c r="H1258" i="17"/>
  <c r="H1257" i="17"/>
  <c r="H1256" i="17"/>
  <c r="H1255" i="17"/>
  <c r="H1254" i="17"/>
  <c r="H1253" i="17"/>
  <c r="H1252" i="17"/>
  <c r="H1251" i="17"/>
  <c r="H1250" i="17"/>
  <c r="H1249" i="17"/>
  <c r="H1248" i="17"/>
  <c r="H1247" i="17"/>
  <c r="H1246" i="17"/>
  <c r="H1245" i="17"/>
  <c r="H1244" i="17"/>
  <c r="H1243" i="17"/>
  <c r="H1242" i="17"/>
  <c r="H1241" i="17"/>
  <c r="H1240" i="17"/>
  <c r="H1239" i="17"/>
  <c r="H1238" i="17"/>
  <c r="H1237" i="17"/>
  <c r="H1236" i="17"/>
  <c r="H1235" i="17"/>
  <c r="H1234" i="17"/>
  <c r="H1233" i="17"/>
  <c r="H1232" i="17"/>
  <c r="H1231" i="17"/>
  <c r="H1230" i="17"/>
  <c r="H1229" i="17"/>
  <c r="H1228" i="17"/>
  <c r="H1227" i="17"/>
  <c r="H1226" i="17"/>
  <c r="H1225" i="17"/>
  <c r="H1224" i="17"/>
  <c r="H1223" i="17"/>
  <c r="H1222" i="17"/>
  <c r="H1221" i="17"/>
  <c r="H1220" i="17"/>
  <c r="H1219" i="17"/>
  <c r="H1218" i="17"/>
  <c r="H1217" i="17"/>
  <c r="H1216" i="17"/>
  <c r="H1215" i="17"/>
  <c r="H1214" i="17"/>
  <c r="H1213" i="17"/>
  <c r="H1212" i="17"/>
  <c r="H1211" i="17"/>
  <c r="H1210" i="17"/>
  <c r="H1209" i="17"/>
  <c r="H1208" i="17"/>
  <c r="H1207" i="17"/>
  <c r="H1206" i="17"/>
  <c r="H1205" i="17"/>
  <c r="H1204" i="17"/>
  <c r="H1203" i="17"/>
  <c r="H1202" i="17"/>
  <c r="H1201" i="17"/>
  <c r="H1200" i="17"/>
  <c r="H1199" i="17"/>
  <c r="H1198" i="17"/>
  <c r="H1197" i="17"/>
  <c r="H1196" i="17"/>
  <c r="H1195" i="17"/>
  <c r="H1194" i="17"/>
  <c r="H1193" i="17"/>
  <c r="H1192" i="17"/>
  <c r="H1191" i="17"/>
  <c r="H1190" i="17"/>
  <c r="H1189" i="17"/>
  <c r="H1188" i="17"/>
  <c r="H1187" i="17"/>
  <c r="H1186" i="17"/>
  <c r="H1185" i="17"/>
  <c r="H1184" i="17"/>
  <c r="H1183" i="17"/>
  <c r="H1182" i="17"/>
  <c r="H1181" i="17"/>
  <c r="H1180" i="17"/>
  <c r="H1179" i="17"/>
  <c r="H1178" i="17"/>
  <c r="H1177" i="17"/>
  <c r="H1176" i="17"/>
  <c r="H1175" i="17"/>
  <c r="H1174" i="17"/>
  <c r="H1173" i="17"/>
  <c r="H1172" i="17"/>
  <c r="H1171" i="17"/>
  <c r="H1170" i="17"/>
  <c r="H1169" i="17"/>
  <c r="H1168" i="17"/>
  <c r="H1167" i="17"/>
  <c r="H1166" i="17"/>
  <c r="H1165" i="17"/>
  <c r="H1164" i="17"/>
  <c r="H1163" i="17"/>
  <c r="H1162" i="17"/>
  <c r="H1161" i="17"/>
  <c r="H1160" i="17"/>
  <c r="H1159" i="17"/>
  <c r="H1158" i="17"/>
  <c r="H1157" i="17"/>
  <c r="H1156" i="17"/>
  <c r="H1155" i="17"/>
  <c r="H1154" i="17"/>
  <c r="H1153" i="17"/>
  <c r="H1152" i="17"/>
  <c r="H1151" i="17"/>
  <c r="H1150" i="17"/>
  <c r="H1149" i="17"/>
  <c r="H1148" i="17"/>
  <c r="H1147" i="17"/>
  <c r="H1146" i="17"/>
  <c r="H1145" i="17"/>
  <c r="H1144" i="17"/>
  <c r="H1143" i="17"/>
  <c r="H1142" i="17"/>
  <c r="H1141" i="17"/>
  <c r="H1140" i="17"/>
  <c r="H1139" i="17"/>
  <c r="H1138" i="17"/>
  <c r="H1137" i="17"/>
  <c r="H1136" i="17"/>
  <c r="H1135" i="17"/>
  <c r="H1134" i="17"/>
  <c r="H1133" i="17"/>
  <c r="H1132" i="17"/>
  <c r="H1131" i="17"/>
  <c r="H1130" i="17"/>
  <c r="H1129" i="17"/>
  <c r="H1128" i="17"/>
  <c r="H1127" i="17"/>
  <c r="H1126" i="17"/>
  <c r="H1125" i="17"/>
  <c r="H1124" i="17"/>
  <c r="H1123" i="17"/>
  <c r="H1122" i="17"/>
  <c r="H1121" i="17"/>
  <c r="H1120" i="17"/>
  <c r="H1119" i="17"/>
  <c r="H1118" i="17"/>
  <c r="H1117" i="17"/>
  <c r="H1116" i="17"/>
  <c r="H1115" i="17"/>
  <c r="H1114" i="17"/>
  <c r="H1113" i="17"/>
  <c r="H1112" i="17"/>
  <c r="H1111" i="17"/>
  <c r="H1110" i="17"/>
  <c r="H1109" i="17"/>
  <c r="H1108" i="17"/>
  <c r="H1107" i="17"/>
  <c r="H1106" i="17"/>
  <c r="H1105" i="17"/>
  <c r="H1104" i="17"/>
  <c r="H1103" i="17"/>
  <c r="H1102" i="17"/>
  <c r="H1101" i="17"/>
  <c r="H1100" i="17"/>
  <c r="H1099" i="17"/>
  <c r="H1098" i="17"/>
  <c r="H1097" i="17"/>
  <c r="H1096" i="17"/>
  <c r="H1095" i="17"/>
  <c r="H1094" i="17"/>
  <c r="H1093" i="17"/>
  <c r="H1092" i="17"/>
  <c r="H1091" i="17"/>
  <c r="H1090" i="17"/>
  <c r="H1089" i="17"/>
  <c r="H1088" i="17"/>
  <c r="H1087" i="17"/>
  <c r="H1086" i="17"/>
  <c r="H1085" i="17"/>
  <c r="H1084" i="17"/>
  <c r="H1083" i="17"/>
  <c r="H1082" i="17"/>
  <c r="H1081" i="17"/>
  <c r="H1080" i="17"/>
  <c r="H1079" i="17"/>
  <c r="H1078" i="17"/>
  <c r="H1077" i="17"/>
  <c r="H1076" i="17"/>
  <c r="H1075" i="17"/>
  <c r="H1074" i="17"/>
  <c r="H1073" i="17"/>
  <c r="H1072" i="17"/>
  <c r="H1071" i="17"/>
  <c r="H1070" i="17"/>
  <c r="H1069" i="17"/>
  <c r="H1068" i="17"/>
  <c r="H1067" i="17"/>
  <c r="H1066" i="17"/>
  <c r="H1065" i="17"/>
  <c r="H1064" i="17"/>
  <c r="H1063" i="17"/>
  <c r="H1062" i="17"/>
  <c r="H1061" i="17"/>
  <c r="H1060" i="17"/>
  <c r="H1059" i="17"/>
  <c r="H1058" i="17"/>
  <c r="H1057" i="17"/>
  <c r="H1056" i="17"/>
  <c r="H1055" i="17"/>
  <c r="H1054" i="17"/>
  <c r="H1053" i="17"/>
  <c r="H1052" i="17"/>
  <c r="H1051" i="17"/>
  <c r="H1050" i="17"/>
  <c r="H1049" i="17"/>
  <c r="H1048" i="17"/>
  <c r="H1047" i="17"/>
  <c r="H1046" i="17"/>
  <c r="H1045" i="17"/>
  <c r="H1044" i="17"/>
  <c r="H1043" i="17"/>
  <c r="H1042" i="17"/>
  <c r="H1041" i="17"/>
  <c r="H1040" i="17"/>
  <c r="H1039" i="17"/>
  <c r="H1038" i="17"/>
  <c r="H1037" i="17"/>
  <c r="H1036" i="17"/>
  <c r="H1035" i="17"/>
  <c r="H1034" i="17"/>
  <c r="H1033" i="17"/>
  <c r="H1032" i="17"/>
  <c r="H1031" i="17"/>
  <c r="H1030" i="17"/>
  <c r="H1029" i="17"/>
  <c r="H1028" i="17"/>
  <c r="H1027" i="17"/>
  <c r="H1026" i="17"/>
  <c r="H1025" i="17"/>
  <c r="H1024" i="17"/>
  <c r="H1023" i="17"/>
  <c r="H1022" i="17"/>
  <c r="H1021" i="17"/>
  <c r="H1020" i="17"/>
  <c r="H1019" i="17"/>
  <c r="H1018" i="17"/>
  <c r="H1017" i="17"/>
  <c r="H1016" i="17"/>
  <c r="H1015" i="17"/>
  <c r="H1014" i="17"/>
  <c r="H1013" i="17"/>
  <c r="H1012" i="17"/>
  <c r="H1011" i="17"/>
  <c r="H1010" i="17"/>
  <c r="H1009" i="17"/>
  <c r="H1008" i="17"/>
  <c r="H1007" i="17"/>
  <c r="H1006" i="17"/>
  <c r="H1005" i="17"/>
  <c r="H1004" i="17"/>
  <c r="H1003" i="17"/>
  <c r="H1002" i="17"/>
  <c r="H1001" i="17"/>
  <c r="H1000" i="17"/>
  <c r="H999" i="17"/>
  <c r="H998" i="17"/>
  <c r="H997" i="17"/>
  <c r="H996" i="17"/>
  <c r="H995" i="17"/>
  <c r="H994" i="17"/>
  <c r="H993" i="17"/>
  <c r="H992" i="17"/>
  <c r="H991" i="17"/>
  <c r="H990" i="17"/>
  <c r="H989" i="17"/>
  <c r="H988" i="17"/>
  <c r="H987" i="17"/>
  <c r="H986" i="17"/>
  <c r="H985" i="17"/>
  <c r="H984" i="17"/>
  <c r="H983" i="17"/>
  <c r="H982" i="17"/>
  <c r="H981" i="17"/>
  <c r="H980" i="17"/>
  <c r="H979" i="17"/>
  <c r="H978" i="17"/>
  <c r="H977" i="17"/>
  <c r="H976" i="17"/>
  <c r="H975" i="17"/>
  <c r="H974" i="17"/>
  <c r="H973" i="17"/>
  <c r="H972" i="17"/>
  <c r="H971" i="17"/>
  <c r="H970" i="17"/>
  <c r="H969" i="17"/>
  <c r="H968" i="17"/>
  <c r="H967" i="17"/>
  <c r="H966" i="17"/>
  <c r="H965" i="17"/>
  <c r="H964" i="17"/>
  <c r="H963" i="17"/>
  <c r="H962" i="17"/>
  <c r="H961" i="17"/>
  <c r="H960" i="17"/>
  <c r="H959" i="17"/>
  <c r="H958" i="17"/>
  <c r="H957" i="17"/>
  <c r="H956" i="17"/>
  <c r="H955" i="17"/>
  <c r="H954" i="17"/>
  <c r="H953" i="17"/>
  <c r="H952" i="17"/>
  <c r="H951" i="17"/>
  <c r="H950" i="17"/>
  <c r="H949" i="17"/>
  <c r="H948" i="17"/>
  <c r="H947" i="17"/>
  <c r="H946" i="17"/>
  <c r="H945" i="17"/>
  <c r="H944" i="17"/>
  <c r="H943" i="17"/>
  <c r="H942" i="17"/>
  <c r="H941" i="17"/>
  <c r="H940" i="17"/>
  <c r="H939" i="17"/>
  <c r="H938" i="17"/>
  <c r="H937" i="17"/>
  <c r="H936" i="17"/>
  <c r="H935" i="17"/>
  <c r="H934" i="17"/>
  <c r="H933" i="17"/>
  <c r="H932" i="17"/>
  <c r="H931" i="17"/>
  <c r="H930" i="17"/>
  <c r="H929" i="17"/>
  <c r="H928" i="17"/>
  <c r="H927" i="17"/>
  <c r="H926" i="17"/>
  <c r="H925" i="17"/>
  <c r="H924" i="17"/>
  <c r="H923" i="17"/>
  <c r="H922" i="17"/>
  <c r="H921" i="17"/>
  <c r="H920" i="17"/>
  <c r="H919" i="17"/>
  <c r="H918" i="17"/>
  <c r="H917" i="17"/>
  <c r="H916" i="17"/>
  <c r="H915" i="17"/>
  <c r="H914" i="17"/>
  <c r="H913" i="17"/>
  <c r="H912" i="17"/>
  <c r="H911" i="17"/>
  <c r="H910" i="17"/>
  <c r="H909" i="17"/>
  <c r="H908" i="17"/>
  <c r="H907" i="17"/>
  <c r="H906" i="17"/>
  <c r="H905" i="17"/>
  <c r="H904" i="17"/>
  <c r="H903" i="17"/>
  <c r="H902" i="17"/>
  <c r="H901" i="17"/>
  <c r="H900" i="17"/>
  <c r="H899" i="17"/>
  <c r="H898" i="17"/>
  <c r="H897" i="17"/>
  <c r="H896" i="17"/>
  <c r="H895" i="17"/>
  <c r="H894" i="17"/>
  <c r="H893" i="17"/>
  <c r="H892" i="17"/>
  <c r="H891" i="17"/>
  <c r="H890" i="17"/>
  <c r="H889" i="17"/>
  <c r="H888" i="17"/>
  <c r="H887" i="17"/>
  <c r="H886" i="17"/>
  <c r="H885" i="17"/>
  <c r="H884" i="17"/>
  <c r="H883" i="17"/>
  <c r="H882" i="17"/>
  <c r="H881" i="17"/>
  <c r="H880" i="17"/>
  <c r="H879" i="17"/>
  <c r="H878" i="17"/>
  <c r="H877" i="17"/>
  <c r="H876" i="17"/>
  <c r="H875" i="17"/>
  <c r="H874" i="17"/>
  <c r="H873" i="17"/>
  <c r="H872" i="17"/>
  <c r="H871" i="17"/>
  <c r="H870" i="17"/>
  <c r="H869" i="17"/>
  <c r="H868" i="17"/>
  <c r="H867" i="17"/>
  <c r="H866" i="17"/>
  <c r="H865" i="17"/>
  <c r="H864" i="17"/>
  <c r="H863" i="17"/>
  <c r="H862" i="17"/>
  <c r="H861" i="17"/>
  <c r="H860" i="17"/>
  <c r="H859" i="17"/>
  <c r="H858" i="17"/>
  <c r="H857" i="17"/>
  <c r="H856" i="17"/>
  <c r="H855" i="17"/>
  <c r="H854" i="17"/>
  <c r="H853" i="17"/>
  <c r="H852" i="17"/>
  <c r="H851" i="17"/>
  <c r="H850" i="17"/>
  <c r="H849" i="17"/>
  <c r="H848" i="17"/>
  <c r="H847" i="17"/>
  <c r="H846" i="17"/>
  <c r="H845" i="17"/>
  <c r="H844" i="17"/>
  <c r="H843" i="17"/>
  <c r="H842" i="17"/>
  <c r="H841" i="17"/>
  <c r="H840" i="17"/>
  <c r="H839" i="17"/>
  <c r="H838" i="17"/>
  <c r="H837" i="17"/>
  <c r="H836" i="17"/>
  <c r="H835" i="17"/>
  <c r="H834" i="17"/>
  <c r="H833" i="17"/>
  <c r="H832" i="17"/>
  <c r="H831" i="17"/>
  <c r="H830" i="17"/>
  <c r="H829" i="17"/>
  <c r="H828" i="17"/>
  <c r="H827" i="17"/>
  <c r="H826" i="17"/>
  <c r="H825" i="17"/>
  <c r="H824" i="17"/>
  <c r="H823" i="17"/>
  <c r="H822" i="17"/>
  <c r="H821" i="17"/>
  <c r="H820" i="17"/>
  <c r="H819" i="17"/>
  <c r="H818" i="17"/>
  <c r="H817" i="17"/>
  <c r="H816" i="17"/>
  <c r="H815" i="17"/>
  <c r="H814" i="17"/>
  <c r="H813" i="17"/>
  <c r="H812" i="17"/>
  <c r="H811" i="17"/>
  <c r="H810" i="17"/>
  <c r="H809" i="17"/>
  <c r="H808" i="17"/>
  <c r="H807" i="17"/>
  <c r="H806" i="17"/>
  <c r="H805" i="17"/>
  <c r="H804" i="17"/>
  <c r="H803" i="17"/>
  <c r="H802" i="17"/>
  <c r="H801" i="17"/>
  <c r="H800" i="17"/>
  <c r="H799" i="17"/>
  <c r="H798" i="17"/>
  <c r="H797" i="17"/>
  <c r="H796" i="17"/>
  <c r="H795" i="17"/>
  <c r="H794" i="17"/>
  <c r="H793" i="17"/>
  <c r="H792" i="17"/>
  <c r="H791" i="17"/>
  <c r="H790" i="17"/>
  <c r="H789" i="17"/>
  <c r="H788" i="17"/>
  <c r="H787" i="17"/>
  <c r="H786" i="17"/>
  <c r="H785" i="17"/>
  <c r="H784" i="17"/>
  <c r="H783" i="17"/>
  <c r="H782" i="17"/>
  <c r="H781" i="17"/>
  <c r="H780" i="17"/>
  <c r="H779" i="17"/>
  <c r="H778" i="17"/>
  <c r="H777" i="17"/>
  <c r="H776" i="17"/>
  <c r="H775" i="17"/>
  <c r="H774" i="17"/>
  <c r="H773" i="17"/>
  <c r="H772" i="17"/>
  <c r="H771" i="17"/>
  <c r="H770" i="17"/>
  <c r="H769" i="17"/>
  <c r="H768" i="17"/>
  <c r="H767" i="17"/>
  <c r="H766" i="17"/>
  <c r="H765" i="17"/>
  <c r="H764" i="17"/>
  <c r="H763" i="17"/>
  <c r="H762" i="17"/>
  <c r="H761" i="17"/>
  <c r="H760" i="17"/>
  <c r="H759" i="17"/>
  <c r="H758" i="17"/>
  <c r="H757" i="17"/>
  <c r="H756" i="17"/>
  <c r="H755" i="17"/>
  <c r="H754" i="17"/>
  <c r="H753" i="17"/>
  <c r="H752" i="17"/>
  <c r="H751" i="17"/>
  <c r="H750" i="17"/>
  <c r="H749" i="17"/>
  <c r="H748" i="17"/>
  <c r="H747" i="17"/>
  <c r="H746" i="17"/>
  <c r="H745" i="17"/>
  <c r="H744" i="17"/>
  <c r="H743" i="17"/>
  <c r="H742" i="17"/>
  <c r="H741" i="17"/>
  <c r="H740" i="17"/>
  <c r="H739" i="17"/>
  <c r="H738" i="17"/>
  <c r="H737" i="17"/>
  <c r="H736" i="17"/>
  <c r="H735" i="17"/>
  <c r="H734" i="17"/>
  <c r="H733" i="17"/>
  <c r="H732" i="17"/>
  <c r="H731" i="17"/>
  <c r="H730" i="17"/>
  <c r="H729" i="17"/>
  <c r="H728" i="17"/>
  <c r="H727" i="17"/>
  <c r="H726" i="17"/>
  <c r="H725" i="17"/>
  <c r="H724" i="17"/>
  <c r="H723" i="17"/>
  <c r="H722" i="17"/>
  <c r="H721" i="17"/>
  <c r="H720" i="17"/>
  <c r="H719" i="17"/>
  <c r="H718" i="17"/>
  <c r="H717" i="17"/>
  <c r="H716" i="17"/>
  <c r="H715" i="17"/>
  <c r="H714" i="17"/>
  <c r="H713" i="17"/>
  <c r="H712" i="17"/>
  <c r="H711" i="17"/>
  <c r="H710" i="17"/>
  <c r="H709" i="17"/>
  <c r="H708" i="17"/>
  <c r="H707" i="17"/>
  <c r="H706" i="17"/>
  <c r="H705" i="17"/>
  <c r="H704" i="17"/>
  <c r="H703" i="17"/>
  <c r="H702" i="17"/>
  <c r="H701" i="17"/>
  <c r="H700" i="17"/>
  <c r="H699" i="17"/>
  <c r="H698" i="17"/>
  <c r="H697" i="17"/>
  <c r="H696" i="17"/>
  <c r="H695" i="17"/>
  <c r="H694" i="17"/>
  <c r="H693" i="17"/>
  <c r="H692" i="17"/>
  <c r="H691" i="17"/>
  <c r="H690" i="17"/>
  <c r="H689" i="17"/>
  <c r="H688" i="17"/>
  <c r="H687" i="17"/>
  <c r="H686" i="17"/>
  <c r="H685" i="17"/>
  <c r="H684" i="17"/>
  <c r="H683" i="17"/>
  <c r="H682" i="17"/>
  <c r="H681" i="17"/>
  <c r="H680" i="17"/>
  <c r="H679" i="17"/>
  <c r="H678" i="17"/>
  <c r="H677" i="17"/>
  <c r="H676" i="17"/>
  <c r="H675" i="17"/>
  <c r="H674" i="17"/>
  <c r="H673" i="17"/>
  <c r="H672" i="17"/>
  <c r="H671" i="17"/>
  <c r="H670" i="17"/>
  <c r="H669" i="17"/>
  <c r="H668" i="17"/>
  <c r="H667" i="17"/>
  <c r="H666" i="17"/>
  <c r="H665" i="17"/>
  <c r="H664" i="17"/>
  <c r="H663" i="17"/>
  <c r="H662" i="17"/>
  <c r="H661" i="17"/>
  <c r="H660" i="17"/>
  <c r="H659" i="17"/>
  <c r="H658" i="17"/>
  <c r="H657" i="17"/>
  <c r="H656" i="17"/>
  <c r="H655" i="17"/>
  <c r="H654" i="17"/>
  <c r="H653" i="17"/>
  <c r="H652" i="17"/>
  <c r="H651" i="17"/>
  <c r="H650" i="17"/>
  <c r="H649" i="17"/>
  <c r="H648" i="17"/>
  <c r="H647" i="17"/>
  <c r="H646" i="17"/>
  <c r="H645" i="17"/>
  <c r="H644" i="17"/>
  <c r="H643" i="17"/>
  <c r="H642" i="17"/>
  <c r="H641" i="17"/>
  <c r="H640" i="17"/>
  <c r="H639" i="17"/>
  <c r="H638" i="17"/>
  <c r="H637" i="17"/>
  <c r="H636" i="17"/>
  <c r="H635" i="17"/>
  <c r="H634" i="17"/>
  <c r="H633" i="17"/>
  <c r="H632" i="17"/>
  <c r="H631" i="17"/>
  <c r="H630" i="17"/>
  <c r="H629" i="17"/>
  <c r="H628" i="17"/>
  <c r="H627" i="17"/>
  <c r="H626" i="17"/>
  <c r="H625" i="17"/>
  <c r="H624" i="17"/>
  <c r="H623" i="17"/>
  <c r="H622" i="17"/>
  <c r="H621" i="17"/>
  <c r="H620" i="17"/>
  <c r="H619" i="17"/>
  <c r="H618" i="17"/>
  <c r="H617" i="17"/>
  <c r="H616" i="17"/>
  <c r="H615" i="17"/>
  <c r="H614" i="17"/>
  <c r="H613" i="17"/>
  <c r="H612" i="17"/>
  <c r="H611" i="17"/>
  <c r="H610" i="17"/>
  <c r="H609" i="17"/>
  <c r="H608" i="17"/>
  <c r="H607" i="17"/>
  <c r="H606" i="17"/>
  <c r="H605" i="17"/>
  <c r="H604" i="17"/>
  <c r="H603" i="17"/>
  <c r="H602" i="17"/>
  <c r="H601" i="17"/>
  <c r="H600" i="17"/>
  <c r="H599" i="17"/>
  <c r="H598" i="17"/>
  <c r="H597" i="17"/>
  <c r="H596" i="17"/>
  <c r="H595" i="17"/>
  <c r="H594" i="17"/>
  <c r="H593" i="17"/>
  <c r="H592" i="17"/>
  <c r="H591" i="17"/>
  <c r="H590" i="17"/>
  <c r="H589" i="17"/>
  <c r="H588" i="17"/>
  <c r="H587" i="17"/>
  <c r="H586" i="17"/>
  <c r="H585" i="17"/>
  <c r="H584" i="17"/>
  <c r="H583" i="17"/>
  <c r="H582" i="17"/>
  <c r="H581" i="17"/>
  <c r="H580" i="17"/>
  <c r="H579" i="17"/>
  <c r="H578" i="17"/>
  <c r="H577" i="17"/>
  <c r="H576" i="17"/>
  <c r="H575" i="17"/>
  <c r="H574" i="17"/>
  <c r="H573" i="17"/>
  <c r="H572" i="17"/>
  <c r="H571" i="17"/>
  <c r="H570" i="17"/>
  <c r="H569" i="17"/>
  <c r="H568" i="17"/>
  <c r="H567" i="17"/>
  <c r="H566" i="17"/>
  <c r="H565" i="17"/>
  <c r="H564" i="17"/>
  <c r="H563" i="17"/>
  <c r="H562" i="17"/>
  <c r="H561" i="17"/>
  <c r="H560" i="17"/>
  <c r="H559" i="17"/>
  <c r="H558" i="17"/>
  <c r="H557" i="17"/>
  <c r="H556" i="17"/>
  <c r="H555" i="17"/>
  <c r="H554" i="17"/>
  <c r="H553" i="17"/>
  <c r="H552" i="17"/>
  <c r="H551" i="17"/>
  <c r="H550" i="17"/>
  <c r="H549" i="17"/>
  <c r="H548" i="17"/>
  <c r="H547" i="17"/>
  <c r="H546" i="17"/>
  <c r="H545" i="17"/>
  <c r="H544" i="17"/>
  <c r="H543" i="17"/>
  <c r="H542" i="17"/>
  <c r="H541" i="17"/>
  <c r="H540" i="17"/>
  <c r="H539" i="17"/>
  <c r="H538" i="17"/>
  <c r="H537" i="17"/>
  <c r="H536" i="17"/>
  <c r="H535" i="17"/>
  <c r="H534" i="17"/>
  <c r="H533" i="17"/>
  <c r="H532" i="17"/>
  <c r="H531" i="17"/>
  <c r="H530" i="17"/>
  <c r="H529" i="17"/>
  <c r="H528" i="17"/>
  <c r="H527" i="17"/>
  <c r="H526" i="17"/>
  <c r="H525" i="17"/>
  <c r="H524" i="17"/>
  <c r="H523" i="17"/>
  <c r="H522" i="17"/>
  <c r="H521" i="17"/>
  <c r="H520" i="17"/>
  <c r="H519" i="17"/>
  <c r="H518" i="17"/>
  <c r="H517" i="17"/>
  <c r="H516" i="17"/>
  <c r="H515" i="17"/>
  <c r="H514" i="17"/>
  <c r="H513" i="17"/>
  <c r="H512" i="17"/>
  <c r="H511" i="17"/>
  <c r="H510" i="17"/>
  <c r="H509" i="17"/>
  <c r="H508" i="17"/>
  <c r="H507" i="17"/>
  <c r="H506" i="17"/>
  <c r="H505" i="17"/>
  <c r="H504" i="17"/>
  <c r="H503" i="17"/>
  <c r="H502" i="17"/>
  <c r="H501" i="17"/>
  <c r="H500" i="17"/>
  <c r="H499" i="17"/>
  <c r="H498" i="17"/>
  <c r="H497" i="17"/>
  <c r="H496" i="17"/>
  <c r="H495" i="17"/>
  <c r="H494" i="17"/>
  <c r="H493" i="17"/>
  <c r="H492" i="17"/>
  <c r="H491" i="17"/>
  <c r="H490" i="17"/>
  <c r="H489" i="17"/>
  <c r="H488" i="17"/>
  <c r="H487" i="17"/>
  <c r="H486" i="17"/>
  <c r="H485" i="17"/>
  <c r="H484" i="17"/>
  <c r="H483" i="17"/>
  <c r="H482" i="17"/>
  <c r="H481" i="17"/>
  <c r="H480" i="17"/>
  <c r="H479" i="17"/>
  <c r="H478" i="17"/>
  <c r="H477" i="17"/>
  <c r="H476" i="17"/>
  <c r="H475" i="17"/>
  <c r="H474" i="17"/>
  <c r="H473" i="17"/>
  <c r="H472" i="17"/>
  <c r="H471" i="17"/>
  <c r="H470" i="17"/>
  <c r="H469" i="17"/>
  <c r="H468" i="17"/>
  <c r="H467" i="17"/>
  <c r="H466" i="17"/>
  <c r="H465" i="17"/>
  <c r="H464" i="17"/>
  <c r="H463" i="17"/>
  <c r="H462" i="17"/>
  <c r="H461" i="17"/>
  <c r="H460" i="17"/>
  <c r="H459" i="17"/>
  <c r="H458" i="17"/>
  <c r="H457" i="17"/>
  <c r="H456" i="17"/>
  <c r="H455" i="17"/>
  <c r="H454" i="17"/>
  <c r="H453" i="17"/>
  <c r="H452" i="17"/>
  <c r="H451" i="17"/>
  <c r="H450" i="17"/>
  <c r="H449" i="17"/>
  <c r="H448" i="17"/>
  <c r="H447" i="17"/>
  <c r="H446" i="17"/>
  <c r="H445" i="17"/>
  <c r="H444" i="17"/>
  <c r="H443" i="17"/>
  <c r="H442" i="17"/>
  <c r="H441" i="17"/>
  <c r="H440" i="17"/>
  <c r="H439" i="17"/>
  <c r="H438" i="17"/>
  <c r="H437" i="17"/>
  <c r="H436" i="17"/>
  <c r="H435" i="17"/>
  <c r="H434" i="17"/>
  <c r="H433" i="17"/>
  <c r="H432" i="17"/>
  <c r="H431" i="17"/>
  <c r="H430" i="17"/>
  <c r="H429" i="17"/>
  <c r="H428" i="17"/>
  <c r="H427" i="17"/>
  <c r="H426" i="17"/>
  <c r="H425" i="17"/>
  <c r="H424" i="17"/>
  <c r="H423" i="17"/>
  <c r="H422" i="17"/>
  <c r="H421" i="17"/>
  <c r="H420" i="17"/>
  <c r="H419" i="17"/>
  <c r="H418" i="17"/>
  <c r="H417" i="17"/>
  <c r="H416" i="17"/>
  <c r="H415" i="17"/>
  <c r="H414" i="17"/>
  <c r="H413" i="17"/>
  <c r="H412" i="17"/>
  <c r="H411" i="17"/>
  <c r="H410" i="17"/>
  <c r="H409" i="17"/>
  <c r="H408" i="17"/>
  <c r="H407" i="17"/>
  <c r="H406" i="17"/>
  <c r="H405" i="17"/>
  <c r="H404" i="17"/>
  <c r="H403" i="17"/>
  <c r="H402" i="17"/>
  <c r="H401" i="17"/>
  <c r="H400" i="17"/>
  <c r="H399" i="17"/>
  <c r="H398" i="17"/>
  <c r="H397" i="17"/>
  <c r="H396" i="17"/>
  <c r="H395" i="17"/>
  <c r="H394" i="17"/>
  <c r="H393" i="17"/>
  <c r="H392" i="17"/>
  <c r="H391" i="17"/>
  <c r="H390" i="17"/>
  <c r="H389" i="17"/>
  <c r="H388" i="17"/>
  <c r="H387" i="17"/>
  <c r="H386" i="17"/>
  <c r="H385" i="17"/>
  <c r="H384" i="17"/>
  <c r="H383" i="17"/>
  <c r="H382" i="17"/>
  <c r="H381" i="17"/>
  <c r="H380" i="17"/>
  <c r="H379" i="17"/>
  <c r="H378" i="17"/>
  <c r="H377" i="17"/>
  <c r="H376" i="17"/>
  <c r="H375" i="17"/>
  <c r="H374" i="17"/>
  <c r="H373" i="17"/>
  <c r="H372" i="17"/>
  <c r="H371" i="17"/>
  <c r="H370" i="17"/>
  <c r="H369" i="17"/>
  <c r="H368" i="17"/>
  <c r="H367" i="17"/>
  <c r="H366" i="17"/>
  <c r="H365" i="17"/>
  <c r="H364" i="17"/>
  <c r="H363" i="17"/>
  <c r="H362" i="17"/>
  <c r="H361" i="17"/>
  <c r="H360" i="17"/>
  <c r="H359" i="17"/>
  <c r="H358" i="17"/>
  <c r="H357" i="17"/>
  <c r="H356" i="17"/>
  <c r="H355" i="17"/>
  <c r="H354" i="17"/>
  <c r="H353" i="17"/>
  <c r="H352" i="17"/>
  <c r="H351" i="17"/>
  <c r="H350" i="17"/>
  <c r="H349" i="17"/>
  <c r="H348" i="17"/>
  <c r="H347" i="17"/>
  <c r="H346" i="17"/>
  <c r="H345" i="17"/>
  <c r="H344" i="17"/>
  <c r="H343" i="17"/>
  <c r="H342" i="17"/>
  <c r="H341" i="17"/>
  <c r="H340" i="17"/>
  <c r="H339" i="17"/>
  <c r="H338" i="17"/>
  <c r="H337" i="17"/>
  <c r="H336" i="17"/>
  <c r="H335" i="17"/>
  <c r="H334" i="17"/>
  <c r="H333" i="17"/>
  <c r="H332" i="17"/>
  <c r="H331" i="17"/>
  <c r="H330" i="17"/>
  <c r="H329" i="17"/>
  <c r="H328" i="17"/>
  <c r="H327" i="17"/>
  <c r="H326" i="17"/>
  <c r="H325" i="17"/>
  <c r="H324" i="17"/>
  <c r="H323" i="17"/>
  <c r="H322" i="17"/>
  <c r="H321" i="17"/>
  <c r="H320" i="17"/>
  <c r="H319" i="17"/>
  <c r="H318" i="17"/>
  <c r="H317" i="17"/>
  <c r="H316" i="17"/>
  <c r="H315" i="17"/>
  <c r="H314" i="17"/>
  <c r="H313" i="17"/>
  <c r="H312" i="17"/>
  <c r="H311" i="17"/>
  <c r="H310" i="17"/>
  <c r="H309" i="17"/>
  <c r="H308" i="17"/>
  <c r="H307" i="17"/>
  <c r="H306" i="17"/>
  <c r="H305" i="17"/>
  <c r="H304" i="17"/>
  <c r="H303" i="17"/>
  <c r="H302" i="17"/>
  <c r="H301" i="17"/>
  <c r="H300" i="17"/>
  <c r="H299" i="17"/>
  <c r="H298" i="17"/>
  <c r="H297" i="17"/>
  <c r="H296" i="17"/>
  <c r="H295" i="17"/>
  <c r="H294" i="17"/>
  <c r="H293" i="17"/>
  <c r="H292" i="17"/>
  <c r="H291" i="17"/>
  <c r="H290" i="17"/>
  <c r="H289" i="17"/>
  <c r="H288" i="17"/>
  <c r="H287" i="17"/>
  <c r="H286" i="17"/>
  <c r="H285" i="17"/>
  <c r="H284" i="17"/>
  <c r="H283" i="17"/>
  <c r="H282" i="17"/>
  <c r="H281" i="17"/>
  <c r="H280" i="17"/>
  <c r="H279" i="17"/>
  <c r="H278" i="17"/>
  <c r="H277" i="17"/>
  <c r="H276" i="17"/>
  <c r="H275" i="17"/>
  <c r="H274" i="17"/>
  <c r="H273" i="17"/>
  <c r="H272" i="17"/>
  <c r="H271" i="17"/>
  <c r="H270" i="17"/>
  <c r="H269" i="17"/>
  <c r="H268" i="17"/>
  <c r="H267" i="17"/>
  <c r="H266" i="17"/>
  <c r="H265" i="17"/>
  <c r="H264" i="17"/>
  <c r="H263" i="17"/>
  <c r="H262" i="17"/>
  <c r="H261" i="17"/>
  <c r="H260" i="17"/>
  <c r="H259" i="17"/>
  <c r="H258" i="17"/>
  <c r="H257" i="17"/>
  <c r="H256" i="17"/>
  <c r="H255" i="17"/>
  <c r="H254" i="17"/>
  <c r="H253" i="17"/>
  <c r="H252" i="17"/>
  <c r="H251" i="17"/>
  <c r="H250" i="17"/>
  <c r="H249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24" i="17"/>
  <c r="H223" i="17"/>
  <c r="H222" i="17"/>
  <c r="H221" i="17"/>
  <c r="H220" i="17"/>
  <c r="H219" i="17"/>
  <c r="H218" i="17"/>
  <c r="H217" i="17"/>
  <c r="H216" i="17"/>
  <c r="H215" i="17"/>
  <c r="H214" i="17"/>
  <c r="H213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F7" i="4" l="1"/>
  <c r="T5" i="34" s="1"/>
  <c r="Y7" i="2" l="1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I2" i="2"/>
  <c r="J2" i="2"/>
  <c r="H2" i="2"/>
  <c r="G2" i="2"/>
  <c r="F2" i="2"/>
  <c r="P2" i="3"/>
  <c r="O2" i="3"/>
  <c r="N2" i="3"/>
  <c r="M2" i="3"/>
  <c r="L2" i="3"/>
  <c r="K2" i="3"/>
  <c r="J2" i="3"/>
  <c r="I2" i="3"/>
  <c r="H2" i="3"/>
  <c r="G2" i="3"/>
  <c r="F2" i="3"/>
  <c r="E2" i="3"/>
  <c r="P3" i="3"/>
  <c r="O3" i="3"/>
  <c r="N3" i="3"/>
  <c r="M3" i="3"/>
  <c r="L3" i="3"/>
  <c r="K3" i="3"/>
  <c r="J3" i="3"/>
  <c r="I3" i="3"/>
  <c r="H3" i="3"/>
  <c r="G3" i="3"/>
  <c r="F3" i="3"/>
  <c r="E3" i="3"/>
  <c r="O7" i="3"/>
  <c r="P7" i="3"/>
  <c r="N7" i="3"/>
  <c r="M7" i="3"/>
  <c r="L7" i="3"/>
  <c r="K7" i="3"/>
  <c r="J7" i="3"/>
  <c r="I7" i="3"/>
  <c r="H7" i="3"/>
  <c r="G7" i="3"/>
  <c r="F7" i="3"/>
  <c r="E7" i="3"/>
  <c r="S10" i="3" l="1"/>
  <c r="S12" i="3"/>
  <c r="S11" i="3"/>
  <c r="S14" i="3"/>
  <c r="S13" i="3"/>
  <c r="S8" i="3"/>
  <c r="S16" i="3"/>
  <c r="S9" i="3"/>
  <c r="S15" i="3"/>
  <c r="AB14" i="2"/>
  <c r="AB15" i="2"/>
  <c r="AB11" i="2"/>
  <c r="AB12" i="2"/>
  <c r="AB16" i="2"/>
  <c r="AB8" i="2"/>
  <c r="AB10" i="2"/>
  <c r="AB9" i="2"/>
  <c r="AB13" i="2"/>
  <c r="AB7" i="2"/>
  <c r="V5" i="34" s="1"/>
  <c r="G5" i="34" s="1"/>
  <c r="S7" i="3"/>
  <c r="U5" i="34" s="1"/>
  <c r="I5" i="34" s="1"/>
  <c r="F6" i="14"/>
  <c r="F6" i="16"/>
  <c r="F6" i="23"/>
  <c r="H2000" i="17"/>
  <c r="H1999" i="17"/>
  <c r="H1998" i="17"/>
  <c r="H1997" i="17"/>
  <c r="H1996" i="17"/>
  <c r="H1995" i="17"/>
  <c r="H1994" i="17"/>
  <c r="H1993" i="17"/>
  <c r="H1992" i="17"/>
  <c r="H1991" i="17"/>
  <c r="H1990" i="17"/>
  <c r="H1989" i="17"/>
  <c r="H1988" i="17"/>
  <c r="H1987" i="17"/>
  <c r="H1986" i="17"/>
  <c r="H1985" i="17"/>
  <c r="H1984" i="17"/>
  <c r="H1983" i="17"/>
  <c r="H1982" i="17"/>
  <c r="H1981" i="17"/>
  <c r="H1980" i="17"/>
  <c r="H1979" i="17"/>
  <c r="H1978" i="17"/>
  <c r="H1977" i="17"/>
  <c r="H1976" i="17"/>
  <c r="H1975" i="17"/>
  <c r="H1974" i="17"/>
  <c r="H1973" i="17"/>
  <c r="H1972" i="17"/>
  <c r="H1971" i="17"/>
  <c r="H1970" i="17"/>
  <c r="H1969" i="17"/>
  <c r="H1968" i="17"/>
  <c r="H1967" i="17"/>
  <c r="H1966" i="17"/>
  <c r="H1965" i="17"/>
  <c r="H1964" i="17"/>
  <c r="H1963" i="17"/>
  <c r="H1962" i="17"/>
  <c r="H1961" i="17"/>
  <c r="H1960" i="17"/>
  <c r="H1959" i="17"/>
  <c r="H1958" i="17"/>
  <c r="H1957" i="17"/>
  <c r="H1956" i="17"/>
  <c r="H1955" i="17"/>
  <c r="H1954" i="17"/>
  <c r="H1953" i="17"/>
  <c r="H1952" i="17"/>
  <c r="H1951" i="17"/>
  <c r="H1950" i="17"/>
  <c r="H1949" i="17"/>
  <c r="H1948" i="17"/>
  <c r="H1947" i="17"/>
  <c r="H1946" i="17"/>
  <c r="H1945" i="17"/>
  <c r="H1944" i="17"/>
  <c r="H1943" i="17"/>
  <c r="H1942" i="17"/>
  <c r="H1941" i="17"/>
  <c r="H1940" i="17"/>
  <c r="H1939" i="17"/>
  <c r="H1938" i="17"/>
  <c r="H1937" i="17"/>
  <c r="H1936" i="17"/>
  <c r="H1935" i="17"/>
  <c r="H1934" i="17"/>
  <c r="H1933" i="17"/>
  <c r="H1932" i="17"/>
  <c r="H1931" i="17"/>
  <c r="H1930" i="17"/>
  <c r="H1929" i="17"/>
  <c r="H1928" i="17"/>
  <c r="H1927" i="17"/>
  <c r="H1926" i="17"/>
  <c r="H1925" i="17"/>
  <c r="H1924" i="17"/>
  <c r="H1923" i="17"/>
  <c r="H1922" i="17"/>
  <c r="H1921" i="17"/>
  <c r="H1920" i="17"/>
  <c r="H1919" i="17"/>
  <c r="H1918" i="17"/>
  <c r="H1917" i="17"/>
  <c r="H1916" i="17"/>
  <c r="H1915" i="17"/>
  <c r="H1914" i="17"/>
  <c r="H1913" i="17"/>
  <c r="H1912" i="17"/>
  <c r="H1911" i="17"/>
  <c r="H1910" i="17"/>
  <c r="H1909" i="17"/>
  <c r="H1908" i="17"/>
  <c r="H1907" i="17"/>
  <c r="H1906" i="17"/>
  <c r="H1905" i="17"/>
  <c r="H1904" i="17"/>
  <c r="H1903" i="17"/>
  <c r="H1902" i="17"/>
  <c r="H1901" i="17"/>
  <c r="H1900" i="17"/>
  <c r="H1899" i="17"/>
  <c r="H1898" i="17"/>
  <c r="H1897" i="17"/>
  <c r="H1896" i="17"/>
  <c r="H1895" i="17"/>
  <c r="H1894" i="17"/>
  <c r="H1893" i="17"/>
  <c r="H1892" i="17"/>
  <c r="H1891" i="17"/>
  <c r="H1890" i="17"/>
  <c r="H1889" i="17"/>
  <c r="H1888" i="17"/>
  <c r="H1887" i="17"/>
  <c r="H1886" i="17"/>
  <c r="H1885" i="17"/>
  <c r="H1884" i="17"/>
  <c r="H1883" i="17"/>
  <c r="H1882" i="17"/>
  <c r="H1881" i="17"/>
  <c r="H1880" i="17"/>
  <c r="H1879" i="17"/>
  <c r="H1878" i="17"/>
  <c r="H1877" i="17"/>
  <c r="H1876" i="17"/>
  <c r="H1875" i="17"/>
  <c r="H1874" i="17"/>
  <c r="H1873" i="17"/>
  <c r="H1872" i="17"/>
  <c r="H1871" i="17"/>
  <c r="H1870" i="17"/>
  <c r="H1869" i="17"/>
  <c r="H1868" i="17"/>
  <c r="H1867" i="17"/>
  <c r="H1866" i="17"/>
  <c r="H1865" i="17"/>
  <c r="H1864" i="17"/>
  <c r="H1863" i="17"/>
  <c r="H1862" i="17"/>
  <c r="H1861" i="17"/>
  <c r="H1860" i="17"/>
  <c r="H1859" i="17"/>
  <c r="H1858" i="17"/>
  <c r="H1857" i="17"/>
  <c r="H1856" i="17"/>
  <c r="H1855" i="17"/>
  <c r="H1854" i="17"/>
  <c r="H1853" i="17"/>
  <c r="H1852" i="17"/>
  <c r="H1851" i="17"/>
  <c r="H1850" i="17"/>
  <c r="H1849" i="17"/>
  <c r="H1848" i="17"/>
  <c r="H1847" i="17"/>
  <c r="H1846" i="17"/>
  <c r="H1845" i="17"/>
  <c r="H1844" i="17"/>
  <c r="H1843" i="17"/>
  <c r="H1842" i="17"/>
  <c r="H1841" i="17"/>
  <c r="H1840" i="17"/>
  <c r="H1839" i="17"/>
  <c r="H1838" i="17"/>
  <c r="H1837" i="17"/>
  <c r="H1836" i="17"/>
  <c r="H1835" i="17"/>
  <c r="H1834" i="17"/>
  <c r="H1833" i="17"/>
  <c r="H1832" i="17"/>
  <c r="H1831" i="17"/>
  <c r="H1830" i="17"/>
  <c r="H1829" i="17"/>
  <c r="H1828" i="17"/>
  <c r="H1827" i="17"/>
  <c r="H1826" i="17"/>
  <c r="H1825" i="17"/>
  <c r="H1824" i="17"/>
  <c r="H1823" i="17"/>
  <c r="H1822" i="17"/>
  <c r="H1821" i="17"/>
  <c r="H1820" i="17"/>
  <c r="H1819" i="17"/>
  <c r="H1818" i="17"/>
  <c r="H1817" i="17"/>
  <c r="H1816" i="17"/>
  <c r="H1815" i="17"/>
  <c r="H1814" i="17"/>
  <c r="H1813" i="17"/>
  <c r="H1812" i="17"/>
  <c r="H1811" i="17"/>
  <c r="H1810" i="17"/>
  <c r="H1809" i="17"/>
  <c r="H1808" i="17"/>
  <c r="H1807" i="17"/>
  <c r="H1806" i="17"/>
  <c r="H1805" i="17"/>
  <c r="H1804" i="17"/>
  <c r="H1803" i="17"/>
  <c r="H1802" i="17"/>
  <c r="H1801" i="17"/>
  <c r="H1800" i="17"/>
  <c r="H1799" i="17"/>
  <c r="H1798" i="17"/>
  <c r="H1797" i="17"/>
  <c r="H1796" i="17"/>
  <c r="H1795" i="17"/>
  <c r="H1794" i="17"/>
  <c r="H1793" i="17"/>
  <c r="H1792" i="17"/>
  <c r="H1791" i="17"/>
  <c r="H1790" i="17"/>
  <c r="H1789" i="17"/>
  <c r="H1788" i="17"/>
  <c r="H1787" i="17"/>
  <c r="H1786" i="17"/>
  <c r="H1785" i="17"/>
  <c r="H1784" i="17"/>
  <c r="H1783" i="17"/>
  <c r="H1782" i="17"/>
  <c r="H1781" i="17"/>
  <c r="H1780" i="17"/>
  <c r="H1779" i="17"/>
  <c r="H1778" i="17"/>
  <c r="H1777" i="17"/>
  <c r="H1776" i="17"/>
  <c r="H1775" i="17"/>
  <c r="H1774" i="17"/>
  <c r="H1773" i="17"/>
  <c r="H1772" i="17"/>
  <c r="H1771" i="17"/>
  <c r="H1770" i="17"/>
  <c r="H1769" i="17"/>
  <c r="H1768" i="17"/>
  <c r="H1767" i="17"/>
  <c r="H1766" i="17"/>
  <c r="H1765" i="17"/>
  <c r="H1764" i="17"/>
  <c r="H1763" i="17"/>
  <c r="H1762" i="17"/>
  <c r="H1761" i="17"/>
  <c r="H1760" i="17"/>
  <c r="H1759" i="17"/>
  <c r="H1758" i="17"/>
  <c r="H1757" i="17"/>
  <c r="H1756" i="17"/>
  <c r="H1755" i="17"/>
  <c r="H1754" i="17"/>
  <c r="H1753" i="17"/>
  <c r="H1752" i="17"/>
  <c r="H1751" i="17"/>
  <c r="H1750" i="17"/>
  <c r="H1749" i="17"/>
  <c r="H1748" i="17"/>
  <c r="H1747" i="17"/>
  <c r="H1746" i="17"/>
  <c r="H1745" i="17"/>
  <c r="H1744" i="17"/>
  <c r="H1743" i="17"/>
  <c r="H1742" i="17"/>
  <c r="H1741" i="17"/>
  <c r="H1740" i="17"/>
  <c r="H1739" i="17"/>
  <c r="H1738" i="17"/>
  <c r="H1737" i="17"/>
  <c r="H1736" i="17"/>
  <c r="H1735" i="17"/>
  <c r="H1734" i="17"/>
  <c r="H1733" i="17"/>
  <c r="H1732" i="17"/>
  <c r="H1731" i="17"/>
  <c r="H1730" i="17"/>
  <c r="H1729" i="17"/>
  <c r="H1728" i="17"/>
  <c r="H1727" i="17"/>
  <c r="H1726" i="17"/>
  <c r="H1725" i="17"/>
  <c r="H1724" i="17"/>
  <c r="H1723" i="17"/>
  <c r="H1722" i="17"/>
  <c r="H1721" i="17"/>
  <c r="H1720" i="17"/>
  <c r="H1719" i="17"/>
  <c r="H1718" i="17"/>
  <c r="H1717" i="17"/>
  <c r="H1716" i="17"/>
  <c r="H1715" i="17"/>
  <c r="H1714" i="17"/>
  <c r="H1713" i="17"/>
  <c r="H1712" i="17"/>
  <c r="H1711" i="17"/>
  <c r="H1710" i="17"/>
  <c r="H1709" i="17"/>
  <c r="H1708" i="17"/>
  <c r="H1707" i="17"/>
  <c r="H1706" i="17"/>
  <c r="H1705" i="17"/>
  <c r="H1704" i="17"/>
  <c r="H1703" i="17"/>
  <c r="H1702" i="17"/>
  <c r="H1701" i="17"/>
  <c r="H1700" i="17"/>
  <c r="H1699" i="17"/>
  <c r="H1698" i="17"/>
  <c r="H1697" i="17"/>
  <c r="H1696" i="17"/>
  <c r="H1695" i="17"/>
  <c r="H1694" i="17"/>
  <c r="H1693" i="17"/>
  <c r="H1692" i="17"/>
  <c r="H1691" i="17"/>
  <c r="H1690" i="17"/>
  <c r="H1689" i="17"/>
  <c r="H1688" i="17"/>
  <c r="H1687" i="17"/>
  <c r="H1686" i="17"/>
  <c r="H1685" i="17"/>
  <c r="H1684" i="17"/>
  <c r="H1683" i="17"/>
  <c r="H1682" i="17"/>
  <c r="H1681" i="17"/>
  <c r="H1680" i="17"/>
  <c r="H1679" i="17"/>
  <c r="H1678" i="17"/>
  <c r="H1677" i="17"/>
  <c r="H1676" i="17"/>
  <c r="H1675" i="17"/>
  <c r="H1674" i="17"/>
  <c r="H1673" i="17"/>
  <c r="H1672" i="17"/>
  <c r="H1671" i="17"/>
  <c r="H1670" i="17"/>
  <c r="H1669" i="17"/>
  <c r="H1668" i="17"/>
  <c r="H1667" i="17"/>
  <c r="H1666" i="17"/>
  <c r="H1665" i="17"/>
  <c r="H1664" i="17"/>
  <c r="H1663" i="17"/>
  <c r="H1662" i="17"/>
  <c r="H1661" i="17"/>
  <c r="H1660" i="17"/>
  <c r="H1659" i="17"/>
  <c r="H1658" i="17"/>
  <c r="H1657" i="17"/>
  <c r="H1656" i="17"/>
  <c r="H1655" i="17"/>
  <c r="H1654" i="17"/>
  <c r="H1653" i="17"/>
  <c r="H1652" i="17"/>
  <c r="H1651" i="17"/>
  <c r="H1650" i="17"/>
  <c r="H1649" i="17"/>
  <c r="H1648" i="17"/>
  <c r="H1647" i="17"/>
  <c r="H1646" i="17"/>
  <c r="H1645" i="17"/>
  <c r="H1644" i="17"/>
  <c r="H1643" i="17"/>
  <c r="H1642" i="17"/>
  <c r="H1641" i="17"/>
  <c r="H1640" i="17"/>
  <c r="H1639" i="17"/>
  <c r="H1638" i="17"/>
  <c r="H1637" i="17"/>
  <c r="H1636" i="17"/>
  <c r="H1635" i="17"/>
  <c r="H1634" i="17"/>
  <c r="H1633" i="17"/>
  <c r="H1632" i="17"/>
  <c r="H1631" i="17"/>
  <c r="H1630" i="17"/>
  <c r="H1629" i="17"/>
  <c r="H1628" i="17"/>
  <c r="H1627" i="17"/>
  <c r="H1626" i="17"/>
  <c r="H1625" i="17"/>
  <c r="H1624" i="17"/>
  <c r="H1623" i="17"/>
  <c r="H1622" i="17"/>
  <c r="H1621" i="17"/>
  <c r="H1620" i="17"/>
  <c r="H1619" i="17"/>
  <c r="H1618" i="17"/>
  <c r="H1617" i="17"/>
  <c r="H1616" i="17"/>
  <c r="H1615" i="17"/>
  <c r="H1614" i="17"/>
  <c r="H1613" i="17"/>
  <c r="H1612" i="17"/>
  <c r="H1611" i="17"/>
  <c r="H1610" i="17"/>
  <c r="H1609" i="17"/>
  <c r="H1608" i="17"/>
  <c r="H1607" i="17"/>
  <c r="H1606" i="17"/>
  <c r="H1605" i="17"/>
  <c r="H1604" i="17"/>
  <c r="H1603" i="17"/>
  <c r="H1602" i="17"/>
  <c r="H1601" i="17"/>
  <c r="H1600" i="17"/>
  <c r="H1599" i="17"/>
  <c r="H1598" i="17"/>
  <c r="I22" i="28"/>
  <c r="I21" i="28"/>
  <c r="I16" i="28"/>
  <c r="I15" i="28"/>
  <c r="I14" i="28"/>
  <c r="I13" i="28"/>
  <c r="I12" i="28"/>
  <c r="E16" i="28"/>
  <c r="E15" i="28"/>
  <c r="E14" i="28"/>
  <c r="E13" i="28"/>
  <c r="E12" i="28"/>
  <c r="B16" i="28"/>
  <c r="B15" i="28"/>
  <c r="B14" i="28"/>
  <c r="B13" i="28"/>
  <c r="B12" i="28"/>
  <c r="I19" i="28"/>
  <c r="D7" i="28"/>
  <c r="B7" i="28"/>
  <c r="L12" i="13" l="1"/>
  <c r="U6" i="34"/>
  <c r="I6" i="34" s="1"/>
  <c r="L18" i="13"/>
  <c r="U12" i="34"/>
  <c r="I12" i="34" s="1"/>
  <c r="L13" i="13"/>
  <c r="U7" i="34"/>
  <c r="I7" i="34" s="1"/>
  <c r="L20" i="13"/>
  <c r="U14" i="34"/>
  <c r="I14" i="34" s="1"/>
  <c r="L15" i="13"/>
  <c r="U9" i="34"/>
  <c r="I9" i="34" s="1"/>
  <c r="L16" i="13"/>
  <c r="U10" i="34"/>
  <c r="I10" i="34" s="1"/>
  <c r="L17" i="13"/>
  <c r="U11" i="34"/>
  <c r="I11" i="34" s="1"/>
  <c r="L19" i="13"/>
  <c r="U13" i="34"/>
  <c r="I13" i="34" s="1"/>
  <c r="U8" i="34"/>
  <c r="I8" i="34" s="1"/>
  <c r="L14" i="13"/>
  <c r="M13" i="13"/>
  <c r="V7" i="34"/>
  <c r="G7" i="34" s="1"/>
  <c r="M20" i="13"/>
  <c r="V14" i="34"/>
  <c r="G14" i="34" s="1"/>
  <c r="M16" i="13"/>
  <c r="V10" i="34"/>
  <c r="G10" i="34" s="1"/>
  <c r="M12" i="13"/>
  <c r="V6" i="34"/>
  <c r="G6" i="34" s="1"/>
  <c r="M15" i="13"/>
  <c r="V9" i="34"/>
  <c r="G9" i="34" s="1"/>
  <c r="M14" i="13"/>
  <c r="V8" i="34"/>
  <c r="G8" i="34" s="1"/>
  <c r="M19" i="13"/>
  <c r="V13" i="34"/>
  <c r="G13" i="34" s="1"/>
  <c r="M17" i="13"/>
  <c r="V11" i="34"/>
  <c r="G11" i="34" s="1"/>
  <c r="M18" i="13"/>
  <c r="V12" i="34"/>
  <c r="G12" i="34" s="1"/>
  <c r="AA7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M11" i="13" l="1"/>
  <c r="J6" i="13"/>
  <c r="I6" i="13"/>
  <c r="K7" i="7"/>
  <c r="E6" i="27"/>
  <c r="E3" i="27" s="1"/>
  <c r="O3" i="27"/>
  <c r="N3" i="27"/>
  <c r="M3" i="27"/>
  <c r="L3" i="27"/>
  <c r="K3" i="27"/>
  <c r="J3" i="27"/>
  <c r="I3" i="27"/>
  <c r="H3" i="27"/>
  <c r="E2" i="27"/>
  <c r="K2" i="7" l="1"/>
  <c r="F14" i="27"/>
  <c r="F11" i="27"/>
  <c r="F9" i="27"/>
  <c r="F10" i="27"/>
  <c r="F13" i="27"/>
  <c r="F12" i="27"/>
  <c r="F7" i="27"/>
  <c r="F8" i="27"/>
  <c r="F15" i="27"/>
  <c r="K4" i="7"/>
  <c r="F6" i="27"/>
  <c r="R5" i="34" s="1"/>
  <c r="AA6" i="13"/>
  <c r="F3" i="23"/>
  <c r="E3" i="23"/>
  <c r="Q6" i="13"/>
  <c r="P6" i="13"/>
  <c r="O6" i="13"/>
  <c r="H6" i="13"/>
  <c r="G6" i="13"/>
  <c r="F6" i="13"/>
  <c r="E6" i="13"/>
  <c r="I17" i="13" l="1"/>
  <c r="R11" i="34"/>
  <c r="I18" i="13"/>
  <c r="R12" i="34"/>
  <c r="R6" i="34"/>
  <c r="I12" i="13"/>
  <c r="R9" i="34"/>
  <c r="I15" i="13"/>
  <c r="I14" i="13"/>
  <c r="R8" i="34"/>
  <c r="R10" i="34"/>
  <c r="I16" i="13"/>
  <c r="I19" i="13"/>
  <c r="R13" i="34"/>
  <c r="I20" i="13"/>
  <c r="R14" i="34"/>
  <c r="R7" i="34"/>
  <c r="I13" i="13"/>
  <c r="F3" i="27"/>
  <c r="I11" i="13"/>
  <c r="I8" i="13" s="1"/>
  <c r="I19" i="15"/>
  <c r="I18" i="15"/>
  <c r="I18" i="28" s="1"/>
  <c r="AE4" i="4" l="1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E3" i="16" l="1"/>
  <c r="E3" i="22"/>
  <c r="E3" i="14"/>
  <c r="E3" i="9"/>
  <c r="E3" i="10"/>
  <c r="E3" i="8"/>
  <c r="O3" i="21"/>
  <c r="N3" i="21"/>
  <c r="M3" i="21"/>
  <c r="L3" i="21"/>
  <c r="K3" i="21"/>
  <c r="J3" i="21"/>
  <c r="I3" i="21"/>
  <c r="H3" i="21"/>
  <c r="O3" i="20"/>
  <c r="N3" i="20"/>
  <c r="M3" i="20"/>
  <c r="L3" i="20"/>
  <c r="K3" i="20"/>
  <c r="J3" i="20"/>
  <c r="I3" i="20"/>
  <c r="H3" i="20"/>
  <c r="O3" i="6"/>
  <c r="N3" i="6"/>
  <c r="M3" i="6"/>
  <c r="L3" i="6"/>
  <c r="K3" i="6"/>
  <c r="J3" i="6"/>
  <c r="I3" i="6"/>
  <c r="H3" i="6"/>
  <c r="O3" i="5"/>
  <c r="N3" i="5"/>
  <c r="M3" i="5"/>
  <c r="L3" i="5"/>
  <c r="K3" i="5"/>
  <c r="J3" i="5"/>
  <c r="I3" i="5"/>
  <c r="H3" i="5"/>
  <c r="H4" i="4"/>
  <c r="P4" i="3"/>
  <c r="O4" i="3"/>
  <c r="N4" i="3"/>
  <c r="M4" i="3"/>
  <c r="L4" i="3"/>
  <c r="K4" i="3"/>
  <c r="J4" i="3"/>
  <c r="I4" i="3"/>
  <c r="H4" i="3"/>
  <c r="G4" i="3"/>
  <c r="F4" i="3"/>
  <c r="E4" i="3"/>
  <c r="F4" i="2"/>
  <c r="F3" i="1" l="1"/>
  <c r="E3" i="1"/>
  <c r="H6" i="17" l="1"/>
  <c r="H4" i="17" s="1"/>
  <c r="F4" i="4" l="1"/>
  <c r="S4" i="3" l="1"/>
  <c r="AB4" i="2"/>
  <c r="L11" i="13"/>
  <c r="L8" i="13" s="1"/>
  <c r="M8" i="13"/>
  <c r="B7" i="13"/>
  <c r="U6" i="13"/>
  <c r="F3" i="22"/>
  <c r="E6" i="21"/>
  <c r="E2" i="21"/>
  <c r="E6" i="20"/>
  <c r="E2" i="20"/>
  <c r="F8" i="20" l="1"/>
  <c r="F14" i="20"/>
  <c r="F7" i="20"/>
  <c r="F12" i="20"/>
  <c r="F13" i="20"/>
  <c r="F9" i="20"/>
  <c r="F15" i="20"/>
  <c r="F10" i="20"/>
  <c r="F11" i="20"/>
  <c r="F10" i="21"/>
  <c r="F11" i="21"/>
  <c r="F7" i="21"/>
  <c r="F14" i="21"/>
  <c r="F8" i="21"/>
  <c r="F13" i="21"/>
  <c r="F15" i="21"/>
  <c r="F9" i="21"/>
  <c r="F12" i="21"/>
  <c r="B12" i="34"/>
  <c r="B8" i="34"/>
  <c r="B12" i="27"/>
  <c r="B8" i="27"/>
  <c r="B13" i="21"/>
  <c r="B7" i="20"/>
  <c r="B12" i="6"/>
  <c r="B8" i="6"/>
  <c r="B13" i="5"/>
  <c r="B9" i="5"/>
  <c r="B13" i="4"/>
  <c r="B12" i="3"/>
  <c r="B15" i="2"/>
  <c r="B11" i="2"/>
  <c r="B13" i="1"/>
  <c r="B9" i="1"/>
  <c r="B8" i="2"/>
  <c r="B11" i="5"/>
  <c r="B11" i="1"/>
  <c r="B13" i="23"/>
  <c r="B12" i="14"/>
  <c r="B12" i="9"/>
  <c r="B10" i="8"/>
  <c r="B7" i="21"/>
  <c r="B7" i="34"/>
  <c r="B14" i="21"/>
  <c r="B14" i="5"/>
  <c r="B11" i="4"/>
  <c r="B14" i="1"/>
  <c r="B8" i="23"/>
  <c r="B10" i="22"/>
  <c r="B15" i="9"/>
  <c r="B9" i="8"/>
  <c r="B8" i="7"/>
  <c r="B16" i="4"/>
  <c r="B15" i="23"/>
  <c r="B11" i="23"/>
  <c r="B7" i="23"/>
  <c r="B12" i="16"/>
  <c r="B8" i="16"/>
  <c r="B13" i="22"/>
  <c r="B9" i="22"/>
  <c r="B14" i="14"/>
  <c r="B10" i="14"/>
  <c r="B9" i="34"/>
  <c r="B14" i="9"/>
  <c r="B10" i="9"/>
  <c r="B15" i="10"/>
  <c r="B11" i="10"/>
  <c r="B7" i="10"/>
  <c r="B12" i="8"/>
  <c r="B8" i="8"/>
  <c r="B16" i="7"/>
  <c r="B12" i="7"/>
  <c r="B15" i="27"/>
  <c r="B9" i="21"/>
  <c r="B14" i="20"/>
  <c r="B10" i="20"/>
  <c r="B10" i="4"/>
  <c r="B15" i="3"/>
  <c r="B12" i="1"/>
  <c r="B8" i="3"/>
  <c r="B15" i="1"/>
  <c r="B9" i="23"/>
  <c r="B8" i="14"/>
  <c r="B8" i="9"/>
  <c r="B14" i="8"/>
  <c r="B12" i="20"/>
  <c r="B13" i="27"/>
  <c r="B9" i="6"/>
  <c r="B14" i="3"/>
  <c r="B10" i="1"/>
  <c r="B13" i="16"/>
  <c r="B15" i="14"/>
  <c r="B7" i="9"/>
  <c r="B13" i="8"/>
  <c r="B15" i="20"/>
  <c r="B9" i="3"/>
  <c r="B14" i="34"/>
  <c r="B9" i="7"/>
  <c r="B11" i="27"/>
  <c r="B7" i="27"/>
  <c r="B12" i="21"/>
  <c r="B15" i="6"/>
  <c r="B11" i="6"/>
  <c r="B7" i="6"/>
  <c r="B12" i="5"/>
  <c r="B8" i="5"/>
  <c r="B15" i="4"/>
  <c r="B10" i="3"/>
  <c r="B16" i="2"/>
  <c r="B12" i="2"/>
  <c r="B8" i="1"/>
  <c r="B9" i="2"/>
  <c r="B14" i="16"/>
  <c r="B13" i="34"/>
  <c r="B13" i="10"/>
  <c r="B10" i="7"/>
  <c r="B11" i="3"/>
  <c r="B13" i="6"/>
  <c r="B10" i="2"/>
  <c r="B9" i="16"/>
  <c r="B7" i="14"/>
  <c r="B12" i="10"/>
  <c r="B15" i="7"/>
  <c r="B10" i="21"/>
  <c r="B8" i="4"/>
  <c r="B14" i="23"/>
  <c r="B10" i="23"/>
  <c r="B15" i="16"/>
  <c r="B11" i="16"/>
  <c r="B7" i="16"/>
  <c r="B12" i="22"/>
  <c r="B8" i="22"/>
  <c r="B13" i="14"/>
  <c r="B9" i="14"/>
  <c r="B11" i="34"/>
  <c r="B13" i="9"/>
  <c r="B9" i="9"/>
  <c r="B14" i="10"/>
  <c r="B10" i="10"/>
  <c r="B15" i="8"/>
  <c r="B11" i="8"/>
  <c r="B7" i="8"/>
  <c r="B13" i="7"/>
  <c r="B8" i="21"/>
  <c r="B13" i="20"/>
  <c r="B9" i="20"/>
  <c r="B12" i="4"/>
  <c r="B13" i="3"/>
  <c r="B14" i="27"/>
  <c r="B10" i="27"/>
  <c r="B15" i="21"/>
  <c r="B11" i="21"/>
  <c r="B14" i="6"/>
  <c r="B10" i="6"/>
  <c r="B15" i="5"/>
  <c r="B7" i="5"/>
  <c r="B9" i="4"/>
  <c r="B16" i="3"/>
  <c r="B13" i="2"/>
  <c r="B7" i="1"/>
  <c r="B10" i="16"/>
  <c r="B15" i="22"/>
  <c r="B11" i="22"/>
  <c r="B7" i="22"/>
  <c r="B6" i="34"/>
  <c r="B9" i="10"/>
  <c r="B14" i="7"/>
  <c r="B14" i="4"/>
  <c r="B10" i="34"/>
  <c r="B9" i="27"/>
  <c r="B8" i="20"/>
  <c r="B10" i="5"/>
  <c r="B14" i="2"/>
  <c r="B12" i="23"/>
  <c r="B14" i="22"/>
  <c r="B11" i="14"/>
  <c r="B11" i="9"/>
  <c r="B8" i="10"/>
  <c r="B11" i="7"/>
  <c r="B11" i="20"/>
  <c r="B5" i="34"/>
  <c r="G1533" i="17"/>
  <c r="G1401" i="17"/>
  <c r="G1385" i="17"/>
  <c r="G1377" i="17"/>
  <c r="G1369" i="17"/>
  <c r="G1361" i="17"/>
  <c r="G1349" i="17"/>
  <c r="G1341" i="17"/>
  <c r="G1333" i="17"/>
  <c r="G1325" i="17"/>
  <c r="G1317" i="17"/>
  <c r="G1313" i="17"/>
  <c r="G1305" i="17"/>
  <c r="G1293" i="17"/>
  <c r="G1285" i="17"/>
  <c r="G1597" i="17"/>
  <c r="G1593" i="17"/>
  <c r="G1589" i="17"/>
  <c r="G1585" i="17"/>
  <c r="G1581" i="17"/>
  <c r="G1577" i="17"/>
  <c r="G1573" i="17"/>
  <c r="G1569" i="17"/>
  <c r="G1565" i="17"/>
  <c r="G1561" i="17"/>
  <c r="G1557" i="17"/>
  <c r="G1553" i="17"/>
  <c r="G1549" i="17"/>
  <c r="G1545" i="17"/>
  <c r="G1541" i="17"/>
  <c r="G1537" i="17"/>
  <c r="G1529" i="17"/>
  <c r="G1525" i="17"/>
  <c r="G1521" i="17"/>
  <c r="G1517" i="17"/>
  <c r="G1513" i="17"/>
  <c r="G1509" i="17"/>
  <c r="G1505" i="17"/>
  <c r="G1501" i="17"/>
  <c r="G1497" i="17"/>
  <c r="G1493" i="17"/>
  <c r="G1489" i="17"/>
  <c r="G1485" i="17"/>
  <c r="G1481" i="17"/>
  <c r="G1477" i="17"/>
  <c r="G1473" i="17"/>
  <c r="G1469" i="17"/>
  <c r="G1465" i="17"/>
  <c r="G1461" i="17"/>
  <c r="G1457" i="17"/>
  <c r="G1453" i="17"/>
  <c r="G1449" i="17"/>
  <c r="G1445" i="17"/>
  <c r="G1441" i="17"/>
  <c r="G1437" i="17"/>
  <c r="G1433" i="17"/>
  <c r="G1429" i="17"/>
  <c r="G1425" i="17"/>
  <c r="G1421" i="17"/>
  <c r="G1417" i="17"/>
  <c r="G1413" i="17"/>
  <c r="G1409" i="17"/>
  <c r="G1405" i="17"/>
  <c r="G1397" i="17"/>
  <c r="G1393" i="17"/>
  <c r="G1389" i="17"/>
  <c r="G1381" i="17"/>
  <c r="G1373" i="17"/>
  <c r="G1365" i="17"/>
  <c r="G1357" i="17"/>
  <c r="G1353" i="17"/>
  <c r="G1345" i="17"/>
  <c r="G1337" i="17"/>
  <c r="G1329" i="17"/>
  <c r="G1321" i="17"/>
  <c r="G1309" i="17"/>
  <c r="G1301" i="17"/>
  <c r="G1297" i="17"/>
  <c r="G1289" i="17"/>
  <c r="G1596" i="17"/>
  <c r="G1595" i="17"/>
  <c r="G1591" i="17"/>
  <c r="G1587" i="17"/>
  <c r="G1583" i="17"/>
  <c r="G1579" i="17"/>
  <c r="G1575" i="17"/>
  <c r="G1571" i="17"/>
  <c r="G1567" i="17"/>
  <c r="G1563" i="17"/>
  <c r="G1559" i="17"/>
  <c r="G1555" i="17"/>
  <c r="G1551" i="17"/>
  <c r="G1547" i="17"/>
  <c r="G1543" i="17"/>
  <c r="G1539" i="17"/>
  <c r="G1535" i="17"/>
  <c r="G1531" i="17"/>
  <c r="G1527" i="17"/>
  <c r="G1523" i="17"/>
  <c r="G1519" i="17"/>
  <c r="G1515" i="17"/>
  <c r="G1511" i="17"/>
  <c r="G1507" i="17"/>
  <c r="G1503" i="17"/>
  <c r="G1499" i="17"/>
  <c r="G1495" i="17"/>
  <c r="G1491" i="17"/>
  <c r="G1487" i="17"/>
  <c r="G1483" i="17"/>
  <c r="G1479" i="17"/>
  <c r="G1475" i="17"/>
  <c r="G1471" i="17"/>
  <c r="G1467" i="17"/>
  <c r="G1463" i="17"/>
  <c r="G1459" i="17"/>
  <c r="G1455" i="17"/>
  <c r="G1451" i="17"/>
  <c r="G1447" i="17"/>
  <c r="G1443" i="17"/>
  <c r="G1439" i="17"/>
  <c r="G1435" i="17"/>
  <c r="G1431" i="17"/>
  <c r="G1427" i="17"/>
  <c r="G1423" i="17"/>
  <c r="G1419" i="17"/>
  <c r="G1415" i="17"/>
  <c r="G1411" i="17"/>
  <c r="G1407" i="17"/>
  <c r="G1403" i="17"/>
  <c r="G1399" i="17"/>
  <c r="G1395" i="17"/>
  <c r="G1391" i="17"/>
  <c r="G1387" i="17"/>
  <c r="G1383" i="17"/>
  <c r="G1379" i="17"/>
  <c r="G1375" i="17"/>
  <c r="G1371" i="17"/>
  <c r="G1367" i="17"/>
  <c r="G1363" i="17"/>
  <c r="G1359" i="17"/>
  <c r="G1355" i="17"/>
  <c r="G1351" i="17"/>
  <c r="G1347" i="17"/>
  <c r="G1343" i="17"/>
  <c r="G1339" i="17"/>
  <c r="G1335" i="17"/>
  <c r="G1331" i="17"/>
  <c r="G1327" i="17"/>
  <c r="G1323" i="17"/>
  <c r="G1319" i="17"/>
  <c r="G1315" i="17"/>
  <c r="G1311" i="17"/>
  <c r="G1307" i="17"/>
  <c r="G1303" i="17"/>
  <c r="G1299" i="17"/>
  <c r="G1295" i="17"/>
  <c r="G1291" i="17"/>
  <c r="G1287" i="17"/>
  <c r="G1283" i="17"/>
  <c r="G1279" i="17"/>
  <c r="G1275" i="17"/>
  <c r="G1271" i="17"/>
  <c r="G1267" i="17"/>
  <c r="G1263" i="17"/>
  <c r="G1259" i="17"/>
  <c r="G1586" i="17"/>
  <c r="G1570" i="17"/>
  <c r="G1554" i="17"/>
  <c r="G1538" i="17"/>
  <c r="G1522" i="17"/>
  <c r="G1506" i="17"/>
  <c r="G1490" i="17"/>
  <c r="G1474" i="17"/>
  <c r="G1458" i="17"/>
  <c r="G1442" i="17"/>
  <c r="G1426" i="17"/>
  <c r="G1410" i="17"/>
  <c r="G1394" i="17"/>
  <c r="G1378" i="17"/>
  <c r="G1362" i="17"/>
  <c r="G1346" i="17"/>
  <c r="G1330" i="17"/>
  <c r="G1314" i="17"/>
  <c r="G1298" i="17"/>
  <c r="G1282" i="17"/>
  <c r="G1273" i="17"/>
  <c r="G1264" i="17"/>
  <c r="G1255" i="17"/>
  <c r="G1251" i="17"/>
  <c r="G1247" i="17"/>
  <c r="G1243" i="17"/>
  <c r="G1239" i="17"/>
  <c r="G1235" i="17"/>
  <c r="G1231" i="17"/>
  <c r="G1227" i="17"/>
  <c r="G1223" i="17"/>
  <c r="G1219" i="17"/>
  <c r="G1215" i="17"/>
  <c r="G1211" i="17"/>
  <c r="G1207" i="17"/>
  <c r="G1203" i="17"/>
  <c r="G1199" i="17"/>
  <c r="G1195" i="17"/>
  <c r="G1191" i="17"/>
  <c r="G1187" i="17"/>
  <c r="G1183" i="17"/>
  <c r="G1179" i="17"/>
  <c r="G1175" i="17"/>
  <c r="G1171" i="17"/>
  <c r="G1167" i="17"/>
  <c r="G1163" i="17"/>
  <c r="G1159" i="17"/>
  <c r="G1155" i="17"/>
  <c r="G1151" i="17"/>
  <c r="G1147" i="17"/>
  <c r="G1143" i="17"/>
  <c r="G1139" i="17"/>
  <c r="G1135" i="17"/>
  <c r="G1131" i="17"/>
  <c r="G1127" i="17"/>
  <c r="G1123" i="17"/>
  <c r="G1119" i="17"/>
  <c r="G1115" i="17"/>
  <c r="G1111" i="17"/>
  <c r="G1107" i="17"/>
  <c r="G1103" i="17"/>
  <c r="G1099" i="17"/>
  <c r="G1095" i="17"/>
  <c r="G1091" i="17"/>
  <c r="G1087" i="17"/>
  <c r="G1083" i="17"/>
  <c r="G1079" i="17"/>
  <c r="G1075" i="17"/>
  <c r="G1071" i="17"/>
  <c r="G1067" i="17"/>
  <c r="G1063" i="17"/>
  <c r="G1059" i="17"/>
  <c r="G1055" i="17"/>
  <c r="G1051" i="17"/>
  <c r="G1047" i="17"/>
  <c r="G1043" i="17"/>
  <c r="G1039" i="17"/>
  <c r="G1035" i="17"/>
  <c r="G1031" i="17"/>
  <c r="G1027" i="17"/>
  <c r="G1023" i="17"/>
  <c r="G1019" i="17"/>
  <c r="G1015" i="17"/>
  <c r="G1011" i="17"/>
  <c r="G1007" i="17"/>
  <c r="G1580" i="17"/>
  <c r="G1564" i="17"/>
  <c r="G1548" i="17"/>
  <c r="G1532" i="17"/>
  <c r="G1516" i="17"/>
  <c r="G1500" i="17"/>
  <c r="G1484" i="17"/>
  <c r="G1468" i="17"/>
  <c r="G1452" i="17"/>
  <c r="G1436" i="17"/>
  <c r="G1420" i="17"/>
  <c r="G1404" i="17"/>
  <c r="G1388" i="17"/>
  <c r="G1372" i="17"/>
  <c r="G1356" i="17"/>
  <c r="G1340" i="17"/>
  <c r="G1324" i="17"/>
  <c r="G1308" i="17"/>
  <c r="G1292" i="17"/>
  <c r="G1277" i="17"/>
  <c r="G1268" i="17"/>
  <c r="G1174" i="17"/>
  <c r="G1114" i="17"/>
  <c r="G1102" i="17"/>
  <c r="G1094" i="17"/>
  <c r="G1086" i="17"/>
  <c r="G1074" i="17"/>
  <c r="G1066" i="17"/>
  <c r="G1058" i="17"/>
  <c r="G1050" i="17"/>
  <c r="G1042" i="17"/>
  <c r="G1038" i="17"/>
  <c r="G1030" i="17"/>
  <c r="G1022" i="17"/>
  <c r="G1014" i="17"/>
  <c r="G1006" i="17"/>
  <c r="G998" i="17"/>
  <c r="G990" i="17"/>
  <c r="G982" i="17"/>
  <c r="G974" i="17"/>
  <c r="G966" i="17"/>
  <c r="G958" i="17"/>
  <c r="G950" i="17"/>
  <c r="G942" i="17"/>
  <c r="G1590" i="17"/>
  <c r="G1574" i="17"/>
  <c r="G1558" i="17"/>
  <c r="G1542" i="17"/>
  <c r="G1526" i="17"/>
  <c r="G1510" i="17"/>
  <c r="G1494" i="17"/>
  <c r="G1478" i="17"/>
  <c r="G1462" i="17"/>
  <c r="G1446" i="17"/>
  <c r="G1430" i="17"/>
  <c r="G1414" i="17"/>
  <c r="G1398" i="17"/>
  <c r="G1382" i="17"/>
  <c r="G1366" i="17"/>
  <c r="G1350" i="17"/>
  <c r="G1334" i="17"/>
  <c r="G1318" i="17"/>
  <c r="G1302" i="17"/>
  <c r="G1286" i="17"/>
  <c r="G1281" i="17"/>
  <c r="G1272" i="17"/>
  <c r="G1258" i="17"/>
  <c r="G1254" i="17"/>
  <c r="G1250" i="17"/>
  <c r="G1246" i="17"/>
  <c r="G1242" i="17"/>
  <c r="G1238" i="17"/>
  <c r="G1234" i="17"/>
  <c r="G1230" i="17"/>
  <c r="G1226" i="17"/>
  <c r="G1222" i="17"/>
  <c r="G1218" i="17"/>
  <c r="G1214" i="17"/>
  <c r="G1210" i="17"/>
  <c r="G1206" i="17"/>
  <c r="G1202" i="17"/>
  <c r="G1198" i="17"/>
  <c r="G1194" i="17"/>
  <c r="G1190" i="17"/>
  <c r="G1186" i="17"/>
  <c r="G1182" i="17"/>
  <c r="G1178" i="17"/>
  <c r="G1170" i="17"/>
  <c r="G1166" i="17"/>
  <c r="G1162" i="17"/>
  <c r="G1158" i="17"/>
  <c r="G1154" i="17"/>
  <c r="G1150" i="17"/>
  <c r="G1146" i="17"/>
  <c r="G1142" i="17"/>
  <c r="G1138" i="17"/>
  <c r="G1134" i="17"/>
  <c r="G1130" i="17"/>
  <c r="G1126" i="17"/>
  <c r="G1122" i="17"/>
  <c r="G1118" i="17"/>
  <c r="G1110" i="17"/>
  <c r="G1106" i="17"/>
  <c r="G1098" i="17"/>
  <c r="G1090" i="17"/>
  <c r="G1082" i="17"/>
  <c r="G1078" i="17"/>
  <c r="G1070" i="17"/>
  <c r="G1062" i="17"/>
  <c r="G1054" i="17"/>
  <c r="G1046" i="17"/>
  <c r="G1034" i="17"/>
  <c r="G1026" i="17"/>
  <c r="G1018" i="17"/>
  <c r="G1010" i="17"/>
  <c r="G1002" i="17"/>
  <c r="G994" i="17"/>
  <c r="G986" i="17"/>
  <c r="G978" i="17"/>
  <c r="G970" i="17"/>
  <c r="G962" i="17"/>
  <c r="G954" i="17"/>
  <c r="G946" i="17"/>
  <c r="G938" i="17"/>
  <c r="G1584" i="17"/>
  <c r="G1568" i="17"/>
  <c r="G1552" i="17"/>
  <c r="G1536" i="17"/>
  <c r="G1520" i="17"/>
  <c r="G1504" i="17"/>
  <c r="G1488" i="17"/>
  <c r="G1472" i="17"/>
  <c r="G1456" i="17"/>
  <c r="G1440" i="17"/>
  <c r="G1424" i="17"/>
  <c r="G1408" i="17"/>
  <c r="G1392" i="17"/>
  <c r="G1376" i="17"/>
  <c r="G1360" i="17"/>
  <c r="G1344" i="17"/>
  <c r="G1328" i="17"/>
  <c r="G1312" i="17"/>
  <c r="G1296" i="17"/>
  <c r="G1276" i="17"/>
  <c r="G1262" i="17"/>
  <c r="G1594" i="17"/>
  <c r="G1578" i="17"/>
  <c r="G1562" i="17"/>
  <c r="G1546" i="17"/>
  <c r="G1530" i="17"/>
  <c r="G1514" i="17"/>
  <c r="G1498" i="17"/>
  <c r="G1482" i="17"/>
  <c r="G1466" i="17"/>
  <c r="G1450" i="17"/>
  <c r="G1434" i="17"/>
  <c r="G1418" i="17"/>
  <c r="G1402" i="17"/>
  <c r="G1386" i="17"/>
  <c r="G1370" i="17"/>
  <c r="G1354" i="17"/>
  <c r="G1338" i="17"/>
  <c r="G1322" i="17"/>
  <c r="G1306" i="17"/>
  <c r="G1290" i="17"/>
  <c r="G1280" i="17"/>
  <c r="G1266" i="17"/>
  <c r="G1257" i="17"/>
  <c r="G1253" i="17"/>
  <c r="G1249" i="17"/>
  <c r="G1245" i="17"/>
  <c r="G1241" i="17"/>
  <c r="G1237" i="17"/>
  <c r="G1233" i="17"/>
  <c r="G1229" i="17"/>
  <c r="G1225" i="17"/>
  <c r="G1221" i="17"/>
  <c r="G1217" i="17"/>
  <c r="G1213" i="17"/>
  <c r="G1209" i="17"/>
  <c r="G1205" i="17"/>
  <c r="G1201" i="17"/>
  <c r="G1197" i="17"/>
  <c r="G1193" i="17"/>
  <c r="G1189" i="17"/>
  <c r="G1185" i="17"/>
  <c r="G1181" i="17"/>
  <c r="G1177" i="17"/>
  <c r="G1173" i="17"/>
  <c r="G1169" i="17"/>
  <c r="G1550" i="17"/>
  <c r="G1496" i="17"/>
  <c r="G1476" i="17"/>
  <c r="G1422" i="17"/>
  <c r="G1368" i="17"/>
  <c r="G1348" i="17"/>
  <c r="G1294" i="17"/>
  <c r="G1274" i="17"/>
  <c r="G1256" i="17"/>
  <c r="G1224" i="17"/>
  <c r="G1192" i="17"/>
  <c r="G1161" i="17"/>
  <c r="G1156" i="17"/>
  <c r="G1145" i="17"/>
  <c r="G1140" i="17"/>
  <c r="G1129" i="17"/>
  <c r="G1124" i="17"/>
  <c r="G1113" i="17"/>
  <c r="G1108" i="17"/>
  <c r="G1097" i="17"/>
  <c r="G1092" i="17"/>
  <c r="G1081" i="17"/>
  <c r="G1076" i="17"/>
  <c r="G1065" i="17"/>
  <c r="G1060" i="17"/>
  <c r="G1049" i="17"/>
  <c r="G1044" i="17"/>
  <c r="G1033" i="17"/>
  <c r="G1028" i="17"/>
  <c r="G1017" i="17"/>
  <c r="G1012" i="17"/>
  <c r="G997" i="17"/>
  <c r="G988" i="17"/>
  <c r="G979" i="17"/>
  <c r="G965" i="17"/>
  <c r="G956" i="17"/>
  <c r="G947" i="17"/>
  <c r="G797" i="17"/>
  <c r="G749" i="17"/>
  <c r="G741" i="17"/>
  <c r="G733" i="17"/>
  <c r="G725" i="17"/>
  <c r="G717" i="17"/>
  <c r="G709" i="17"/>
  <c r="G1576" i="17"/>
  <c r="G1556" i="17"/>
  <c r="G1502" i="17"/>
  <c r="G1448" i="17"/>
  <c r="G1428" i="17"/>
  <c r="G1374" i="17"/>
  <c r="G1320" i="17"/>
  <c r="G1300" i="17"/>
  <c r="G1261" i="17"/>
  <c r="G1236" i="17"/>
  <c r="G1204" i="17"/>
  <c r="G1172" i="17"/>
  <c r="G1001" i="17"/>
  <c r="G992" i="17"/>
  <c r="G983" i="17"/>
  <c r="G969" i="17"/>
  <c r="G960" i="17"/>
  <c r="G951" i="17"/>
  <c r="G937" i="17"/>
  <c r="G933" i="17"/>
  <c r="G929" i="17"/>
  <c r="G925" i="17"/>
  <c r="G921" i="17"/>
  <c r="G917" i="17"/>
  <c r="G913" i="17"/>
  <c r="G909" i="17"/>
  <c r="G905" i="17"/>
  <c r="G901" i="17"/>
  <c r="G897" i="17"/>
  <c r="G893" i="17"/>
  <c r="G889" i="17"/>
  <c r="G885" i="17"/>
  <c r="G881" i="17"/>
  <c r="G877" i="17"/>
  <c r="G873" i="17"/>
  <c r="G869" i="17"/>
  <c r="G865" i="17"/>
  <c r="G861" i="17"/>
  <c r="G857" i="17"/>
  <c r="G853" i="17"/>
  <c r="G849" i="17"/>
  <c r="G845" i="17"/>
  <c r="G841" i="17"/>
  <c r="G837" i="17"/>
  <c r="G833" i="17"/>
  <c r="G829" i="17"/>
  <c r="G825" i="17"/>
  <c r="G821" i="17"/>
  <c r="G817" i="17"/>
  <c r="G813" i="17"/>
  <c r="G809" i="17"/>
  <c r="G805" i="17"/>
  <c r="G801" i="17"/>
  <c r="G793" i="17"/>
  <c r="G789" i="17"/>
  <c r="G785" i="17"/>
  <c r="G781" i="17"/>
  <c r="G777" i="17"/>
  <c r="G773" i="17"/>
  <c r="G769" i="17"/>
  <c r="G765" i="17"/>
  <c r="G761" i="17"/>
  <c r="G757" i="17"/>
  <c r="G753" i="17"/>
  <c r="G745" i="17"/>
  <c r="G737" i="17"/>
  <c r="G729" i="17"/>
  <c r="G721" i="17"/>
  <c r="G713" i="17"/>
  <c r="G705" i="17"/>
  <c r="G1582" i="17"/>
  <c r="G1528" i="17"/>
  <c r="G1508" i="17"/>
  <c r="G1454" i="17"/>
  <c r="G1400" i="17"/>
  <c r="G1380" i="17"/>
  <c r="G1326" i="17"/>
  <c r="G1248" i="17"/>
  <c r="G1216" i="17"/>
  <c r="G1184" i="17"/>
  <c r="G1165" i="17"/>
  <c r="G1160" i="17"/>
  <c r="G1149" i="17"/>
  <c r="G1144" i="17"/>
  <c r="G1133" i="17"/>
  <c r="G1128" i="17"/>
  <c r="G1117" i="17"/>
  <c r="G1112" i="17"/>
  <c r="G1101" i="17"/>
  <c r="G1096" i="17"/>
  <c r="G1085" i="17"/>
  <c r="G1080" i="17"/>
  <c r="G1069" i="17"/>
  <c r="G1064" i="17"/>
  <c r="G1053" i="17"/>
  <c r="G1048" i="17"/>
  <c r="G1037" i="17"/>
  <c r="G1032" i="17"/>
  <c r="G1021" i="17"/>
  <c r="G1016" i="17"/>
  <c r="G1005" i="17"/>
  <c r="G996" i="17"/>
  <c r="G987" i="17"/>
  <c r="G973" i="17"/>
  <c r="G964" i="17"/>
  <c r="G955" i="17"/>
  <c r="G941" i="17"/>
  <c r="G724" i="17"/>
  <c r="G684" i="17"/>
  <c r="G676" i="17"/>
  <c r="G668" i="17"/>
  <c r="G660" i="17"/>
  <c r="G652" i="17"/>
  <c r="G644" i="17"/>
  <c r="G636" i="17"/>
  <c r="G1588" i="17"/>
  <c r="G1534" i="17"/>
  <c r="G1480" i="17"/>
  <c r="G1460" i="17"/>
  <c r="G1406" i="17"/>
  <c r="G1352" i="17"/>
  <c r="G1332" i="17"/>
  <c r="G1278" i="17"/>
  <c r="G1260" i="17"/>
  <c r="G1228" i="17"/>
  <c r="G1196" i="17"/>
  <c r="G1000" i="17"/>
  <c r="G991" i="17"/>
  <c r="G977" i="17"/>
  <c r="G968" i="17"/>
  <c r="G959" i="17"/>
  <c r="G945" i="17"/>
  <c r="G936" i="17"/>
  <c r="G932" i="17"/>
  <c r="G928" i="17"/>
  <c r="G924" i="17"/>
  <c r="G920" i="17"/>
  <c r="G916" i="17"/>
  <c r="G912" i="17"/>
  <c r="G908" i="17"/>
  <c r="G904" i="17"/>
  <c r="G900" i="17"/>
  <c r="G896" i="17"/>
  <c r="G892" i="17"/>
  <c r="G888" i="17"/>
  <c r="G884" i="17"/>
  <c r="G880" i="17"/>
  <c r="G876" i="17"/>
  <c r="G872" i="17"/>
  <c r="G868" i="17"/>
  <c r="G864" i="17"/>
  <c r="G860" i="17"/>
  <c r="G856" i="17"/>
  <c r="G852" i="17"/>
  <c r="G848" i="17"/>
  <c r="G844" i="17"/>
  <c r="G840" i="17"/>
  <c r="G836" i="17"/>
  <c r="G832" i="17"/>
  <c r="G828" i="17"/>
  <c r="G824" i="17"/>
  <c r="G820" i="17"/>
  <c r="G816" i="17"/>
  <c r="G812" i="17"/>
  <c r="G808" i="17"/>
  <c r="G804" i="17"/>
  <c r="G800" i="17"/>
  <c r="G796" i="17"/>
  <c r="G792" i="17"/>
  <c r="G788" i="17"/>
  <c r="G784" i="17"/>
  <c r="G780" i="17"/>
  <c r="G776" i="17"/>
  <c r="G772" i="17"/>
  <c r="G768" i="17"/>
  <c r="G764" i="17"/>
  <c r="G760" i="17"/>
  <c r="G756" i="17"/>
  <c r="G752" i="17"/>
  <c r="G748" i="17"/>
  <c r="G744" i="17"/>
  <c r="G740" i="17"/>
  <c r="G736" i="17"/>
  <c r="G732" i="17"/>
  <c r="G728" i="17"/>
  <c r="G720" i="17"/>
  <c r="G716" i="17"/>
  <c r="G712" i="17"/>
  <c r="G708" i="17"/>
  <c r="G704" i="17"/>
  <c r="G700" i="17"/>
  <c r="G696" i="17"/>
  <c r="G692" i="17"/>
  <c r="G688" i="17"/>
  <c r="G680" i="17"/>
  <c r="G672" i="17"/>
  <c r="G664" i="17"/>
  <c r="G656" i="17"/>
  <c r="G648" i="17"/>
  <c r="G640" i="17"/>
  <c r="G1524" i="17"/>
  <c r="G1269" i="17"/>
  <c r="G1212" i="17"/>
  <c r="G1137" i="17"/>
  <c r="G1105" i="17"/>
  <c r="G1073" i="17"/>
  <c r="G1041" i="17"/>
  <c r="G1009" i="17"/>
  <c r="G985" i="17"/>
  <c r="G980" i="17"/>
  <c r="G934" i="17"/>
  <c r="G923" i="17"/>
  <c r="G918" i="17"/>
  <c r="G907" i="17"/>
  <c r="G902" i="17"/>
  <c r="G891" i="17"/>
  <c r="G886" i="17"/>
  <c r="G875" i="17"/>
  <c r="G870" i="17"/>
  <c r="G859" i="17"/>
  <c r="G854" i="17"/>
  <c r="G843" i="17"/>
  <c r="G838" i="17"/>
  <c r="G827" i="17"/>
  <c r="G822" i="17"/>
  <c r="G811" i="17"/>
  <c r="G806" i="17"/>
  <c r="G795" i="17"/>
  <c r="G790" i="17"/>
  <c r="G779" i="17"/>
  <c r="G774" i="17"/>
  <c r="G763" i="17"/>
  <c r="G758" i="17"/>
  <c r="G747" i="17"/>
  <c r="G742" i="17"/>
  <c r="G731" i="17"/>
  <c r="G726" i="17"/>
  <c r="G715" i="17"/>
  <c r="G710" i="17"/>
  <c r="G695" i="17"/>
  <c r="G686" i="17"/>
  <c r="G677" i="17"/>
  <c r="G663" i="17"/>
  <c r="G654" i="17"/>
  <c r="G645" i="17"/>
  <c r="G475" i="17"/>
  <c r="G447" i="17"/>
  <c r="G439" i="17"/>
  <c r="G431" i="17"/>
  <c r="G423" i="17"/>
  <c r="G415" i="17"/>
  <c r="G407" i="17"/>
  <c r="G399" i="17"/>
  <c r="G391" i="17"/>
  <c r="G383" i="17"/>
  <c r="G375" i="17"/>
  <c r="G367" i="17"/>
  <c r="G359" i="17"/>
  <c r="G351" i="17"/>
  <c r="G343" i="17"/>
  <c r="G335" i="17"/>
  <c r="G327" i="17"/>
  <c r="G319" i="17"/>
  <c r="G311" i="17"/>
  <c r="G303" i="17"/>
  <c r="G295" i="17"/>
  <c r="G287" i="17"/>
  <c r="G279" i="17"/>
  <c r="G271" i="17"/>
  <c r="G263" i="17"/>
  <c r="G255" i="17"/>
  <c r="G247" i="17"/>
  <c r="G239" i="17"/>
  <c r="G1560" i="17"/>
  <c r="G1304" i="17"/>
  <c r="G1240" i="17"/>
  <c r="G1176" i="17"/>
  <c r="G1003" i="17"/>
  <c r="G944" i="17"/>
  <c r="G939" i="17"/>
  <c r="G699" i="17"/>
  <c r="G690" i="17"/>
  <c r="G681" i="17"/>
  <c r="G667" i="17"/>
  <c r="G658" i="17"/>
  <c r="G649" i="17"/>
  <c r="G635" i="17"/>
  <c r="G631" i="17"/>
  <c r="G627" i="17"/>
  <c r="G623" i="17"/>
  <c r="G619" i="17"/>
  <c r="G615" i="17"/>
  <c r="G611" i="17"/>
  <c r="G607" i="17"/>
  <c r="G603" i="17"/>
  <c r="G599" i="17"/>
  <c r="G595" i="17"/>
  <c r="G591" i="17"/>
  <c r="G587" i="17"/>
  <c r="G583" i="17"/>
  <c r="G579" i="17"/>
  <c r="G575" i="17"/>
  <c r="G571" i="17"/>
  <c r="G567" i="17"/>
  <c r="G563" i="17"/>
  <c r="G559" i="17"/>
  <c r="G555" i="17"/>
  <c r="G551" i="17"/>
  <c r="G547" i="17"/>
  <c r="G543" i="17"/>
  <c r="G539" i="17"/>
  <c r="G535" i="17"/>
  <c r="G531" i="17"/>
  <c r="G527" i="17"/>
  <c r="G523" i="17"/>
  <c r="G519" i="17"/>
  <c r="G515" i="17"/>
  <c r="G511" i="17"/>
  <c r="G507" i="17"/>
  <c r="G503" i="17"/>
  <c r="G499" i="17"/>
  <c r="G495" i="17"/>
  <c r="G491" i="17"/>
  <c r="G487" i="17"/>
  <c r="G483" i="17"/>
  <c r="G479" i="17"/>
  <c r="G471" i="17"/>
  <c r="G467" i="17"/>
  <c r="G463" i="17"/>
  <c r="G459" i="17"/>
  <c r="G455" i="17"/>
  <c r="G451" i="17"/>
  <c r="G443" i="17"/>
  <c r="G435" i="17"/>
  <c r="G427" i="17"/>
  <c r="G419" i="17"/>
  <c r="G411" i="17"/>
  <c r="G403" i="17"/>
  <c r="G395" i="17"/>
  <c r="G387" i="17"/>
  <c r="G379" i="17"/>
  <c r="G371" i="17"/>
  <c r="G363" i="17"/>
  <c r="G355" i="17"/>
  <c r="G347" i="17"/>
  <c r="G339" i="17"/>
  <c r="G331" i="17"/>
  <c r="G323" i="17"/>
  <c r="G315" i="17"/>
  <c r="G307" i="17"/>
  <c r="G299" i="17"/>
  <c r="G291" i="17"/>
  <c r="G283" i="17"/>
  <c r="G275" i="17"/>
  <c r="G267" i="17"/>
  <c r="G259" i="17"/>
  <c r="G251" i="17"/>
  <c r="G243" i="17"/>
  <c r="G1566" i="17"/>
  <c r="G1544" i="17"/>
  <c r="G1486" i="17"/>
  <c r="G1464" i="17"/>
  <c r="G1384" i="17"/>
  <c r="G1310" i="17"/>
  <c r="G1288" i="17"/>
  <c r="G1232" i="17"/>
  <c r="G1168" i="17"/>
  <c r="G1136" i="17"/>
  <c r="G1104" i="17"/>
  <c r="G1072" i="17"/>
  <c r="G1040" i="17"/>
  <c r="G1008" i="17"/>
  <c r="G984" i="17"/>
  <c r="G967" i="17"/>
  <c r="G961" i="17"/>
  <c r="G949" i="17"/>
  <c r="G927" i="17"/>
  <c r="G922" i="17"/>
  <c r="G911" i="17"/>
  <c r="G906" i="17"/>
  <c r="G895" i="17"/>
  <c r="G890" i="17"/>
  <c r="G879" i="17"/>
  <c r="G874" i="17"/>
  <c r="G863" i="17"/>
  <c r="G858" i="17"/>
  <c r="G847" i="17"/>
  <c r="G842" i="17"/>
  <c r="G831" i="17"/>
  <c r="G826" i="17"/>
  <c r="G815" i="17"/>
  <c r="G810" i="17"/>
  <c r="G799" i="17"/>
  <c r="G794" i="17"/>
  <c r="G783" i="17"/>
  <c r="G778" i="17"/>
  <c r="G767" i="17"/>
  <c r="G762" i="17"/>
  <c r="G751" i="17"/>
  <c r="G746" i="17"/>
  <c r="G735" i="17"/>
  <c r="G730" i="17"/>
  <c r="G719" i="17"/>
  <c r="G714" i="17"/>
  <c r="G703" i="17"/>
  <c r="G694" i="17"/>
  <c r="G685" i="17"/>
  <c r="G671" i="17"/>
  <c r="G662" i="17"/>
  <c r="G653" i="17"/>
  <c r="G639" i="17"/>
  <c r="G402" i="17"/>
  <c r="G378" i="17"/>
  <c r="G370" i="17"/>
  <c r="G362" i="17"/>
  <c r="G358" i="17"/>
  <c r="G350" i="17"/>
  <c r="G342" i="17"/>
  <c r="G334" i="17"/>
  <c r="G326" i="17"/>
  <c r="G318" i="17"/>
  <c r="G310" i="17"/>
  <c r="G302" i="17"/>
  <c r="G294" i="17"/>
  <c r="G286" i="17"/>
  <c r="G278" i="17"/>
  <c r="G270" i="17"/>
  <c r="G262" i="17"/>
  <c r="G254" i="17"/>
  <c r="G246" i="17"/>
  <c r="G238" i="17"/>
  <c r="G230" i="17"/>
  <c r="G222" i="17"/>
  <c r="G1572" i="17"/>
  <c r="G1492" i="17"/>
  <c r="G1470" i="17"/>
  <c r="G1412" i="17"/>
  <c r="G1390" i="17"/>
  <c r="G1316" i="17"/>
  <c r="G1252" i="17"/>
  <c r="G1188" i="17"/>
  <c r="G1148" i="17"/>
  <c r="G1141" i="17"/>
  <c r="G1116" i="17"/>
  <c r="G1109" i="17"/>
  <c r="G1084" i="17"/>
  <c r="G1077" i="17"/>
  <c r="G1052" i="17"/>
  <c r="G1045" i="17"/>
  <c r="G1020" i="17"/>
  <c r="G1013" i="17"/>
  <c r="G995" i="17"/>
  <c r="G989" i="17"/>
  <c r="G972" i="17"/>
  <c r="G943" i="17"/>
  <c r="G698" i="17"/>
  <c r="G689" i="17"/>
  <c r="G675" i="17"/>
  <c r="G666" i="17"/>
  <c r="G657" i="17"/>
  <c r="G643" i="17"/>
  <c r="G634" i="17"/>
  <c r="G630" i="17"/>
  <c r="G626" i="17"/>
  <c r="G622" i="17"/>
  <c r="G618" i="17"/>
  <c r="G614" i="17"/>
  <c r="G610" i="17"/>
  <c r="G606" i="17"/>
  <c r="G602" i="17"/>
  <c r="G598" i="17"/>
  <c r="G594" i="17"/>
  <c r="G590" i="17"/>
  <c r="G586" i="17"/>
  <c r="G582" i="17"/>
  <c r="G578" i="17"/>
  <c r="G574" i="17"/>
  <c r="G570" i="17"/>
  <c r="G566" i="17"/>
  <c r="G562" i="17"/>
  <c r="G558" i="17"/>
  <c r="G554" i="17"/>
  <c r="G550" i="17"/>
  <c r="G546" i="17"/>
  <c r="G542" i="17"/>
  <c r="G538" i="17"/>
  <c r="G534" i="17"/>
  <c r="G530" i="17"/>
  <c r="G526" i="17"/>
  <c r="G522" i="17"/>
  <c r="G518" i="17"/>
  <c r="G514" i="17"/>
  <c r="G510" i="17"/>
  <c r="G506" i="17"/>
  <c r="G502" i="17"/>
  <c r="G498" i="17"/>
  <c r="G494" i="17"/>
  <c r="G490" i="17"/>
  <c r="G486" i="17"/>
  <c r="G482" i="17"/>
  <c r="G478" i="17"/>
  <c r="G474" i="17"/>
  <c r="G470" i="17"/>
  <c r="G466" i="17"/>
  <c r="G462" i="17"/>
  <c r="G458" i="17"/>
  <c r="G454" i="17"/>
  <c r="G450" i="17"/>
  <c r="G446" i="17"/>
  <c r="G442" i="17"/>
  <c r="G438" i="17"/>
  <c r="G434" i="17"/>
  <c r="G430" i="17"/>
  <c r="G426" i="17"/>
  <c r="G422" i="17"/>
  <c r="G418" i="17"/>
  <c r="G414" i="17"/>
  <c r="G410" i="17"/>
  <c r="G406" i="17"/>
  <c r="G398" i="17"/>
  <c r="G394" i="17"/>
  <c r="G390" i="17"/>
  <c r="G386" i="17"/>
  <c r="G382" i="17"/>
  <c r="G374" i="17"/>
  <c r="G366" i="17"/>
  <c r="G354" i="17"/>
  <c r="G346" i="17"/>
  <c r="G338" i="17"/>
  <c r="G330" i="17"/>
  <c r="G322" i="17"/>
  <c r="G314" i="17"/>
  <c r="G306" i="17"/>
  <c r="G298" i="17"/>
  <c r="G290" i="17"/>
  <c r="G282" i="17"/>
  <c r="G274" i="17"/>
  <c r="G266" i="17"/>
  <c r="G258" i="17"/>
  <c r="G250" i="17"/>
  <c r="G242" i="17"/>
  <c r="G234" i="17"/>
  <c r="G226" i="17"/>
  <c r="G1208" i="17"/>
  <c r="G1121" i="17"/>
  <c r="G1057" i="17"/>
  <c r="G993" i="17"/>
  <c r="G914" i="17"/>
  <c r="G882" i="17"/>
  <c r="G850" i="17"/>
  <c r="G818" i="17"/>
  <c r="G786" i="17"/>
  <c r="G754" i="17"/>
  <c r="G722" i="17"/>
  <c r="G697" i="17"/>
  <c r="G691" i="17"/>
  <c r="G679" i="17"/>
  <c r="G650" i="17"/>
  <c r="G633" i="17"/>
  <c r="G628" i="17"/>
  <c r="G617" i="17"/>
  <c r="G612" i="17"/>
  <c r="G601" i="17"/>
  <c r="G596" i="17"/>
  <c r="G585" i="17"/>
  <c r="G580" i="17"/>
  <c r="G569" i="17"/>
  <c r="G564" i="17"/>
  <c r="G553" i="17"/>
  <c r="G548" i="17"/>
  <c r="G537" i="17"/>
  <c r="G532" i="17"/>
  <c r="G521" i="17"/>
  <c r="G516" i="17"/>
  <c r="G505" i="17"/>
  <c r="G500" i="17"/>
  <c r="G489" i="17"/>
  <c r="G484" i="17"/>
  <c r="G473" i="17"/>
  <c r="G468" i="17"/>
  <c r="G457" i="17"/>
  <c r="G452" i="17"/>
  <c r="G441" i="17"/>
  <c r="G436" i="17"/>
  <c r="G425" i="17"/>
  <c r="G420" i="17"/>
  <c r="G409" i="17"/>
  <c r="G404" i="17"/>
  <c r="G393" i="17"/>
  <c r="G388" i="17"/>
  <c r="G377" i="17"/>
  <c r="G372" i="17"/>
  <c r="G361" i="17"/>
  <c r="G356" i="17"/>
  <c r="G345" i="17"/>
  <c r="G340" i="17"/>
  <c r="G329" i="17"/>
  <c r="G324" i="17"/>
  <c r="G313" i="17"/>
  <c r="G308" i="17"/>
  <c r="G297" i="17"/>
  <c r="G292" i="17"/>
  <c r="G281" i="17"/>
  <c r="G276" i="17"/>
  <c r="G265" i="17"/>
  <c r="G260" i="17"/>
  <c r="G249" i="17"/>
  <c r="G244" i="17"/>
  <c r="G229" i="17"/>
  <c r="G220" i="17"/>
  <c r="G216" i="17"/>
  <c r="G212" i="17"/>
  <c r="G208" i="17"/>
  <c r="G204" i="17"/>
  <c r="G200" i="17"/>
  <c r="G196" i="17"/>
  <c r="G192" i="17"/>
  <c r="G188" i="17"/>
  <c r="G184" i="17"/>
  <c r="G180" i="17"/>
  <c r="G176" i="17"/>
  <c r="G172" i="17"/>
  <c r="G168" i="17"/>
  <c r="G164" i="17"/>
  <c r="G160" i="17"/>
  <c r="G156" i="17"/>
  <c r="G152" i="17"/>
  <c r="G148" i="17"/>
  <c r="G144" i="17"/>
  <c r="G140" i="17"/>
  <c r="G136" i="17"/>
  <c r="G132" i="17"/>
  <c r="G128" i="17"/>
  <c r="G124" i="17"/>
  <c r="G120" i="17"/>
  <c r="G116" i="17"/>
  <c r="G112" i="17"/>
  <c r="G1512" i="17"/>
  <c r="G1200" i="17"/>
  <c r="G999" i="17"/>
  <c r="G952" i="17"/>
  <c r="G926" i="17"/>
  <c r="G919" i="17"/>
  <c r="G894" i="17"/>
  <c r="G887" i="17"/>
  <c r="G862" i="17"/>
  <c r="G855" i="17"/>
  <c r="G830" i="17"/>
  <c r="G823" i="17"/>
  <c r="G798" i="17"/>
  <c r="G791" i="17"/>
  <c r="G766" i="17"/>
  <c r="G759" i="17"/>
  <c r="G734" i="17"/>
  <c r="G727" i="17"/>
  <c r="G702" i="17"/>
  <c r="G673" i="17"/>
  <c r="G661" i="17"/>
  <c r="G655" i="17"/>
  <c r="G638" i="17"/>
  <c r="G233" i="17"/>
  <c r="G224" i="17"/>
  <c r="G440" i="17"/>
  <c r="G424" i="17"/>
  <c r="G408" i="17"/>
  <c r="G392" i="17"/>
  <c r="G376" i="17"/>
  <c r="G360" i="17"/>
  <c r="G344" i="17"/>
  <c r="G328" i="17"/>
  <c r="G312" i="17"/>
  <c r="G296" i="17"/>
  <c r="G280" i="17"/>
  <c r="G264" i="17"/>
  <c r="G248" i="17"/>
  <c r="G228" i="17"/>
  <c r="G215" i="17"/>
  <c r="G207" i="17"/>
  <c r="G199" i="17"/>
  <c r="G191" i="17"/>
  <c r="G183" i="17"/>
  <c r="G175" i="17"/>
  <c r="G167" i="17"/>
  <c r="G159" i="17"/>
  <c r="G151" i="17"/>
  <c r="G143" i="17"/>
  <c r="G135" i="17"/>
  <c r="G127" i="17"/>
  <c r="G119" i="17"/>
  <c r="G115" i="17"/>
  <c r="G107" i="17"/>
  <c r="G99" i="17"/>
  <c r="G91" i="17"/>
  <c r="G83" i="17"/>
  <c r="G75" i="17"/>
  <c r="G67" i="17"/>
  <c r="G59" i="17"/>
  <c r="G51" i="17"/>
  <c r="G43" i="17"/>
  <c r="G35" i="17"/>
  <c r="G27" i="17"/>
  <c r="G19" i="17"/>
  <c r="G11" i="17"/>
  <c r="G198" i="17"/>
  <c r="G174" i="17"/>
  <c r="G162" i="17"/>
  <c r="G1518" i="17"/>
  <c r="G1396" i="17"/>
  <c r="G1358" i="17"/>
  <c r="G1336" i="17"/>
  <c r="G1244" i="17"/>
  <c r="G1120" i="17"/>
  <c r="G1056" i="17"/>
  <c r="G971" i="17"/>
  <c r="G957" i="17"/>
  <c r="G931" i="17"/>
  <c r="G899" i="17"/>
  <c r="G867" i="17"/>
  <c r="G835" i="17"/>
  <c r="G803" i="17"/>
  <c r="G771" i="17"/>
  <c r="G739" i="17"/>
  <c r="G707" i="17"/>
  <c r="G683" i="17"/>
  <c r="G678" i="17"/>
  <c r="G632" i="17"/>
  <c r="G621" i="17"/>
  <c r="G616" i="17"/>
  <c r="G605" i="17"/>
  <c r="G600" i="17"/>
  <c r="G589" i="17"/>
  <c r="G584" i="17"/>
  <c r="G573" i="17"/>
  <c r="G568" i="17"/>
  <c r="G557" i="17"/>
  <c r="G552" i="17"/>
  <c r="G541" i="17"/>
  <c r="G536" i="17"/>
  <c r="G525" i="17"/>
  <c r="G520" i="17"/>
  <c r="G509" i="17"/>
  <c r="G504" i="17"/>
  <c r="G493" i="17"/>
  <c r="G488" i="17"/>
  <c r="G477" i="17"/>
  <c r="G472" i="17"/>
  <c r="G461" i="17"/>
  <c r="G456" i="17"/>
  <c r="G445" i="17"/>
  <c r="G429" i="17"/>
  <c r="G413" i="17"/>
  <c r="G397" i="17"/>
  <c r="G381" i="17"/>
  <c r="G365" i="17"/>
  <c r="G349" i="17"/>
  <c r="G333" i="17"/>
  <c r="G317" i="17"/>
  <c r="G301" i="17"/>
  <c r="G285" i="17"/>
  <c r="G269" i="17"/>
  <c r="G253" i="17"/>
  <c r="G237" i="17"/>
  <c r="G219" i="17"/>
  <c r="G211" i="17"/>
  <c r="G203" i="17"/>
  <c r="G195" i="17"/>
  <c r="G187" i="17"/>
  <c r="G179" i="17"/>
  <c r="G171" i="17"/>
  <c r="G163" i="17"/>
  <c r="G155" i="17"/>
  <c r="G147" i="17"/>
  <c r="G139" i="17"/>
  <c r="G131" i="17"/>
  <c r="G123" i="17"/>
  <c r="G111" i="17"/>
  <c r="G103" i="17"/>
  <c r="G95" i="17"/>
  <c r="G87" i="17"/>
  <c r="G79" i="17"/>
  <c r="G71" i="17"/>
  <c r="G63" i="17"/>
  <c r="G55" i="17"/>
  <c r="G47" i="17"/>
  <c r="G39" i="17"/>
  <c r="G31" i="17"/>
  <c r="G23" i="17"/>
  <c r="G15" i="17"/>
  <c r="G7" i="17"/>
  <c r="G194" i="17"/>
  <c r="G170" i="17"/>
  <c r="G1540" i="17"/>
  <c r="G1364" i="17"/>
  <c r="G1342" i="17"/>
  <c r="G1220" i="17"/>
  <c r="G1132" i="17"/>
  <c r="G1125" i="17"/>
  <c r="G1068" i="17"/>
  <c r="G1061" i="17"/>
  <c r="G1004" i="17"/>
  <c r="G976" i="17"/>
  <c r="G963" i="17"/>
  <c r="G701" i="17"/>
  <c r="G642" i="17"/>
  <c r="G637" i="17"/>
  <c r="G232" i="17"/>
  <c r="G223" i="17"/>
  <c r="G1432" i="17"/>
  <c r="G1265" i="17"/>
  <c r="G1153" i="17"/>
  <c r="G1089" i="17"/>
  <c r="G1025" i="17"/>
  <c r="G930" i="17"/>
  <c r="G898" i="17"/>
  <c r="G866" i="17"/>
  <c r="G834" i="17"/>
  <c r="G802" i="17"/>
  <c r="G770" i="17"/>
  <c r="G738" i="17"/>
  <c r="G706" i="17"/>
  <c r="G682" i="17"/>
  <c r="G665" i="17"/>
  <c r="G659" i="17"/>
  <c r="G647" i="17"/>
  <c r="G625" i="17"/>
  <c r="G620" i="17"/>
  <c r="G609" i="17"/>
  <c r="G604" i="17"/>
  <c r="G593" i="17"/>
  <c r="G588" i="17"/>
  <c r="G577" i="17"/>
  <c r="G572" i="17"/>
  <c r="G561" i="17"/>
  <c r="G556" i="17"/>
  <c r="G545" i="17"/>
  <c r="G540" i="17"/>
  <c r="G529" i="17"/>
  <c r="G524" i="17"/>
  <c r="G513" i="17"/>
  <c r="G508" i="17"/>
  <c r="G497" i="17"/>
  <c r="G492" i="17"/>
  <c r="G481" i="17"/>
  <c r="G476" i="17"/>
  <c r="G465" i="17"/>
  <c r="G460" i="17"/>
  <c r="G449" i="17"/>
  <c r="G444" i="17"/>
  <c r="G433" i="17"/>
  <c r="G428" i="17"/>
  <c r="G417" i="17"/>
  <c r="G412" i="17"/>
  <c r="G401" i="17"/>
  <c r="G396" i="17"/>
  <c r="G385" i="17"/>
  <c r="G380" i="17"/>
  <c r="G369" i="17"/>
  <c r="G364" i="17"/>
  <c r="G353" i="17"/>
  <c r="G348" i="17"/>
  <c r="G337" i="17"/>
  <c r="G332" i="17"/>
  <c r="G321" i="17"/>
  <c r="G316" i="17"/>
  <c r="G305" i="17"/>
  <c r="G300" i="17"/>
  <c r="G289" i="17"/>
  <c r="G284" i="17"/>
  <c r="G273" i="17"/>
  <c r="G268" i="17"/>
  <c r="G257" i="17"/>
  <c r="G252" i="17"/>
  <c r="G241" i="17"/>
  <c r="G236" i="17"/>
  <c r="G227" i="17"/>
  <c r="G218" i="17"/>
  <c r="G214" i="17"/>
  <c r="G210" i="17"/>
  <c r="G206" i="17"/>
  <c r="G202" i="17"/>
  <c r="G190" i="17"/>
  <c r="G186" i="17"/>
  <c r="G182" i="17"/>
  <c r="G178" i="17"/>
  <c r="G166" i="17"/>
  <c r="G1180" i="17"/>
  <c r="G975" i="17"/>
  <c r="G814" i="17"/>
  <c r="G807" i="17"/>
  <c r="G755" i="17"/>
  <c r="G669" i="17"/>
  <c r="G597" i="17"/>
  <c r="G576" i="17"/>
  <c r="G533" i="17"/>
  <c r="G512" i="17"/>
  <c r="G469" i="17"/>
  <c r="G448" i="17"/>
  <c r="G405" i="17"/>
  <c r="G384" i="17"/>
  <c r="G341" i="17"/>
  <c r="G320" i="17"/>
  <c r="G277" i="17"/>
  <c r="G256" i="17"/>
  <c r="G235" i="17"/>
  <c r="G209" i="17"/>
  <c r="G177" i="17"/>
  <c r="G158" i="17"/>
  <c r="G153" i="17"/>
  <c r="G142" i="17"/>
  <c r="G137" i="17"/>
  <c r="G126" i="17"/>
  <c r="G121" i="17"/>
  <c r="G110" i="17"/>
  <c r="G101" i="17"/>
  <c r="G92" i="17"/>
  <c r="G78" i="17"/>
  <c r="G69" i="17"/>
  <c r="G60" i="17"/>
  <c r="G46" i="17"/>
  <c r="G37" i="17"/>
  <c r="G28" i="17"/>
  <c r="G14" i="17"/>
  <c r="G288" i="17"/>
  <c r="G245" i="17"/>
  <c r="G150" i="17"/>
  <c r="G113" i="17"/>
  <c r="G62" i="17"/>
  <c r="G44" i="17"/>
  <c r="G217" i="17"/>
  <c r="G133" i="17"/>
  <c r="G93" i="17"/>
  <c r="G38" i="17"/>
  <c r="G953" i="17"/>
  <c r="G910" i="17"/>
  <c r="G641" i="17"/>
  <c r="G97" i="17"/>
  <c r="G65" i="17"/>
  <c r="G42" i="17"/>
  <c r="G1416" i="17"/>
  <c r="G1164" i="17"/>
  <c r="G1157" i="17"/>
  <c r="G981" i="17"/>
  <c r="G915" i="17"/>
  <c r="G718" i="17"/>
  <c r="G711" i="17"/>
  <c r="G674" i="17"/>
  <c r="G646" i="17"/>
  <c r="G221" i="17"/>
  <c r="G189" i="17"/>
  <c r="G105" i="17"/>
  <c r="G96" i="17"/>
  <c r="G82" i="17"/>
  <c r="G73" i="17"/>
  <c r="G64" i="17"/>
  <c r="G50" i="17"/>
  <c r="G41" i="17"/>
  <c r="G32" i="17"/>
  <c r="G18" i="17"/>
  <c r="G9" i="17"/>
  <c r="G109" i="17"/>
  <c r="G86" i="17"/>
  <c r="G68" i="17"/>
  <c r="G45" i="17"/>
  <c r="G36" i="17"/>
  <c r="G13" i="17"/>
  <c r="G309" i="17"/>
  <c r="G193" i="17"/>
  <c r="G145" i="17"/>
  <c r="G118" i="17"/>
  <c r="G85" i="17"/>
  <c r="G21" i="17"/>
  <c r="G1270" i="17"/>
  <c r="G787" i="17"/>
  <c r="G231" i="17"/>
  <c r="G98" i="17"/>
  <c r="G80" i="17"/>
  <c r="G57" i="17"/>
  <c r="G34" i="17"/>
  <c r="G16" i="17"/>
  <c r="G940" i="17"/>
  <c r="G743" i="17"/>
  <c r="G670" i="17"/>
  <c r="G592" i="17"/>
  <c r="G485" i="17"/>
  <c r="G421" i="17"/>
  <c r="G357" i="17"/>
  <c r="G293" i="17"/>
  <c r="G185" i="17"/>
  <c r="G154" i="17"/>
  <c r="G122" i="17"/>
  <c r="G102" i="17"/>
  <c r="G70" i="17"/>
  <c r="G52" i="17"/>
  <c r="G20" i="17"/>
  <c r="G1152" i="17"/>
  <c r="G1029" i="17"/>
  <c r="G197" i="17"/>
  <c r="G88" i="17"/>
  <c r="G56" i="17"/>
  <c r="G24" i="17"/>
  <c r="G1438" i="17"/>
  <c r="G1088" i="17"/>
  <c r="G878" i="17"/>
  <c r="G871" i="17"/>
  <c r="G819" i="17"/>
  <c r="G624" i="17"/>
  <c r="G581" i="17"/>
  <c r="G560" i="17"/>
  <c r="G517" i="17"/>
  <c r="G496" i="17"/>
  <c r="G453" i="17"/>
  <c r="G432" i="17"/>
  <c r="G389" i="17"/>
  <c r="G368" i="17"/>
  <c r="G325" i="17"/>
  <c r="G304" i="17"/>
  <c r="G261" i="17"/>
  <c r="G240" i="17"/>
  <c r="G201" i="17"/>
  <c r="G169" i="17"/>
  <c r="G157" i="17"/>
  <c r="G146" i="17"/>
  <c r="G141" i="17"/>
  <c r="G130" i="17"/>
  <c r="G125" i="17"/>
  <c r="G114" i="17"/>
  <c r="G100" i="17"/>
  <c r="G77" i="17"/>
  <c r="G54" i="17"/>
  <c r="G22" i="17"/>
  <c r="G373" i="17"/>
  <c r="G225" i="17"/>
  <c r="G134" i="17"/>
  <c r="G94" i="17"/>
  <c r="G53" i="17"/>
  <c r="G30" i="17"/>
  <c r="G948" i="17"/>
  <c r="G839" i="17"/>
  <c r="G1444" i="17"/>
  <c r="G782" i="17"/>
  <c r="G775" i="17"/>
  <c r="G723" i="17"/>
  <c r="G687" i="17"/>
  <c r="G651" i="17"/>
  <c r="G213" i="17"/>
  <c r="G181" i="17"/>
  <c r="G104" i="17"/>
  <c r="G90" i="17"/>
  <c r="G81" i="17"/>
  <c r="G72" i="17"/>
  <c r="G58" i="17"/>
  <c r="G49" i="17"/>
  <c r="G40" i="17"/>
  <c r="G26" i="17"/>
  <c r="G17" i="17"/>
  <c r="G8" i="17"/>
  <c r="G1100" i="17"/>
  <c r="G1093" i="17"/>
  <c r="G935" i="17"/>
  <c r="G883" i="17"/>
  <c r="G693" i="17"/>
  <c r="G629" i="17"/>
  <c r="G608" i="17"/>
  <c r="G565" i="17"/>
  <c r="G544" i="17"/>
  <c r="G501" i="17"/>
  <c r="G480" i="17"/>
  <c r="G437" i="17"/>
  <c r="G416" i="17"/>
  <c r="G352" i="17"/>
  <c r="G161" i="17"/>
  <c r="G129" i="17"/>
  <c r="G108" i="17"/>
  <c r="G76" i="17"/>
  <c r="G12" i="17"/>
  <c r="G1024" i="17"/>
  <c r="G846" i="17"/>
  <c r="G205" i="17"/>
  <c r="G173" i="17"/>
  <c r="G89" i="17"/>
  <c r="G66" i="17"/>
  <c r="G48" i="17"/>
  <c r="G25" i="17"/>
  <c r="G1592" i="17"/>
  <c r="G1284" i="17"/>
  <c r="G750" i="17"/>
  <c r="G613" i="17"/>
  <c r="G549" i="17"/>
  <c r="G528" i="17"/>
  <c r="G464" i="17"/>
  <c r="G400" i="17"/>
  <c r="G336" i="17"/>
  <c r="G272" i="17"/>
  <c r="G149" i="17"/>
  <c r="G138" i="17"/>
  <c r="G117" i="17"/>
  <c r="G84" i="17"/>
  <c r="G61" i="17"/>
  <c r="G29" i="17"/>
  <c r="G1036" i="17"/>
  <c r="G903" i="17"/>
  <c r="G851" i="17"/>
  <c r="G165" i="17"/>
  <c r="G106" i="17"/>
  <c r="G74" i="17"/>
  <c r="G33" i="17"/>
  <c r="G10" i="17"/>
  <c r="E3" i="21"/>
  <c r="J7" i="7"/>
  <c r="J4" i="7" s="1"/>
  <c r="E3" i="20"/>
  <c r="I7" i="7"/>
  <c r="I4" i="7" s="1"/>
  <c r="G2000" i="17"/>
  <c r="G1996" i="17"/>
  <c r="G1992" i="17"/>
  <c r="G1988" i="17"/>
  <c r="G1984" i="17"/>
  <c r="G1980" i="17"/>
  <c r="G1976" i="17"/>
  <c r="G1972" i="17"/>
  <c r="G1968" i="17"/>
  <c r="G1964" i="17"/>
  <c r="G1960" i="17"/>
  <c r="G1956" i="17"/>
  <c r="G1952" i="17"/>
  <c r="G1948" i="17"/>
  <c r="G1944" i="17"/>
  <c r="G1940" i="17"/>
  <c r="G1936" i="17"/>
  <c r="G1932" i="17"/>
  <c r="G1928" i="17"/>
  <c r="G1924" i="17"/>
  <c r="G1920" i="17"/>
  <c r="G1916" i="17"/>
  <c r="G1912" i="17"/>
  <c r="G1908" i="17"/>
  <c r="G1904" i="17"/>
  <c r="G1900" i="17"/>
  <c r="G1896" i="17"/>
  <c r="G1892" i="17"/>
  <c r="G1888" i="17"/>
  <c r="G1884" i="17"/>
  <c r="G1880" i="17"/>
  <c r="G1876" i="17"/>
  <c r="G1872" i="17"/>
  <c r="G1868" i="17"/>
  <c r="G1864" i="17"/>
  <c r="G1860" i="17"/>
  <c r="G1856" i="17"/>
  <c r="G1852" i="17"/>
  <c r="G1848" i="17"/>
  <c r="G1844" i="17"/>
  <c r="G1840" i="17"/>
  <c r="G1836" i="17"/>
  <c r="G1832" i="17"/>
  <c r="G1828" i="17"/>
  <c r="G1824" i="17"/>
  <c r="G1820" i="17"/>
  <c r="G1816" i="17"/>
  <c r="G1812" i="17"/>
  <c r="G1808" i="17"/>
  <c r="G1804" i="17"/>
  <c r="G1800" i="17"/>
  <c r="G1796" i="17"/>
  <c r="G1792" i="17"/>
  <c r="G1788" i="17"/>
  <c r="G1784" i="17"/>
  <c r="G1780" i="17"/>
  <c r="G1776" i="17"/>
  <c r="G1772" i="17"/>
  <c r="G1768" i="17"/>
  <c r="G1764" i="17"/>
  <c r="G1760" i="17"/>
  <c r="G1756" i="17"/>
  <c r="G1752" i="17"/>
  <c r="G1748" i="17"/>
  <c r="G1744" i="17"/>
  <c r="G1740" i="17"/>
  <c r="G1736" i="17"/>
  <c r="G1732" i="17"/>
  <c r="G1728" i="17"/>
  <c r="G1724" i="17"/>
  <c r="G1720" i="17"/>
  <c r="G1716" i="17"/>
  <c r="G1712" i="17"/>
  <c r="G1708" i="17"/>
  <c r="G1704" i="17"/>
  <c r="G1700" i="17"/>
  <c r="G1696" i="17"/>
  <c r="G1692" i="17"/>
  <c r="G1688" i="17"/>
  <c r="G1684" i="17"/>
  <c r="G1680" i="17"/>
  <c r="G1676" i="17"/>
  <c r="G1998" i="17"/>
  <c r="G1994" i="17"/>
  <c r="G1990" i="17"/>
  <c r="G1986" i="17"/>
  <c r="G1982" i="17"/>
  <c r="G1978" i="17"/>
  <c r="G1974" i="17"/>
  <c r="G1970" i="17"/>
  <c r="G1966" i="17"/>
  <c r="G1962" i="17"/>
  <c r="G1958" i="17"/>
  <c r="G1954" i="17"/>
  <c r="G1950" i="17"/>
  <c r="G1946" i="17"/>
  <c r="G1942" i="17"/>
  <c r="G1938" i="17"/>
  <c r="G1934" i="17"/>
  <c r="G1930" i="17"/>
  <c r="G1926" i="17"/>
  <c r="G1922" i="17"/>
  <c r="G1918" i="17"/>
  <c r="G1914" i="17"/>
  <c r="G1910" i="17"/>
  <c r="G1906" i="17"/>
  <c r="G1902" i="17"/>
  <c r="G1898" i="17"/>
  <c r="G1894" i="17"/>
  <c r="G1890" i="17"/>
  <c r="G1886" i="17"/>
  <c r="G1882" i="17"/>
  <c r="G1878" i="17"/>
  <c r="G1874" i="17"/>
  <c r="G1870" i="17"/>
  <c r="G1866" i="17"/>
  <c r="G1862" i="17"/>
  <c r="G1858" i="17"/>
  <c r="G1854" i="17"/>
  <c r="G1850" i="17"/>
  <c r="G1846" i="17"/>
  <c r="G1842" i="17"/>
  <c r="G1838" i="17"/>
  <c r="G1834" i="17"/>
  <c r="G1830" i="17"/>
  <c r="G1826" i="17"/>
  <c r="G1822" i="17"/>
  <c r="G1818" i="17"/>
  <c r="G1814" i="17"/>
  <c r="G1810" i="17"/>
  <c r="G1806" i="17"/>
  <c r="G1802" i="17"/>
  <c r="G1798" i="17"/>
  <c r="G1794" i="17"/>
  <c r="G1790" i="17"/>
  <c r="G1786" i="17"/>
  <c r="G1782" i="17"/>
  <c r="G1778" i="17"/>
  <c r="G1774" i="17"/>
  <c r="G1770" i="17"/>
  <c r="G1766" i="17"/>
  <c r="G1762" i="17"/>
  <c r="G1758" i="17"/>
  <c r="G1754" i="17"/>
  <c r="G1750" i="17"/>
  <c r="G1746" i="17"/>
  <c r="G1742" i="17"/>
  <c r="G1738" i="17"/>
  <c r="G1734" i="17"/>
  <c r="G1730" i="17"/>
  <c r="G1726" i="17"/>
  <c r="G1722" i="17"/>
  <c r="G1718" i="17"/>
  <c r="G1714" i="17"/>
  <c r="G1710" i="17"/>
  <c r="G1706" i="17"/>
  <c r="G1702" i="17"/>
  <c r="G1698" i="17"/>
  <c r="G1694" i="17"/>
  <c r="G1690" i="17"/>
  <c r="G1686" i="17"/>
  <c r="G1682" i="17"/>
  <c r="G1678" i="17"/>
  <c r="G1674" i="17"/>
  <c r="G1670" i="17"/>
  <c r="G1666" i="17"/>
  <c r="G1662" i="17"/>
  <c r="G1997" i="17"/>
  <c r="G1993" i="17"/>
  <c r="G1989" i="17"/>
  <c r="G1985" i="17"/>
  <c r="G1981" i="17"/>
  <c r="G1977" i="17"/>
  <c r="G1973" i="17"/>
  <c r="G1969" i="17"/>
  <c r="G1965" i="17"/>
  <c r="G1961" i="17"/>
  <c r="G1957" i="17"/>
  <c r="G1953" i="17"/>
  <c r="G1949" i="17"/>
  <c r="G1945" i="17"/>
  <c r="G1941" i="17"/>
  <c r="G1937" i="17"/>
  <c r="G1933" i="17"/>
  <c r="G1929" i="17"/>
  <c r="G1925" i="17"/>
  <c r="G1921" i="17"/>
  <c r="G1917" i="17"/>
  <c r="G1913" i="17"/>
  <c r="G1909" i="17"/>
  <c r="G1905" i="17"/>
  <c r="G1901" i="17"/>
  <c r="G1897" i="17"/>
  <c r="G1893" i="17"/>
  <c r="G1889" i="17"/>
  <c r="G1885" i="17"/>
  <c r="G1881" i="17"/>
  <c r="G1877" i="17"/>
  <c r="G1873" i="17"/>
  <c r="G1869" i="17"/>
  <c r="G1865" i="17"/>
  <c r="G1861" i="17"/>
  <c r="G1857" i="17"/>
  <c r="G1853" i="17"/>
  <c r="G1849" i="17"/>
  <c r="G1845" i="17"/>
  <c r="G1841" i="17"/>
  <c r="G1837" i="17"/>
  <c r="G1833" i="17"/>
  <c r="G1829" i="17"/>
  <c r="G1825" i="17"/>
  <c r="G1821" i="17"/>
  <c r="G1817" i="17"/>
  <c r="G1813" i="17"/>
  <c r="G1809" i="17"/>
  <c r="G1805" i="17"/>
  <c r="G1801" i="17"/>
  <c r="G1797" i="17"/>
  <c r="G1793" i="17"/>
  <c r="G1789" i="17"/>
  <c r="G1785" i="17"/>
  <c r="G1781" i="17"/>
  <c r="G1777" i="17"/>
  <c r="G1773" i="17"/>
  <c r="G1769" i="17"/>
  <c r="G1765" i="17"/>
  <c r="G1761" i="17"/>
  <c r="G1757" i="17"/>
  <c r="G1753" i="17"/>
  <c r="G1749" i="17"/>
  <c r="G1745" i="17"/>
  <c r="G1741" i="17"/>
  <c r="G1737" i="17"/>
  <c r="G1733" i="17"/>
  <c r="G1729" i="17"/>
  <c r="G1725" i="17"/>
  <c r="G1721" i="17"/>
  <c r="G1717" i="17"/>
  <c r="G1713" i="17"/>
  <c r="G1709" i="17"/>
  <c r="G1975" i="17"/>
  <c r="G1943" i="17"/>
  <c r="G1911" i="17"/>
  <c r="G1879" i="17"/>
  <c r="G1847" i="17"/>
  <c r="G1815" i="17"/>
  <c r="G1783" i="17"/>
  <c r="G1751" i="17"/>
  <c r="G1719" i="17"/>
  <c r="G1701" i="17"/>
  <c r="G1685" i="17"/>
  <c r="G1665" i="17"/>
  <c r="G1987" i="17"/>
  <c r="G1955" i="17"/>
  <c r="G1923" i="17"/>
  <c r="G1891" i="17"/>
  <c r="G1859" i="17"/>
  <c r="G1827" i="17"/>
  <c r="G1795" i="17"/>
  <c r="G1763" i="17"/>
  <c r="G1731" i="17"/>
  <c r="G1695" i="17"/>
  <c r="G1679" i="17"/>
  <c r="G1669" i="17"/>
  <c r="G1660" i="17"/>
  <c r="G1656" i="17"/>
  <c r="G1652" i="17"/>
  <c r="G1648" i="17"/>
  <c r="G1644" i="17"/>
  <c r="G1640" i="17"/>
  <c r="G1636" i="17"/>
  <c r="G1632" i="17"/>
  <c r="G1628" i="17"/>
  <c r="G1624" i="17"/>
  <c r="G1620" i="17"/>
  <c r="G1616" i="17"/>
  <c r="G1612" i="17"/>
  <c r="G1608" i="17"/>
  <c r="G1604" i="17"/>
  <c r="G1600" i="17"/>
  <c r="G1971" i="17"/>
  <c r="G1939" i="17"/>
  <c r="G1907" i="17"/>
  <c r="G1875" i="17"/>
  <c r="G1843" i="17"/>
  <c r="G1811" i="17"/>
  <c r="G1779" i="17"/>
  <c r="G1747" i="17"/>
  <c r="G1715" i="17"/>
  <c r="G1703" i="17"/>
  <c r="G1687" i="17"/>
  <c r="G1667" i="17"/>
  <c r="G1658" i="17"/>
  <c r="G1654" i="17"/>
  <c r="G1650" i="17"/>
  <c r="G1646" i="17"/>
  <c r="G1642" i="17"/>
  <c r="G1638" i="17"/>
  <c r="G1634" i="17"/>
  <c r="G1630" i="17"/>
  <c r="G1626" i="17"/>
  <c r="G1622" i="17"/>
  <c r="G1618" i="17"/>
  <c r="G1614" i="17"/>
  <c r="G1610" i="17"/>
  <c r="G1606" i="17"/>
  <c r="G1602" i="17"/>
  <c r="G1598" i="17"/>
  <c r="G1983" i="17"/>
  <c r="G1951" i="17"/>
  <c r="G1919" i="17"/>
  <c r="G1887" i="17"/>
  <c r="G1855" i="17"/>
  <c r="G1823" i="17"/>
  <c r="G1791" i="17"/>
  <c r="G1759" i="17"/>
  <c r="G1727" i="17"/>
  <c r="G1697" i="17"/>
  <c r="G1681" i="17"/>
  <c r="G1671" i="17"/>
  <c r="G1995" i="17"/>
  <c r="G1963" i="17"/>
  <c r="G1931" i="17"/>
  <c r="G1899" i="17"/>
  <c r="G1867" i="17"/>
  <c r="G1835" i="17"/>
  <c r="G1803" i="17"/>
  <c r="G1771" i="17"/>
  <c r="G1739" i="17"/>
  <c r="G1707" i="17"/>
  <c r="G1691" i="17"/>
  <c r="G1979" i="17"/>
  <c r="G1935" i="17"/>
  <c r="G1767" i="17"/>
  <c r="G1723" i="17"/>
  <c r="G1675" i="17"/>
  <c r="G1653" i="17"/>
  <c r="G1637" i="17"/>
  <c r="G1621" i="17"/>
  <c r="G1605" i="17"/>
  <c r="G1927" i="17"/>
  <c r="G1883" i="17"/>
  <c r="G1839" i="17"/>
  <c r="G1663" i="17"/>
  <c r="G1647" i="17"/>
  <c r="G1631" i="17"/>
  <c r="G1615" i="17"/>
  <c r="G1599" i="17"/>
  <c r="G1999" i="17"/>
  <c r="G1831" i="17"/>
  <c r="G1787" i="17"/>
  <c r="G1743" i="17"/>
  <c r="G1693" i="17"/>
  <c r="G1668" i="17"/>
  <c r="G1657" i="17"/>
  <c r="G1641" i="17"/>
  <c r="G1625" i="17"/>
  <c r="G1609" i="17"/>
  <c r="G1959" i="17"/>
  <c r="G1915" i="17"/>
  <c r="G1871" i="17"/>
  <c r="G1683" i="17"/>
  <c r="G1649" i="17"/>
  <c r="G1633" i="17"/>
  <c r="G1617" i="17"/>
  <c r="G1601" i="17"/>
  <c r="G1947" i="17"/>
  <c r="G1689" i="17"/>
  <c r="G1643" i="17"/>
  <c r="G1611" i="17"/>
  <c r="G1755" i="17"/>
  <c r="G1661" i="17"/>
  <c r="G1655" i="17"/>
  <c r="G1629" i="17"/>
  <c r="G1623" i="17"/>
  <c r="G1991" i="17"/>
  <c r="G1807" i="17"/>
  <c r="G1673" i="17"/>
  <c r="G1635" i="17"/>
  <c r="G1603" i="17"/>
  <c r="G1967" i="17"/>
  <c r="G1799" i="17"/>
  <c r="G1851" i="17"/>
  <c r="G1775" i="17"/>
  <c r="G1672" i="17"/>
  <c r="G1659" i="17"/>
  <c r="G1627" i="17"/>
  <c r="G1651" i="17"/>
  <c r="G1819" i="17"/>
  <c r="G1607" i="17"/>
  <c r="G1903" i="17"/>
  <c r="G1664" i="17"/>
  <c r="G1613" i="17"/>
  <c r="G1735" i="17"/>
  <c r="G1705" i="17"/>
  <c r="G1639" i="17"/>
  <c r="G1677" i="17"/>
  <c r="G1699" i="17"/>
  <c r="G1645" i="17"/>
  <c r="G1895" i="17"/>
  <c r="G1863" i="17"/>
  <c r="G1711" i="17"/>
  <c r="G1619" i="17"/>
  <c r="B6" i="27"/>
  <c r="B6" i="23"/>
  <c r="B6" i="14"/>
  <c r="B6" i="16"/>
  <c r="B6" i="9"/>
  <c r="B6" i="21"/>
  <c r="B7" i="4"/>
  <c r="B6" i="20"/>
  <c r="B6" i="6"/>
  <c r="B7" i="7"/>
  <c r="B6" i="5"/>
  <c r="B6" i="1"/>
  <c r="B6" i="22"/>
  <c r="B6" i="10"/>
  <c r="B7" i="3"/>
  <c r="B6" i="8"/>
  <c r="B7" i="2"/>
  <c r="U11" i="13"/>
  <c r="F6" i="21"/>
  <c r="J2" i="7"/>
  <c r="F6" i="20"/>
  <c r="I2" i="7"/>
  <c r="G6" i="17"/>
  <c r="Z6" i="13"/>
  <c r="F3" i="16"/>
  <c r="H20" i="13" l="1"/>
  <c r="Q14" i="34"/>
  <c r="P9" i="34"/>
  <c r="G15" i="13"/>
  <c r="G11" i="13"/>
  <c r="P5" i="34"/>
  <c r="H18" i="13"/>
  <c r="Q12" i="34"/>
  <c r="P14" i="34"/>
  <c r="G20" i="13"/>
  <c r="Q7" i="34"/>
  <c r="H13" i="13"/>
  <c r="P8" i="34"/>
  <c r="G14" i="13"/>
  <c r="H11" i="13"/>
  <c r="Q5" i="34"/>
  <c r="H19" i="13"/>
  <c r="Q13" i="34"/>
  <c r="G18" i="13"/>
  <c r="P12" i="34"/>
  <c r="Q6" i="34"/>
  <c r="H12" i="13"/>
  <c r="G17" i="13"/>
  <c r="P11" i="34"/>
  <c r="Q10" i="34"/>
  <c r="H16" i="13"/>
  <c r="G12" i="13"/>
  <c r="P6" i="34"/>
  <c r="Q11" i="34"/>
  <c r="H17" i="13"/>
  <c r="Q9" i="34"/>
  <c r="H15" i="13"/>
  <c r="G19" i="13"/>
  <c r="P13" i="34"/>
  <c r="Q8" i="34"/>
  <c r="H14" i="13"/>
  <c r="P10" i="34"/>
  <c r="G16" i="13"/>
  <c r="G13" i="13"/>
  <c r="P7" i="34"/>
  <c r="U8" i="13"/>
  <c r="G4" i="17"/>
  <c r="F3" i="21"/>
  <c r="F3" i="20"/>
  <c r="D7" i="15"/>
  <c r="B7" i="15"/>
  <c r="H8" i="13" l="1"/>
  <c r="G8" i="13"/>
  <c r="T6" i="13"/>
  <c r="N6" i="13"/>
  <c r="M6" i="13"/>
  <c r="L6" i="13"/>
  <c r="K6" i="13"/>
  <c r="R7" i="13"/>
  <c r="F3" i="14"/>
  <c r="F6" i="9"/>
  <c r="F6" i="10"/>
  <c r="F6" i="8"/>
  <c r="Q11" i="13" l="1"/>
  <c r="Q8" i="13" s="1"/>
  <c r="Z5" i="34"/>
  <c r="P11" i="13"/>
  <c r="P8" i="13" s="1"/>
  <c r="Y5" i="34"/>
  <c r="O11" i="13"/>
  <c r="O8" i="13" s="1"/>
  <c r="X5" i="34"/>
  <c r="AA7" i="13"/>
  <c r="F3" i="9"/>
  <c r="F3" i="10"/>
  <c r="F3" i="8"/>
  <c r="T11" i="13"/>
  <c r="I20" i="28" l="1"/>
  <c r="T8" i="13"/>
  <c r="I20" i="15"/>
  <c r="E6" i="6"/>
  <c r="E2" i="6"/>
  <c r="E6" i="5"/>
  <c r="G7" i="7" s="1"/>
  <c r="E2" i="5"/>
  <c r="E7" i="4"/>
  <c r="R7" i="3"/>
  <c r="G6" i="1"/>
  <c r="W5" i="34" s="1"/>
  <c r="F12" i="5" l="1"/>
  <c r="F13" i="5"/>
  <c r="F14" i="5"/>
  <c r="F7" i="5"/>
  <c r="F8" i="5"/>
  <c r="F15" i="5"/>
  <c r="F9" i="5"/>
  <c r="F10" i="6"/>
  <c r="F11" i="6"/>
  <c r="F9" i="6"/>
  <c r="F12" i="6"/>
  <c r="F13" i="6"/>
  <c r="F8" i="6"/>
  <c r="F7" i="6"/>
  <c r="F14" i="6"/>
  <c r="F15" i="6"/>
  <c r="E3" i="6"/>
  <c r="H7" i="7"/>
  <c r="E7" i="7" s="1"/>
  <c r="K11" i="13"/>
  <c r="K8" i="13" s="1"/>
  <c r="G3" i="1"/>
  <c r="E3" i="5"/>
  <c r="G4" i="7"/>
  <c r="N11" i="13"/>
  <c r="N8" i="13" s="1"/>
  <c r="F6" i="5"/>
  <c r="N5" i="34" s="1"/>
  <c r="G2" i="7"/>
  <c r="H2" i="7"/>
  <c r="F6" i="6"/>
  <c r="E11" i="7" l="1"/>
  <c r="E12" i="7"/>
  <c r="O14" i="34"/>
  <c r="F20" i="13"/>
  <c r="O9" i="34"/>
  <c r="F15" i="13"/>
  <c r="O13" i="34"/>
  <c r="F19" i="13"/>
  <c r="N8" i="34"/>
  <c r="E14" i="13"/>
  <c r="F11" i="13"/>
  <c r="O5" i="34"/>
  <c r="F12" i="13"/>
  <c r="O6" i="34"/>
  <c r="N14" i="34"/>
  <c r="E20" i="13"/>
  <c r="F13" i="13"/>
  <c r="O7" i="34"/>
  <c r="N7" i="34"/>
  <c r="E13" i="13"/>
  <c r="E10" i="7"/>
  <c r="E16" i="7"/>
  <c r="E13" i="7"/>
  <c r="E8" i="7"/>
  <c r="E15" i="7"/>
  <c r="E9" i="7"/>
  <c r="S7" i="34" s="1"/>
  <c r="E14" i="7"/>
  <c r="O12" i="34"/>
  <c r="F18" i="13"/>
  <c r="E12" i="13"/>
  <c r="N6" i="34"/>
  <c r="O11" i="34"/>
  <c r="F17" i="13"/>
  <c r="N13" i="34"/>
  <c r="E19" i="13"/>
  <c r="F14" i="13"/>
  <c r="O8" i="34"/>
  <c r="N12" i="34"/>
  <c r="E18" i="13"/>
  <c r="O10" i="34"/>
  <c r="F16" i="13"/>
  <c r="E17" i="13"/>
  <c r="N11" i="34"/>
  <c r="S6" i="34"/>
  <c r="S8" i="34"/>
  <c r="S11" i="34"/>
  <c r="S10" i="34"/>
  <c r="S12" i="34"/>
  <c r="S13" i="34"/>
  <c r="S9" i="34"/>
  <c r="S14" i="34"/>
  <c r="H4" i="7"/>
  <c r="S5" i="34"/>
  <c r="H5" i="34" s="1"/>
  <c r="J16" i="13"/>
  <c r="R16" i="13" s="1"/>
  <c r="V16" i="13" s="1"/>
  <c r="J19" i="13"/>
  <c r="R19" i="13" s="1"/>
  <c r="J15" i="13"/>
  <c r="R15" i="13" s="1"/>
  <c r="V15" i="13" s="1"/>
  <c r="J17" i="13"/>
  <c r="R17" i="13" s="1"/>
  <c r="V17" i="13" s="1"/>
  <c r="J13" i="13"/>
  <c r="R13" i="13" s="1"/>
  <c r="V13" i="13" s="1"/>
  <c r="J18" i="13"/>
  <c r="R18" i="13" s="1"/>
  <c r="V18" i="13" s="1"/>
  <c r="J20" i="13"/>
  <c r="R20" i="13" s="1"/>
  <c r="V20" i="13" s="1"/>
  <c r="J12" i="13"/>
  <c r="R12" i="13" s="1"/>
  <c r="V12" i="13" s="1"/>
  <c r="J14" i="13"/>
  <c r="R14" i="13" s="1"/>
  <c r="V14" i="13" s="1"/>
  <c r="F3" i="5"/>
  <c r="E11" i="13"/>
  <c r="E8" i="13" s="1"/>
  <c r="J11" i="13"/>
  <c r="R11" i="13" s="1"/>
  <c r="V11" i="13" s="1"/>
  <c r="S32" i="15" s="1"/>
  <c r="F3" i="6"/>
  <c r="F8" i="13" l="1"/>
  <c r="H12" i="34"/>
  <c r="AA12" i="34"/>
  <c r="F12" i="34" s="1"/>
  <c r="AA9" i="34"/>
  <c r="F9" i="34" s="1"/>
  <c r="H9" i="34"/>
  <c r="H10" i="34"/>
  <c r="AA10" i="34"/>
  <c r="F10" i="34" s="1"/>
  <c r="AA8" i="34"/>
  <c r="F8" i="34" s="1"/>
  <c r="H8" i="34"/>
  <c r="H6" i="34"/>
  <c r="AA6" i="34"/>
  <c r="F6" i="34" s="1"/>
  <c r="H13" i="34"/>
  <c r="AA13" i="34"/>
  <c r="F13" i="34" s="1"/>
  <c r="H11" i="34"/>
  <c r="AA11" i="34"/>
  <c r="F11" i="34" s="1"/>
  <c r="H14" i="34"/>
  <c r="AA14" i="34"/>
  <c r="F14" i="34" s="1"/>
  <c r="H7" i="34"/>
  <c r="AA7" i="34"/>
  <c r="F7" i="34" s="1"/>
  <c r="AA5" i="34"/>
  <c r="F5" i="34" s="1"/>
  <c r="E5" i="34" s="1"/>
  <c r="AC17" i="13"/>
  <c r="AA17" i="13"/>
  <c r="W17" i="13"/>
  <c r="AA15" i="13"/>
  <c r="AC15" i="13"/>
  <c r="W15" i="13"/>
  <c r="AC20" i="13"/>
  <c r="AA20" i="13"/>
  <c r="W20" i="13"/>
  <c r="AA18" i="13"/>
  <c r="W18" i="13"/>
  <c r="AC18" i="13"/>
  <c r="AC13" i="13"/>
  <c r="AA13" i="13"/>
  <c r="W13" i="13"/>
  <c r="W19" i="13"/>
  <c r="AA19" i="13"/>
  <c r="AC19" i="13" s="1"/>
  <c r="AA16" i="13"/>
  <c r="AC16" i="13"/>
  <c r="W16" i="13"/>
  <c r="W14" i="13"/>
  <c r="AA14" i="13"/>
  <c r="AC14" i="13"/>
  <c r="AC12" i="13"/>
  <c r="AA12" i="13"/>
  <c r="W12" i="13"/>
  <c r="AC11" i="13"/>
  <c r="AA11" i="13"/>
  <c r="I23" i="28"/>
  <c r="W11" i="13"/>
  <c r="I23" i="15"/>
  <c r="J8" i="13"/>
  <c r="E4" i="7"/>
  <c r="E14" i="34" l="1"/>
  <c r="E7" i="34"/>
  <c r="E6" i="34"/>
  <c r="E12" i="34"/>
  <c r="E11" i="34"/>
  <c r="E10" i="34"/>
  <c r="E9" i="34"/>
  <c r="E8" i="34"/>
  <c r="E13" i="34"/>
  <c r="I40" i="28"/>
  <c r="Z14" i="13"/>
  <c r="AB14" i="13"/>
  <c r="Z15" i="13"/>
  <c r="AB15" i="13"/>
  <c r="Z19" i="13"/>
  <c r="AB19" i="13"/>
  <c r="AB13" i="13"/>
  <c r="Z13" i="13"/>
  <c r="Z16" i="13"/>
  <c r="AB16" i="13"/>
  <c r="Z12" i="13"/>
  <c r="AB12" i="13"/>
  <c r="Z18" i="13"/>
  <c r="AB18" i="13" s="1"/>
  <c r="Z17" i="13"/>
  <c r="AB17" i="13"/>
  <c r="AB20" i="13"/>
  <c r="Z20" i="13"/>
  <c r="AB11" i="13"/>
  <c r="Z11" i="13"/>
  <c r="J32" i="28"/>
  <c r="R8" i="13"/>
  <c r="I39" i="28" l="1"/>
  <c r="I41" i="28"/>
  <c r="R37" i="15"/>
  <c r="M37" i="15" s="1"/>
  <c r="O32" i="15"/>
  <c r="E32" i="15"/>
  <c r="L32" i="15"/>
  <c r="S32" i="28"/>
  <c r="I32" i="15"/>
  <c r="G32" i="15"/>
  <c r="M32" i="15"/>
  <c r="H32" i="15"/>
  <c r="D32" i="15"/>
  <c r="B32" i="28"/>
  <c r="F32" i="15"/>
  <c r="N32" i="15"/>
  <c r="I24" i="15"/>
  <c r="K32" i="28"/>
  <c r="R32" i="15"/>
  <c r="I32" i="28"/>
  <c r="B32" i="15"/>
  <c r="V8" i="13"/>
  <c r="C32" i="28"/>
  <c r="C32" i="15"/>
  <c r="N32" i="28"/>
  <c r="I25" i="15"/>
  <c r="I25" i="28"/>
  <c r="R37" i="28"/>
  <c r="E37" i="28" s="1"/>
  <c r="H32" i="28"/>
  <c r="G32" i="28"/>
  <c r="R32" i="28"/>
  <c r="L32" i="28"/>
  <c r="Q32" i="28"/>
  <c r="O32" i="28"/>
  <c r="E32" i="28"/>
  <c r="K32" i="15"/>
  <c r="J32" i="15"/>
  <c r="D32" i="28"/>
  <c r="F32" i="28"/>
  <c r="M32" i="28"/>
  <c r="P32" i="15"/>
  <c r="Q32" i="15"/>
  <c r="P32" i="28"/>
  <c r="I24" i="28"/>
  <c r="AA8" i="13"/>
  <c r="E37" i="15" l="1"/>
  <c r="M37" i="28"/>
  <c r="Z8" i="13"/>
  <c r="T32" i="15"/>
  <c r="T32" i="28"/>
  <c r="AB8" i="13"/>
  <c r="AC8" i="13"/>
</calcChain>
</file>

<file path=xl/sharedStrings.xml><?xml version="1.0" encoding="utf-8"?>
<sst xmlns="http://schemas.openxmlformats.org/spreadsheetml/2006/main" count="1099" uniqueCount="307">
  <si>
    <t>Lab Exam</t>
  </si>
  <si>
    <t>Date(DD/MM/YY)</t>
  </si>
  <si>
    <t>Mark equivalent to 100%</t>
  </si>
  <si>
    <t>Class Averages</t>
  </si>
  <si>
    <t>NO</t>
  </si>
  <si>
    <t>Campus ID</t>
  </si>
  <si>
    <t>Name</t>
  </si>
  <si>
    <t>Exempted Mark</t>
  </si>
  <si>
    <t>Total</t>
  </si>
  <si>
    <t>Percent</t>
  </si>
  <si>
    <t>Lab Afternoon</t>
  </si>
  <si>
    <t>Include in Average</t>
  </si>
  <si>
    <t>PRAC1</t>
  </si>
  <si>
    <t>PRAC2</t>
  </si>
  <si>
    <t>PRAC3</t>
  </si>
  <si>
    <t>PRAC4</t>
  </si>
  <si>
    <t>PRAC5</t>
  </si>
  <si>
    <t>PRAC6</t>
  </si>
  <si>
    <t>PRAC7</t>
  </si>
  <si>
    <t>PRAC8</t>
  </si>
  <si>
    <t>PRAC9</t>
  </si>
  <si>
    <t>PRAC10</t>
  </si>
  <si>
    <t>PRAC11</t>
  </si>
  <si>
    <t>Afternoon Tutorials</t>
  </si>
  <si>
    <t>Include in Average (1: Yes; 0: No)</t>
  </si>
  <si>
    <t>TUT1</t>
  </si>
  <si>
    <t>TUT2</t>
  </si>
  <si>
    <t>TUT3</t>
  </si>
  <si>
    <t>TUT4</t>
  </si>
  <si>
    <t>TUT5</t>
  </si>
  <si>
    <t>TUT6</t>
  </si>
  <si>
    <t>TUT7</t>
  </si>
  <si>
    <t>TUT8</t>
  </si>
  <si>
    <t>TUT9</t>
  </si>
  <si>
    <t>TUT10</t>
  </si>
  <si>
    <t>TUT11</t>
  </si>
  <si>
    <t>TUT12</t>
  </si>
  <si>
    <t>WPS</t>
  </si>
  <si>
    <t>WPS1</t>
  </si>
  <si>
    <t>WPS2</t>
  </si>
  <si>
    <t>WPS3</t>
  </si>
  <si>
    <t>WPS4</t>
  </si>
  <si>
    <t>WPS5</t>
  </si>
  <si>
    <t>WPS6</t>
  </si>
  <si>
    <t>WPS7</t>
  </si>
  <si>
    <t>WPS8</t>
  </si>
  <si>
    <t>WPS9</t>
  </si>
  <si>
    <t>WPS10</t>
  </si>
  <si>
    <t>WPS11</t>
  </si>
  <si>
    <t>WPS12</t>
  </si>
  <si>
    <t>WPS13</t>
  </si>
  <si>
    <t>WPS14</t>
  </si>
  <si>
    <t>Class Test 1</t>
  </si>
  <si>
    <t>Q1</t>
  </si>
  <si>
    <t>Q2</t>
  </si>
  <si>
    <t>Q3</t>
  </si>
  <si>
    <t>Q4</t>
  </si>
  <si>
    <t>Q5</t>
  </si>
  <si>
    <t>Q6</t>
  </si>
  <si>
    <t>Q7</t>
  </si>
  <si>
    <t>Q8</t>
  </si>
  <si>
    <t>Class Test 2</t>
  </si>
  <si>
    <t>Class Tests</t>
  </si>
  <si>
    <t>CT1</t>
  </si>
  <si>
    <t>CT2</t>
  </si>
  <si>
    <t>CT3</t>
  </si>
  <si>
    <t>Other 1</t>
  </si>
  <si>
    <t>Other 2</t>
  </si>
  <si>
    <t>Other 3</t>
  </si>
  <si>
    <t>Grounds for DPR</t>
  </si>
  <si>
    <t>Weekly Problem Sets</t>
  </si>
  <si>
    <t>Tutorials</t>
  </si>
  <si>
    <t>Laboratory Afternoons</t>
  </si>
  <si>
    <t>Laboratory Exam</t>
  </si>
  <si>
    <t>Other         1</t>
  </si>
  <si>
    <t>Other              2</t>
  </si>
  <si>
    <t>Other                    3</t>
  </si>
  <si>
    <t>Class Record</t>
  </si>
  <si>
    <t>..</t>
  </si>
  <si>
    <t>DP Status</t>
  </si>
  <si>
    <t>CLASS RECORD</t>
  </si>
  <si>
    <t>FINAL  RESULT</t>
  </si>
  <si>
    <t>Comments (e.g. mark changes by external)</t>
  </si>
  <si>
    <t>Mark equivalent to 100%:</t>
  </si>
  <si>
    <t>Sum of Weights:</t>
  </si>
  <si>
    <t>Weights:</t>
  </si>
  <si>
    <t>Class Averages (%):</t>
  </si>
  <si>
    <t xml:space="preserve"> </t>
  </si>
  <si>
    <t>University of Cape Town: Department of Physics</t>
  </si>
  <si>
    <t>Average mark:</t>
  </si>
  <si>
    <t>Median mark:</t>
  </si>
  <si>
    <t>DPR</t>
  </si>
  <si>
    <t>AB</t>
  </si>
  <si>
    <t>F</t>
  </si>
  <si>
    <t>FS</t>
  </si>
  <si>
    <t>2-</t>
  </si>
  <si>
    <t>2+</t>
  </si>
  <si>
    <t>3. Attached: Peoplesoft course roster printout showing final grades (not yet “uploaded”)</t>
  </si>
  <si>
    <t>4. Attached: Copy of exam question paper and solutions.</t>
  </si>
  <si>
    <t>Signed (Course Coordinator)</t>
  </si>
  <si>
    <t>Signed (Head of Department)</t>
  </si>
  <si>
    <t>60 - 64</t>
  </si>
  <si>
    <t>65 - 69</t>
  </si>
  <si>
    <t>0 - 29</t>
  </si>
  <si>
    <t>30 - 34</t>
  </si>
  <si>
    <t>35 - 39</t>
  </si>
  <si>
    <t>40 - 44</t>
  </si>
  <si>
    <t>45 - 49</t>
  </si>
  <si>
    <t>50 - 54</t>
  </si>
  <si>
    <t>55 - 59</t>
  </si>
  <si>
    <t>70 - 74</t>
  </si>
  <si>
    <t>75 - 79</t>
  </si>
  <si>
    <t>80 - 84</t>
  </si>
  <si>
    <t>90 - 94</t>
  </si>
  <si>
    <t>85 - 89</t>
  </si>
  <si>
    <t>95 - 100</t>
  </si>
  <si>
    <t>CHECK</t>
  </si>
  <si>
    <t>TOTAL</t>
  </si>
  <si>
    <t>No. of students registered at end of course:</t>
  </si>
  <si>
    <t xml:space="preserve">No. of students who wrote the final examination: </t>
  </si>
  <si>
    <t>No. of students registered at start of course:</t>
  </si>
  <si>
    <t>manually input</t>
  </si>
  <si>
    <t>%</t>
  </si>
  <si>
    <t>Section</t>
  </si>
  <si>
    <t>No of Lectures</t>
  </si>
  <si>
    <t>Lecturers on course:</t>
  </si>
  <si>
    <t xml:space="preserve">Student no: </t>
  </si>
  <si>
    <t>Mark:</t>
  </si>
  <si>
    <t xml:space="preserve">Class medallist:  </t>
  </si>
  <si>
    <t>Final</t>
  </si>
  <si>
    <t>RENN</t>
  </si>
  <si>
    <t>If yes, when?</t>
  </si>
  <si>
    <t xml:space="preserve">6. Is there a supplementary exam for this course? </t>
  </si>
  <si>
    <t xml:space="preserve">7. Is there a deferred exam for this course? </t>
  </si>
  <si>
    <t>Check</t>
  </si>
  <si>
    <t>Date</t>
  </si>
  <si>
    <t>To be completed by the course coordinator after processing of final marks and presented to the HoD before the final marks are signed off on PeopleSoft.</t>
  </si>
  <si>
    <t>RESULT AFTER SUPP</t>
  </si>
  <si>
    <t>Supp Exam</t>
  </si>
  <si>
    <t>Checked on PS</t>
  </si>
  <si>
    <t>Class Test 3</t>
  </si>
  <si>
    <t>Class Test 4</t>
  </si>
  <si>
    <t>CT4</t>
  </si>
  <si>
    <t>Final Exam Paper 1</t>
  </si>
  <si>
    <t>Final Exam Paper 2</t>
  </si>
  <si>
    <t>Final Exam P1</t>
  </si>
  <si>
    <t>Final Exam P2</t>
  </si>
  <si>
    <t>Class Test Average</t>
  </si>
  <si>
    <t>PRAC12</t>
  </si>
  <si>
    <t>Registered on Peoplesoft but not on Mastersheet:</t>
  </si>
  <si>
    <t>Included on Mastersheet but not Registered on Peoplesoft</t>
  </si>
  <si>
    <t>Peoplesoft Classlist (download each week)</t>
  </si>
  <si>
    <t>Acad Prog</t>
  </si>
  <si>
    <t>Not on Master</t>
  </si>
  <si>
    <t>PRAC13</t>
  </si>
  <si>
    <t>PRAC14</t>
  </si>
  <si>
    <t>WPS15</t>
  </si>
  <si>
    <t>WPS16</t>
  </si>
  <si>
    <t>WPS17</t>
  </si>
  <si>
    <t>WPS18</t>
  </si>
  <si>
    <t>WPS19</t>
  </si>
  <si>
    <t>WPS20</t>
  </si>
  <si>
    <t>WPS21</t>
  </si>
  <si>
    <t>WPS22</t>
  </si>
  <si>
    <t>WPS23</t>
  </si>
  <si>
    <t>WPS24</t>
  </si>
  <si>
    <t>Y</t>
  </si>
  <si>
    <t>N</t>
  </si>
  <si>
    <t xml:space="preserve">No. of students moved up by the external examiner: </t>
  </si>
  <si>
    <t xml:space="preserve">No. of students moved down by the external examiner:  </t>
  </si>
  <si>
    <r>
      <t>Attached</t>
    </r>
    <r>
      <rPr>
        <sz val="16"/>
        <color theme="1"/>
        <rFont val="Calibri"/>
        <family val="2"/>
        <scheme val="minor"/>
      </rPr>
      <t xml:space="preserve"> (1-3 signed by course coordinator and external examiner (or pp’d by course coordinator))</t>
    </r>
  </si>
  <si>
    <t>Supp</t>
  </si>
  <si>
    <t>DE</t>
  </si>
  <si>
    <t>Deferred Exam</t>
  </si>
  <si>
    <t>RESULT AFTER DE</t>
  </si>
  <si>
    <t>Date: DD/MM/YY</t>
  </si>
  <si>
    <t>Class Test 5</t>
  </si>
  <si>
    <t>CT5</t>
  </si>
  <si>
    <t>PRAC15</t>
  </si>
  <si>
    <t>PRAC16</t>
  </si>
  <si>
    <t>PRAC17</t>
  </si>
  <si>
    <t>PRAC18</t>
  </si>
  <si>
    <t>PRAC19</t>
  </si>
  <si>
    <t>PRAC20</t>
  </si>
  <si>
    <t xml:space="preserve">Percentage pass rate (before supps/deferred exams): </t>
  </si>
  <si>
    <t xml:space="preserve">  </t>
  </si>
  <si>
    <t>Histogram After Final Exam:</t>
  </si>
  <si>
    <t>Percentage pass rate (after supps/deferred exams):</t>
  </si>
  <si>
    <t>No. of students who wrote supps:</t>
  </si>
  <si>
    <t>No. of students who wrote deferred exams:</t>
  </si>
  <si>
    <t>1. Attached: Spreadsheet showing comments and changes suggested by external examiner.</t>
  </si>
  <si>
    <t>4. Attached: Copy of supp and/or deferred exam question paper and solutions.</t>
  </si>
  <si>
    <t>End of Course Report Sheet (Before Supps/Deferred Exams)</t>
  </si>
  <si>
    <t>2. Attached: Spreadsheet with updated (final) course marks.</t>
  </si>
  <si>
    <t>5. PDF of exam question paper given to Liezel.</t>
  </si>
  <si>
    <t>End of Course Report Sheet (After Supps/Deferred Exams)</t>
  </si>
  <si>
    <t>5. PDF of supp and/or deferred exam question paper given to Liezel.</t>
  </si>
  <si>
    <t>DP Status (manual)</t>
  </si>
  <si>
    <t>Exempt LYR</t>
  </si>
  <si>
    <t>Totals:</t>
  </si>
  <si>
    <t>Pracs Input:</t>
  </si>
  <si>
    <t>Prac 1</t>
  </si>
  <si>
    <t>Prac 2</t>
  </si>
  <si>
    <t>Prac 3</t>
  </si>
  <si>
    <t>Prac 4</t>
  </si>
  <si>
    <t>Prac 5</t>
  </si>
  <si>
    <t>Prac 6</t>
  </si>
  <si>
    <t>Prac 7</t>
  </si>
  <si>
    <t>Prac 8</t>
  </si>
  <si>
    <t>Prac 9</t>
  </si>
  <si>
    <t>Prac 10</t>
  </si>
  <si>
    <t>Prac 11</t>
  </si>
  <si>
    <t>Prac 12</t>
  </si>
  <si>
    <t>Prac 13</t>
  </si>
  <si>
    <t>Prac 14</t>
  </si>
  <si>
    <t>Prac 15</t>
  </si>
  <si>
    <t>Prac 16</t>
  </si>
  <si>
    <t>Prac 17</t>
  </si>
  <si>
    <t>Prac 18</t>
  </si>
  <si>
    <t>Prac 19</t>
  </si>
  <si>
    <t>Prac 20</t>
  </si>
  <si>
    <t>Tuts Input:</t>
  </si>
  <si>
    <t>Tut 10</t>
  </si>
  <si>
    <t>Tut 11</t>
  </si>
  <si>
    <t>Tut 12</t>
  </si>
  <si>
    <t>Tut     1</t>
  </si>
  <si>
    <t>Tut     2</t>
  </si>
  <si>
    <t>Tut     3</t>
  </si>
  <si>
    <t>Tut     4</t>
  </si>
  <si>
    <t>Tut     5</t>
  </si>
  <si>
    <t>Tut     6</t>
  </si>
  <si>
    <t>Tut     7</t>
  </si>
  <si>
    <t>Tut     8</t>
  </si>
  <si>
    <t>Tut     9</t>
  </si>
  <si>
    <t xml:space="preserve">Course Spreadsheet </t>
  </si>
  <si>
    <t>ST1</t>
  </si>
  <si>
    <t>ST2</t>
  </si>
  <si>
    <t>ST3</t>
  </si>
  <si>
    <t>ST4</t>
  </si>
  <si>
    <t>ST5</t>
  </si>
  <si>
    <t>ST6</t>
  </si>
  <si>
    <t>ST7</t>
  </si>
  <si>
    <t>ST8</t>
  </si>
  <si>
    <t>ST9</t>
  </si>
  <si>
    <t>ST10</t>
  </si>
  <si>
    <t>ABS</t>
  </si>
  <si>
    <t>EXC</t>
  </si>
  <si>
    <t>"100%"</t>
  </si>
  <si>
    <t>"50%"</t>
  </si>
  <si>
    <t>"0%"</t>
  </si>
  <si>
    <t>"200%"</t>
  </si>
  <si>
    <t>manually overwrite once course changes/decant are completed</t>
  </si>
  <si>
    <t>DP Calculator (NB: DP status must be manually input into master sheet)</t>
  </si>
  <si>
    <t>Class Record    % &gt;=</t>
  </si>
  <si>
    <t>Lab Afternoon         % &gt;=</t>
  </si>
  <si>
    <t>Class Test           % &gt;=</t>
  </si>
  <si>
    <t>Tutorial          % &gt;=</t>
  </si>
  <si>
    <r>
      <t xml:space="preserve">To be completed by the course coordinator after processing of </t>
    </r>
    <r>
      <rPr>
        <b/>
        <u/>
        <sz val="14"/>
        <color theme="1"/>
        <rFont val="Calibri"/>
        <family val="2"/>
        <scheme val="minor"/>
      </rPr>
      <t>supp/de marks</t>
    </r>
    <r>
      <rPr>
        <sz val="14"/>
        <color theme="1"/>
        <rFont val="Calibri"/>
        <family val="2"/>
        <scheme val="minor"/>
      </rPr>
      <t xml:space="preserve"> and presented to the HoD before the final marks are signed off on PeopleSoft.</t>
    </r>
  </si>
  <si>
    <t>Further Cond</t>
  </si>
  <si>
    <t>Weights for        Class Record:</t>
  </si>
  <si>
    <t>SB1</t>
  </si>
  <si>
    <t>SB2</t>
  </si>
  <si>
    <t>SB3</t>
  </si>
  <si>
    <t>SB4</t>
  </si>
  <si>
    <t>SB5</t>
  </si>
  <si>
    <t>SB6</t>
  </si>
  <si>
    <t>SB7</t>
  </si>
  <si>
    <t>SB8</t>
  </si>
  <si>
    <t>SB9</t>
  </si>
  <si>
    <t>SB10</t>
  </si>
  <si>
    <t>DP</t>
  </si>
  <si>
    <t>PHY TEST</t>
  </si>
  <si>
    <t>Table Prefix</t>
  </si>
  <si>
    <t>Student ID Cell</t>
  </si>
  <si>
    <t>B10</t>
  </si>
  <si>
    <t>Course Name</t>
  </si>
  <si>
    <t>Number of Categories</t>
  </si>
  <si>
    <t>Multiple Entries (Single Sheet Only)</t>
  </si>
  <si>
    <t>Single entry per sheet  (Multiple Sheets Allowed)</t>
  </si>
  <si>
    <t>Category Name</t>
  </si>
  <si>
    <t>Type (Single / Multi Entries)</t>
  </si>
  <si>
    <t>Display Histogram</t>
  </si>
  <si>
    <t>Sheet</t>
  </si>
  <si>
    <t>ID Cell</t>
  </si>
  <si>
    <t>First Entry Cell</t>
  </si>
  <si>
    <t>Average Mark Cell</t>
  </si>
  <si>
    <t>Entry Cell</t>
  </si>
  <si>
    <t>Labs</t>
  </si>
  <si>
    <t>m</t>
  </si>
  <si>
    <t>y</t>
  </si>
  <si>
    <t>LAB AFTERNOON</t>
  </si>
  <si>
    <t>C6</t>
  </si>
  <si>
    <t>F6</t>
  </si>
  <si>
    <t>J10</t>
  </si>
  <si>
    <t>n</t>
  </si>
  <si>
    <t>TUTORIALS</t>
  </si>
  <si>
    <t>E6</t>
  </si>
  <si>
    <t>H6</t>
  </si>
  <si>
    <t>s</t>
  </si>
  <si>
    <t>C5</t>
  </si>
  <si>
    <t>E5</t>
  </si>
  <si>
    <t>Lab Tests</t>
  </si>
  <si>
    <t>1234w</t>
  </si>
  <si>
    <t>PHY1234W (2014)</t>
  </si>
  <si>
    <t>LAB EXAM</t>
  </si>
  <si>
    <t>F5</t>
  </si>
  <si>
    <t>K10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</si>
</sst>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3E3E3E"/>
      <name val="Tahoma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Arial"/>
      <family val="2"/>
    </font>
    <font>
      <sz val="12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color rgb="FFFF3300"/>
      <name val="Calibri"/>
      <family val="2"/>
      <scheme val="minor"/>
    </font>
    <font>
      <sz val="11"/>
      <color rgb="FF0061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8" fillId="11" borderId="0" applyNumberFormat="0" applyBorder="0" applyAlignment="0" applyProtection="0"/>
  </cellStyleXfs>
  <cellXfs count="408">
    <xf numFmtId="0" fontId="0" fillId="0" borderId="0" xfId="0"/>
    <xf numFmtId="0" fontId="3" fillId="0" borderId="0" xfId="0" applyFont="1" applyProtection="1"/>
    <xf numFmtId="0" fontId="0" fillId="0" borderId="0" xfId="0" applyProtection="1"/>
    <xf numFmtId="0" fontId="3" fillId="0" borderId="1" xfId="0" applyFont="1" applyBorder="1" applyProtection="1"/>
    <xf numFmtId="0" fontId="0" fillId="0" borderId="2" xfId="0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</xf>
    <xf numFmtId="0" fontId="3" fillId="0" borderId="2" xfId="0" applyFont="1" applyBorder="1" applyProtection="1"/>
    <xf numFmtId="1" fontId="0" fillId="0" borderId="2" xfId="0" applyNumberFormat="1" applyBorder="1" applyAlignment="1" applyProtection="1">
      <alignment horizontal="center"/>
    </xf>
    <xf numFmtId="0" fontId="4" fillId="3" borderId="0" xfId="0" applyFont="1" applyFill="1" applyProtection="1"/>
    <xf numFmtId="164" fontId="4" fillId="3" borderId="2" xfId="0" applyNumberFormat="1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  <protection locked="0"/>
    </xf>
    <xf numFmtId="3" fontId="3" fillId="2" borderId="4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2" fillId="0" borderId="0" xfId="0" applyFont="1" applyProtection="1"/>
    <xf numFmtId="164" fontId="0" fillId="0" borderId="2" xfId="0" applyNumberFormat="1" applyBorder="1" applyAlignment="1" applyProtection="1">
      <alignment horizontal="center" vertical="center"/>
    </xf>
    <xf numFmtId="164" fontId="4" fillId="3" borderId="2" xfId="0" applyNumberFormat="1" applyFont="1" applyFill="1" applyBorder="1" applyAlignment="1" applyProtection="1">
      <alignment horizontal="center" vertical="center"/>
    </xf>
    <xf numFmtId="0" fontId="1" fillId="3" borderId="2" xfId="0" applyFont="1" applyFill="1" applyBorder="1" applyProtection="1"/>
    <xf numFmtId="164" fontId="4" fillId="3" borderId="8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Protection="1"/>
    <xf numFmtId="0" fontId="2" fillId="0" borderId="0" xfId="0" applyFont="1" applyFill="1" applyProtection="1"/>
    <xf numFmtId="0" fontId="7" fillId="0" borderId="0" xfId="0" applyFont="1" applyFill="1"/>
    <xf numFmtId="0" fontId="8" fillId="0" borderId="2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3" fontId="3" fillId="2" borderId="4" xfId="0" applyNumberFormat="1" applyFont="1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/>
    </xf>
    <xf numFmtId="0" fontId="0" fillId="0" borderId="4" xfId="0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/>
    </xf>
    <xf numFmtId="0" fontId="0" fillId="6" borderId="2" xfId="0" applyFill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</xf>
    <xf numFmtId="164" fontId="4" fillId="3" borderId="8" xfId="0" applyNumberFormat="1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164" fontId="4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0" fillId="0" borderId="0" xfId="0" applyFill="1" applyBorder="1" applyProtection="1"/>
    <xf numFmtId="164" fontId="0" fillId="0" borderId="2" xfId="0" applyNumberFormat="1" applyFill="1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0" fillId="0" borderId="0" xfId="0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 vertical="center"/>
    </xf>
    <xf numFmtId="0" fontId="3" fillId="0" borderId="9" xfId="0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7" xfId="0" applyFont="1" applyBorder="1" applyAlignment="1" applyProtection="1">
      <alignment horizontal="center" vertical="center" wrapText="1"/>
    </xf>
    <xf numFmtId="1" fontId="10" fillId="7" borderId="20" xfId="0" applyNumberFormat="1" applyFont="1" applyFill="1" applyBorder="1" applyAlignment="1" applyProtection="1">
      <alignment horizontal="center" vertical="center" wrapText="1"/>
    </xf>
    <xf numFmtId="1" fontId="9" fillId="0" borderId="7" xfId="0" applyNumberFormat="1" applyFont="1" applyBorder="1" applyAlignment="1" applyProtection="1">
      <alignment horizontal="center" vertical="center" wrapText="1"/>
    </xf>
    <xf numFmtId="1" fontId="10" fillId="7" borderId="8" xfId="0" applyNumberFormat="1" applyFont="1" applyFill="1" applyBorder="1" applyAlignment="1" applyProtection="1">
      <alignment horizontal="center" vertical="center" wrapText="1"/>
    </xf>
    <xf numFmtId="1" fontId="9" fillId="0" borderId="8" xfId="0" applyNumberFormat="1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right" vertical="center"/>
    </xf>
    <xf numFmtId="0" fontId="10" fillId="5" borderId="21" xfId="0" applyFont="1" applyFill="1" applyBorder="1" applyAlignment="1" applyProtection="1">
      <alignment horizontal="center" vertical="center" wrapText="1"/>
    </xf>
    <xf numFmtId="0" fontId="10" fillId="5" borderId="22" xfId="0" applyFont="1" applyFill="1" applyBorder="1" applyAlignment="1" applyProtection="1">
      <alignment horizontal="center" vertical="center" wrapText="1"/>
    </xf>
    <xf numFmtId="1" fontId="10" fillId="7" borderId="23" xfId="0" applyNumberFormat="1" applyFont="1" applyFill="1" applyBorder="1" applyAlignment="1" applyProtection="1">
      <alignment horizontal="center" vertical="center" wrapText="1"/>
    </xf>
    <xf numFmtId="1" fontId="11" fillId="7" borderId="24" xfId="0" applyNumberFormat="1" applyFont="1" applyFill="1" applyBorder="1" applyAlignment="1" applyProtection="1">
      <alignment horizontal="center" vertical="center" wrapText="1"/>
    </xf>
    <xf numFmtId="1" fontId="10" fillId="7" borderId="21" xfId="0" applyNumberFormat="1" applyFont="1" applyFill="1" applyBorder="1" applyAlignment="1" applyProtection="1">
      <alignment horizontal="center" vertical="center" wrapText="1"/>
    </xf>
    <xf numFmtId="1" fontId="11" fillId="7" borderId="16" xfId="0" applyNumberFormat="1" applyFont="1" applyFill="1" applyBorder="1" applyAlignment="1" applyProtection="1">
      <alignment horizontal="center" vertical="center" wrapText="1"/>
    </xf>
    <xf numFmtId="0" fontId="3" fillId="0" borderId="9" xfId="0" applyFont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right" vertical="center"/>
    </xf>
    <xf numFmtId="2" fontId="10" fillId="5" borderId="16" xfId="0" applyNumberFormat="1" applyFont="1" applyFill="1" applyBorder="1" applyAlignment="1" applyProtection="1">
      <alignment horizontal="center" vertical="center" wrapText="1"/>
    </xf>
    <xf numFmtId="2" fontId="10" fillId="7" borderId="25" xfId="0" applyNumberFormat="1" applyFont="1" applyFill="1" applyBorder="1" applyAlignment="1" applyProtection="1">
      <alignment horizontal="center" vertical="center" wrapText="1"/>
    </xf>
    <xf numFmtId="2" fontId="11" fillId="7" borderId="26" xfId="0" applyNumberFormat="1" applyFont="1" applyFill="1" applyBorder="1" applyAlignment="1" applyProtection="1">
      <alignment horizontal="center" vertical="center" wrapText="1"/>
    </xf>
    <xf numFmtId="1" fontId="11" fillId="7" borderId="27" xfId="0" applyNumberFormat="1" applyFont="1" applyFill="1" applyBorder="1" applyAlignment="1" applyProtection="1">
      <alignment horizontal="center" vertical="center" wrapText="1"/>
    </xf>
    <xf numFmtId="0" fontId="1" fillId="7" borderId="28" xfId="0" applyFont="1" applyFill="1" applyBorder="1" applyAlignment="1" applyProtection="1">
      <alignment horizontal="left"/>
    </xf>
    <xf numFmtId="0" fontId="3" fillId="0" borderId="13" xfId="0" applyFont="1" applyBorder="1" applyAlignment="1" applyProtection="1">
      <alignment horizontal="right" vertical="center"/>
    </xf>
    <xf numFmtId="164" fontId="9" fillId="0" borderId="21" xfId="0" applyNumberFormat="1" applyFont="1" applyBorder="1" applyAlignment="1" applyProtection="1">
      <alignment horizontal="center" vertical="center" wrapText="1"/>
    </xf>
    <xf numFmtId="164" fontId="12" fillId="7" borderId="26" xfId="0" applyNumberFormat="1" applyFont="1" applyFill="1" applyBorder="1" applyAlignment="1" applyProtection="1">
      <alignment horizontal="center" vertical="center" wrapText="1"/>
    </xf>
    <xf numFmtId="164" fontId="12" fillId="7" borderId="27" xfId="0" applyNumberFormat="1" applyFont="1" applyFill="1" applyBorder="1" applyAlignment="1" applyProtection="1">
      <alignment horizontal="center" vertical="center" wrapText="1"/>
    </xf>
    <xf numFmtId="0" fontId="12" fillId="7" borderId="21" xfId="0" applyFont="1" applyFill="1" applyBorder="1" applyAlignment="1" applyProtection="1">
      <alignment horizontal="center" wrapText="1"/>
    </xf>
    <xf numFmtId="0" fontId="12" fillId="7" borderId="22" xfId="0" applyFont="1" applyFill="1" applyBorder="1" applyAlignment="1" applyProtection="1">
      <alignment horizontal="center" wrapText="1"/>
    </xf>
    <xf numFmtId="1" fontId="12" fillId="7" borderId="23" xfId="0" applyNumberFormat="1" applyFont="1" applyFill="1" applyBorder="1" applyAlignment="1" applyProtection="1">
      <alignment horizontal="center" wrapText="1"/>
    </xf>
    <xf numFmtId="1" fontId="12" fillId="7" borderId="29" xfId="0" applyNumberFormat="1" applyFont="1" applyFill="1" applyBorder="1" applyAlignment="1" applyProtection="1">
      <alignment horizontal="center" wrapText="1"/>
    </xf>
    <xf numFmtId="1" fontId="11" fillId="7" borderId="21" xfId="0" applyNumberFormat="1" applyFont="1" applyFill="1" applyBorder="1" applyAlignment="1" applyProtection="1">
      <alignment horizontal="center" wrapText="1"/>
    </xf>
    <xf numFmtId="1" fontId="11" fillId="7" borderId="10" xfId="0" applyNumberFormat="1" applyFont="1" applyFill="1" applyBorder="1" applyAlignment="1" applyProtection="1">
      <alignment horizontal="center" wrapText="1"/>
    </xf>
    <xf numFmtId="0" fontId="12" fillId="3" borderId="27" xfId="0" applyFont="1" applyFill="1" applyBorder="1" applyAlignment="1" applyProtection="1">
      <alignment horizontal="center" wrapText="1"/>
    </xf>
    <xf numFmtId="0" fontId="12" fillId="3" borderId="0" xfId="0" applyFont="1" applyFill="1" applyBorder="1" applyAlignment="1" applyProtection="1">
      <alignment horizontal="center" wrapText="1"/>
    </xf>
    <xf numFmtId="1" fontId="12" fillId="3" borderId="31" xfId="0" applyNumberFormat="1" applyFont="1" applyFill="1" applyBorder="1" applyAlignment="1" applyProtection="1">
      <alignment horizontal="center" wrapText="1"/>
    </xf>
    <xf numFmtId="1" fontId="12" fillId="3" borderId="32" xfId="0" applyNumberFormat="1" applyFont="1" applyFill="1" applyBorder="1" applyAlignment="1" applyProtection="1">
      <alignment horizontal="center" wrapText="1"/>
    </xf>
    <xf numFmtId="1" fontId="11" fillId="3" borderId="30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1" fillId="7" borderId="6" xfId="0" applyFont="1" applyFill="1" applyBorder="1" applyAlignment="1" applyProtection="1">
      <alignment horizontal="left"/>
    </xf>
    <xf numFmtId="2" fontId="3" fillId="6" borderId="2" xfId="0" applyNumberFormat="1" applyFont="1" applyFill="1" applyBorder="1" applyAlignment="1" applyProtection="1">
      <alignment horizontal="center" vertical="center"/>
    </xf>
    <xf numFmtId="0" fontId="18" fillId="0" borderId="8" xfId="0" applyFont="1" applyBorder="1" applyAlignment="1" applyProtection="1">
      <alignment horizontal="center" vertical="center" wrapText="1"/>
    </xf>
    <xf numFmtId="0" fontId="19" fillId="0" borderId="8" xfId="0" applyFont="1" applyBorder="1" applyAlignment="1" applyProtection="1">
      <alignment horizontal="center" vertical="center" wrapText="1"/>
    </xf>
    <xf numFmtId="0" fontId="12" fillId="7" borderId="16" xfId="0" applyFont="1" applyFill="1" applyBorder="1" applyAlignment="1" applyProtection="1">
      <alignment horizontal="center" vertical="center"/>
    </xf>
    <xf numFmtId="0" fontId="19" fillId="5" borderId="16" xfId="0" applyFont="1" applyFill="1" applyBorder="1" applyAlignment="1" applyProtection="1">
      <alignment horizontal="center" vertical="center"/>
    </xf>
    <xf numFmtId="0" fontId="12" fillId="7" borderId="27" xfId="0" applyFont="1" applyFill="1" applyBorder="1" applyAlignment="1" applyProtection="1">
      <alignment horizontal="center" vertical="center"/>
    </xf>
    <xf numFmtId="0" fontId="12" fillId="7" borderId="10" xfId="0" applyFont="1" applyFill="1" applyBorder="1" applyAlignment="1" applyProtection="1">
      <alignment horizontal="center"/>
    </xf>
    <xf numFmtId="0" fontId="12" fillId="3" borderId="27" xfId="0" applyFont="1" applyFill="1" applyBorder="1" applyAlignment="1" applyProtection="1">
      <alignment horizontal="center"/>
    </xf>
    <xf numFmtId="0" fontId="12" fillId="3" borderId="0" xfId="0" applyFont="1" applyFill="1" applyBorder="1" applyAlignment="1" applyProtection="1">
      <alignment horizontal="center"/>
    </xf>
    <xf numFmtId="1" fontId="9" fillId="3" borderId="8" xfId="0" applyNumberFormat="1" applyFont="1" applyFill="1" applyBorder="1" applyAlignment="1" applyProtection="1">
      <alignment horizontal="center" vertical="center" wrapText="1"/>
    </xf>
    <xf numFmtId="1" fontId="11" fillId="3" borderId="16" xfId="0" applyNumberFormat="1" applyFont="1" applyFill="1" applyBorder="1" applyAlignment="1" applyProtection="1">
      <alignment horizontal="center" vertical="center" wrapText="1"/>
    </xf>
    <xf numFmtId="1" fontId="11" fillId="3" borderId="27" xfId="0" applyNumberFormat="1" applyFont="1" applyFill="1" applyBorder="1" applyAlignment="1" applyProtection="1">
      <alignment horizontal="center" vertical="center" wrapText="1"/>
    </xf>
    <xf numFmtId="164" fontId="12" fillId="3" borderId="27" xfId="0" applyNumberFormat="1" applyFont="1" applyFill="1" applyBorder="1" applyAlignment="1" applyProtection="1">
      <alignment horizontal="center" vertical="center" wrapText="1"/>
    </xf>
    <xf numFmtId="1" fontId="11" fillId="3" borderId="10" xfId="0" applyNumberFormat="1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/>
    </xf>
    <xf numFmtId="164" fontId="4" fillId="3" borderId="1" xfId="0" applyNumberFormat="1" applyFont="1" applyFill="1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  <protection locked="0"/>
    </xf>
    <xf numFmtId="1" fontId="0" fillId="2" borderId="4" xfId="0" applyNumberForma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/>
      <protection locked="0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30" xfId="0" applyFont="1" applyFill="1" applyBorder="1" applyAlignment="1" applyProtection="1">
      <alignment horizontal="right" vertical="center"/>
    </xf>
    <xf numFmtId="0" fontId="3" fillId="3" borderId="0" xfId="0" applyFont="1" applyFill="1" applyBorder="1" applyAlignment="1" applyProtection="1">
      <alignment horizontal="right" vertical="center"/>
    </xf>
    <xf numFmtId="0" fontId="3" fillId="3" borderId="22" xfId="0" applyFont="1" applyFill="1" applyBorder="1" applyAlignment="1" applyProtection="1">
      <alignment horizontal="right" vertical="center"/>
    </xf>
    <xf numFmtId="0" fontId="1" fillId="3" borderId="15" xfId="0" applyFont="1" applyFill="1" applyBorder="1" applyProtection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7" fillId="9" borderId="28" xfId="0" applyFont="1" applyFill="1" applyBorder="1" applyAlignment="1" applyProtection="1">
      <alignment horizontal="center" wrapText="1"/>
    </xf>
    <xf numFmtId="0" fontId="2" fillId="5" borderId="28" xfId="0" applyFont="1" applyFill="1" applyBorder="1" applyAlignment="1" applyProtection="1">
      <alignment horizontal="center" vertical="center"/>
    </xf>
    <xf numFmtId="0" fontId="17" fillId="5" borderId="6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 wrapText="1"/>
    </xf>
    <xf numFmtId="0" fontId="0" fillId="0" borderId="19" xfId="0" applyFill="1" applyBorder="1" applyAlignment="1" applyProtection="1">
      <alignment horizontal="center"/>
    </xf>
    <xf numFmtId="0" fontId="20" fillId="0" borderId="0" xfId="0" applyFont="1" applyAlignment="1" applyProtection="1">
      <alignment horizontal="left" vertical="center" indent="2"/>
    </xf>
    <xf numFmtId="0" fontId="3" fillId="0" borderId="0" xfId="0" applyFont="1" applyProtection="1">
      <protection locked="0"/>
    </xf>
    <xf numFmtId="0" fontId="1" fillId="3" borderId="8" xfId="0" applyFont="1" applyFill="1" applyBorder="1" applyProtection="1"/>
    <xf numFmtId="0" fontId="4" fillId="3" borderId="8" xfId="0" applyFont="1" applyFill="1" applyBorder="1" applyAlignment="1" applyProtection="1">
      <alignment horizontal="center" vertical="center"/>
    </xf>
    <xf numFmtId="0" fontId="0" fillId="5" borderId="41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4" fillId="5" borderId="27" xfId="0" applyFont="1" applyFill="1" applyBorder="1" applyAlignment="1" applyProtection="1">
      <alignment horizontal="center" vertical="center"/>
    </xf>
    <xf numFmtId="164" fontId="0" fillId="5" borderId="27" xfId="0" applyNumberFormat="1" applyFill="1" applyBorder="1" applyAlignment="1" applyProtection="1">
      <alignment horizontal="center" vertical="center"/>
    </xf>
    <xf numFmtId="164" fontId="4" fillId="5" borderId="27" xfId="0" applyNumberFormat="1" applyFont="1" applyFill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</xf>
    <xf numFmtId="0" fontId="0" fillId="5" borderId="4" xfId="0" applyFill="1" applyBorder="1" applyProtection="1"/>
    <xf numFmtId="0" fontId="0" fillId="5" borderId="8" xfId="0" applyFill="1" applyBorder="1" applyAlignment="1" applyProtection="1">
      <alignment horizontal="center"/>
    </xf>
    <xf numFmtId="0" fontId="4" fillId="5" borderId="27" xfId="0" applyFont="1" applyFill="1" applyBorder="1" applyAlignment="1" applyProtection="1">
      <alignment horizontal="center"/>
    </xf>
    <xf numFmtId="164" fontId="0" fillId="5" borderId="27" xfId="0" applyNumberFormat="1" applyFill="1" applyBorder="1" applyAlignment="1" applyProtection="1">
      <alignment horizontal="center"/>
    </xf>
    <xf numFmtId="164" fontId="4" fillId="5" borderId="27" xfId="0" applyNumberFormat="1" applyFont="1" applyFill="1" applyBorder="1" applyAlignment="1" applyProtection="1">
      <alignment horizontal="center"/>
    </xf>
    <xf numFmtId="0" fontId="0" fillId="0" borderId="42" xfId="0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wrapText="1"/>
    </xf>
    <xf numFmtId="0" fontId="0" fillId="0" borderId="0" xfId="0" applyProtection="1">
      <protection locked="0"/>
    </xf>
    <xf numFmtId="0" fontId="1" fillId="7" borderId="43" xfId="0" applyFont="1" applyFill="1" applyBorder="1" applyProtection="1"/>
    <xf numFmtId="0" fontId="12" fillId="7" borderId="10" xfId="0" applyFont="1" applyFill="1" applyBorder="1" applyAlignment="1" applyProtection="1">
      <alignment horizontal="center" wrapText="1"/>
    </xf>
    <xf numFmtId="2" fontId="10" fillId="5" borderId="21" xfId="0" applyNumberFormat="1" applyFont="1" applyFill="1" applyBorder="1" applyAlignment="1" applyProtection="1">
      <alignment horizontal="center" vertical="center" wrapText="1"/>
    </xf>
    <xf numFmtId="1" fontId="10" fillId="7" borderId="16" xfId="0" applyNumberFormat="1" applyFont="1" applyFill="1" applyBorder="1" applyAlignment="1" applyProtection="1">
      <alignment horizontal="center" vertical="center" wrapText="1"/>
    </xf>
    <xf numFmtId="0" fontId="12" fillId="7" borderId="21" xfId="0" applyFont="1" applyFill="1" applyBorder="1" applyAlignment="1" applyProtection="1">
      <alignment horizontal="center" vertical="center"/>
    </xf>
    <xf numFmtId="14" fontId="3" fillId="0" borderId="0" xfId="0" applyNumberFormat="1" applyFont="1" applyProtection="1"/>
    <xf numFmtId="0" fontId="15" fillId="0" borderId="3" xfId="0" applyFont="1" applyBorder="1" applyAlignment="1" applyProtection="1">
      <alignment horizontal="center" vertical="center"/>
    </xf>
    <xf numFmtId="1" fontId="15" fillId="0" borderId="5" xfId="0" applyNumberFormat="1" applyFont="1" applyBorder="1" applyAlignment="1" applyProtection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1" fontId="30" fillId="7" borderId="5" xfId="0" applyNumberFormat="1" applyFont="1" applyFill="1" applyBorder="1" applyAlignment="1" applyProtection="1">
      <alignment horizontal="center" vertical="center"/>
    </xf>
    <xf numFmtId="1" fontId="30" fillId="0" borderId="5" xfId="0" applyNumberFormat="1" applyFont="1" applyFill="1" applyBorder="1" applyAlignment="1" applyProtection="1">
      <alignment horizontal="center" vertical="center"/>
    </xf>
    <xf numFmtId="1" fontId="30" fillId="0" borderId="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" xfId="0" applyNumberFormat="1" applyFont="1" applyBorder="1" applyAlignment="1" applyProtection="1">
      <alignment horizontal="left" vertical="center"/>
      <protection locked="0"/>
    </xf>
    <xf numFmtId="1" fontId="15" fillId="0" borderId="5" xfId="0" applyNumberFormat="1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/>
    </xf>
    <xf numFmtId="0" fontId="13" fillId="0" borderId="1" xfId="0" applyFont="1" applyBorder="1" applyAlignment="1" applyProtection="1">
      <alignment horizontal="center"/>
    </xf>
    <xf numFmtId="0" fontId="13" fillId="0" borderId="2" xfId="0" applyFont="1" applyBorder="1" applyAlignment="1" applyProtection="1">
      <alignment horizontal="center" wrapText="1"/>
    </xf>
    <xf numFmtId="0" fontId="0" fillId="0" borderId="4" xfId="0" applyFont="1" applyBorder="1" applyAlignment="1" applyProtection="1">
      <alignment horizontal="left"/>
    </xf>
    <xf numFmtId="0" fontId="0" fillId="0" borderId="4" xfId="0" applyFont="1" applyBorder="1" applyAlignment="1" applyProtection="1"/>
    <xf numFmtId="0" fontId="15" fillId="0" borderId="4" xfId="0" applyFont="1" applyBorder="1" applyAlignment="1" applyProtection="1">
      <alignment vertical="center"/>
    </xf>
    <xf numFmtId="0" fontId="15" fillId="0" borderId="0" xfId="0" applyFont="1" applyFill="1" applyBorder="1" applyAlignment="1" applyProtection="1"/>
    <xf numFmtId="0" fontId="0" fillId="4" borderId="2" xfId="0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3" fontId="0" fillId="2" borderId="12" xfId="0" applyNumberFormat="1" applyFont="1" applyFill="1" applyBorder="1" applyAlignment="1" applyProtection="1">
      <alignment horizontal="center"/>
    </xf>
    <xf numFmtId="3" fontId="0" fillId="2" borderId="4" xfId="0" applyNumberFormat="1" applyFont="1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34" fillId="7" borderId="13" xfId="0" applyFont="1" applyFill="1" applyBorder="1" applyProtection="1"/>
    <xf numFmtId="0" fontId="27" fillId="7" borderId="40" xfId="0" applyFont="1" applyFill="1" applyBorder="1" applyProtection="1"/>
    <xf numFmtId="0" fontId="34" fillId="7" borderId="40" xfId="0" applyFont="1" applyFill="1" applyBorder="1" applyProtection="1"/>
    <xf numFmtId="0" fontId="34" fillId="7" borderId="13" xfId="0" applyFont="1" applyFill="1" applyBorder="1" applyProtection="1">
      <protection locked="0"/>
    </xf>
    <xf numFmtId="2" fontId="10" fillId="7" borderId="16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left"/>
    </xf>
    <xf numFmtId="0" fontId="3" fillId="0" borderId="2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14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0" fontId="36" fillId="4" borderId="1" xfId="0" applyFont="1" applyFill="1" applyBorder="1" applyAlignment="1" applyProtection="1">
      <alignment horizontal="center" vertical="center"/>
    </xf>
    <xf numFmtId="0" fontId="3" fillId="0" borderId="17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6" borderId="2" xfId="0" applyFill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Alignment="1" applyProtection="1"/>
    <xf numFmtId="0" fontId="0" fillId="0" borderId="0" xfId="0" applyAlignment="1" applyProtection="1">
      <alignment horizontal="center"/>
    </xf>
    <xf numFmtId="0" fontId="3" fillId="10" borderId="5" xfId="0" applyFont="1" applyFill="1" applyBorder="1" applyAlignment="1" applyProtection="1">
      <alignment horizont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5" borderId="46" xfId="0" applyFill="1" applyBorder="1" applyAlignment="1" applyProtection="1">
      <alignment horizontal="center"/>
      <protection locked="0"/>
    </xf>
    <xf numFmtId="0" fontId="0" fillId="0" borderId="46" xfId="0" applyBorder="1" applyProtection="1">
      <protection locked="0"/>
    </xf>
    <xf numFmtId="0" fontId="0" fillId="0" borderId="5" xfId="0" applyBorder="1" applyProtection="1">
      <protection locked="0"/>
    </xf>
    <xf numFmtId="0" fontId="37" fillId="0" borderId="5" xfId="0" applyFont="1" applyFill="1" applyBorder="1" applyAlignment="1" applyProtection="1">
      <alignment horizontal="right"/>
    </xf>
    <xf numFmtId="0" fontId="3" fillId="0" borderId="5" xfId="0" applyFont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7" fillId="0" borderId="5" xfId="0" applyFont="1" applyBorder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8" xfId="0" applyFont="1" applyBorder="1" applyProtection="1"/>
    <xf numFmtId="0" fontId="0" fillId="3" borderId="28" xfId="0" applyFill="1" applyBorder="1" applyProtection="1"/>
    <xf numFmtId="0" fontId="0" fillId="0" borderId="0" xfId="0" applyAlignment="1" applyProtection="1">
      <alignment horizontal="center"/>
    </xf>
    <xf numFmtId="0" fontId="0" fillId="0" borderId="5" xfId="0" applyBorder="1" applyProtection="1"/>
    <xf numFmtId="0" fontId="7" fillId="0" borderId="5" xfId="0" applyFont="1" applyFill="1" applyBorder="1" applyAlignment="1" applyProtection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18" fillId="0" borderId="8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18" fillId="7" borderId="16" xfId="0" applyFont="1" applyFill="1" applyBorder="1" applyProtection="1"/>
    <xf numFmtId="0" fontId="18" fillId="7" borderId="27" xfId="0" applyFont="1" applyFill="1" applyBorder="1" applyProtection="1"/>
    <xf numFmtId="0" fontId="18" fillId="7" borderId="10" xfId="0" applyFont="1" applyFill="1" applyBorder="1" applyProtection="1"/>
    <xf numFmtId="0" fontId="31" fillId="3" borderId="0" xfId="0" applyFont="1" applyFill="1" applyAlignment="1" applyProtection="1">
      <alignment horizontal="center" wrapText="1"/>
    </xf>
    <xf numFmtId="0" fontId="12" fillId="3" borderId="0" xfId="0" applyFont="1" applyFill="1" applyProtection="1"/>
    <xf numFmtId="0" fontId="15" fillId="0" borderId="0" xfId="0" applyFont="1" applyAlignment="1" applyProtection="1">
      <alignment vertical="center"/>
    </xf>
    <xf numFmtId="0" fontId="15" fillId="0" borderId="0" xfId="0" applyFont="1" applyProtection="1"/>
    <xf numFmtId="0" fontId="15" fillId="0" borderId="0" xfId="0" applyFont="1" applyAlignment="1" applyProtection="1"/>
    <xf numFmtId="0" fontId="32" fillId="0" borderId="0" xfId="0" applyFont="1" applyProtection="1"/>
    <xf numFmtId="0" fontId="32" fillId="0" borderId="0" xfId="0" applyFont="1" applyFill="1" applyBorder="1" applyProtection="1"/>
    <xf numFmtId="0" fontId="1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  <protection locked="0"/>
    </xf>
    <xf numFmtId="2" fontId="10" fillId="5" borderId="16" xfId="0" applyNumberFormat="1" applyFont="1" applyFill="1" applyBorder="1" applyAlignment="1" applyProtection="1">
      <alignment horizontal="center" vertical="center" wrapText="1"/>
      <protection locked="0"/>
    </xf>
    <xf numFmtId="2" fontId="10" fillId="5" borderId="1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Protection="1">
      <protection locked="0"/>
    </xf>
    <xf numFmtId="0" fontId="32" fillId="0" borderId="0" xfId="0" applyFont="1" applyProtection="1">
      <protection locked="0"/>
    </xf>
    <xf numFmtId="0" fontId="32" fillId="0" borderId="0" xfId="0" applyFont="1" applyFill="1" applyBorder="1" applyProtection="1">
      <protection locked="0"/>
    </xf>
    <xf numFmtId="9" fontId="0" fillId="0" borderId="0" xfId="0" applyNumberForma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Protection="1"/>
    <xf numFmtId="0" fontId="14" fillId="0" borderId="0" xfId="0" applyFont="1" applyAlignment="1" applyProtection="1">
      <alignment vertical="center"/>
    </xf>
    <xf numFmtId="0" fontId="26" fillId="0" borderId="0" xfId="0" applyFont="1" applyAlignment="1" applyProtection="1">
      <alignment vertical="center"/>
    </xf>
    <xf numFmtId="0" fontId="22" fillId="0" borderId="0" xfId="0" applyFont="1" applyProtection="1"/>
    <xf numFmtId="0" fontId="21" fillId="0" borderId="0" xfId="0" applyFont="1" applyProtection="1"/>
    <xf numFmtId="0" fontId="22" fillId="0" borderId="0" xfId="0" applyFont="1" applyAlignment="1" applyProtection="1">
      <alignment vertical="center"/>
    </xf>
    <xf numFmtId="0" fontId="21" fillId="0" borderId="13" xfId="0" applyFont="1" applyBorder="1" applyAlignment="1" applyProtection="1">
      <alignment vertical="center"/>
    </xf>
    <xf numFmtId="0" fontId="22" fillId="0" borderId="22" xfId="0" applyFont="1" applyBorder="1" applyAlignment="1" applyProtection="1">
      <alignment vertical="center"/>
    </xf>
    <xf numFmtId="0" fontId="27" fillId="0" borderId="0" xfId="0" applyFont="1" applyProtection="1"/>
    <xf numFmtId="0" fontId="21" fillId="0" borderId="22" xfId="0" applyFont="1" applyBorder="1" applyProtection="1"/>
    <xf numFmtId="0" fontId="28" fillId="0" borderId="0" xfId="0" applyFont="1" applyAlignment="1" applyProtection="1">
      <alignment vertical="center"/>
    </xf>
    <xf numFmtId="0" fontId="22" fillId="0" borderId="13" xfId="0" applyFont="1" applyBorder="1" applyAlignment="1" applyProtection="1">
      <alignment vertical="center"/>
    </xf>
    <xf numFmtId="0" fontId="22" fillId="0" borderId="22" xfId="0" applyFont="1" applyBorder="1" applyProtection="1"/>
    <xf numFmtId="164" fontId="35" fillId="7" borderId="13" xfId="0" applyNumberFormat="1" applyFont="1" applyFill="1" applyBorder="1" applyProtection="1"/>
    <xf numFmtId="0" fontId="35" fillId="7" borderId="40" xfId="0" applyFont="1" applyFill="1" applyBorder="1" applyProtection="1"/>
    <xf numFmtId="1" fontId="34" fillId="7" borderId="13" xfId="0" applyNumberFormat="1" applyFont="1" applyFill="1" applyBorder="1" applyProtection="1"/>
    <xf numFmtId="0" fontId="21" fillId="0" borderId="0" xfId="0" applyFont="1" applyBorder="1" applyAlignment="1" applyProtection="1">
      <alignment vertical="center"/>
    </xf>
    <xf numFmtId="0" fontId="21" fillId="0" borderId="0" xfId="0" applyFont="1" applyBorder="1" applyProtection="1"/>
    <xf numFmtId="1" fontId="34" fillId="4" borderId="0" xfId="0" applyNumberFormat="1" applyFont="1" applyFill="1" applyBorder="1" applyProtection="1"/>
    <xf numFmtId="0" fontId="34" fillId="4" borderId="0" xfId="0" applyFont="1" applyFill="1" applyBorder="1" applyProtection="1"/>
    <xf numFmtId="0" fontId="13" fillId="0" borderId="0" xfId="0" applyFont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5" fillId="0" borderId="33" xfId="0" applyFont="1" applyBorder="1" applyAlignment="1" applyProtection="1">
      <alignment horizontal="center" vertical="center" wrapText="1"/>
    </xf>
    <xf numFmtId="0" fontId="15" fillId="0" borderId="37" xfId="0" applyFont="1" applyBorder="1" applyAlignment="1" applyProtection="1">
      <alignment horizontal="center" vertical="center" wrapText="1"/>
    </xf>
    <xf numFmtId="0" fontId="15" fillId="0" borderId="34" xfId="0" applyFont="1" applyBorder="1" applyAlignment="1" applyProtection="1">
      <alignment horizontal="center" vertical="center" wrapText="1"/>
    </xf>
    <xf numFmtId="0" fontId="15" fillId="0" borderId="8" xfId="0" applyFont="1" applyFill="1" applyBorder="1" applyAlignment="1" applyProtection="1">
      <alignment horizontal="center" vertical="center" wrapText="1"/>
    </xf>
    <xf numFmtId="0" fontId="15" fillId="0" borderId="35" xfId="0" applyFont="1" applyBorder="1" applyAlignment="1" applyProtection="1">
      <alignment horizontal="center" vertical="center" wrapText="1"/>
    </xf>
    <xf numFmtId="0" fontId="15" fillId="0" borderId="38" xfId="0" applyFont="1" applyBorder="1" applyAlignment="1" applyProtection="1">
      <alignment horizontal="center" vertical="center" wrapText="1"/>
    </xf>
    <xf numFmtId="0" fontId="15" fillId="0" borderId="44" xfId="0" applyFont="1" applyBorder="1" applyAlignment="1" applyProtection="1">
      <alignment horizontal="center" vertical="center" wrapText="1"/>
    </xf>
    <xf numFmtId="0" fontId="15" fillId="0" borderId="36" xfId="0" applyFont="1" applyBorder="1" applyAlignment="1" applyProtection="1">
      <alignment horizontal="center" vertical="center" wrapText="1"/>
    </xf>
    <xf numFmtId="0" fontId="15" fillId="0" borderId="19" xfId="0" applyFont="1" applyBorder="1" applyAlignment="1" applyProtection="1">
      <alignment horizontal="center"/>
    </xf>
    <xf numFmtId="0" fontId="15" fillId="0" borderId="39" xfId="0" applyFont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</xf>
    <xf numFmtId="1" fontId="15" fillId="0" borderId="36" xfId="0" applyNumberFormat="1" applyFont="1" applyBorder="1" applyAlignment="1" applyProtection="1">
      <alignment horizontal="center" vertical="center" wrapText="1"/>
    </xf>
    <xf numFmtId="1" fontId="15" fillId="0" borderId="35" xfId="0" applyNumberFormat="1" applyFont="1" applyBorder="1" applyAlignment="1" applyProtection="1">
      <alignment horizontal="center" vertical="center" wrapText="1"/>
    </xf>
    <xf numFmtId="1" fontId="15" fillId="0" borderId="39" xfId="0" applyNumberFormat="1" applyFont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center" wrapText="1"/>
    </xf>
    <xf numFmtId="1" fontId="15" fillId="0" borderId="0" xfId="0" applyNumberFormat="1" applyFont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1" fillId="0" borderId="0" xfId="0" applyFont="1" applyAlignment="1" applyProtection="1">
      <alignment horizontal="center" wrapText="1"/>
    </xf>
    <xf numFmtId="0" fontId="21" fillId="0" borderId="0" xfId="0" applyFont="1" applyAlignment="1" applyProtection="1">
      <alignment horizontal="center" vertical="center"/>
    </xf>
    <xf numFmtId="2" fontId="22" fillId="8" borderId="0" xfId="0" applyNumberFormat="1" applyFont="1" applyFill="1" applyAlignment="1" applyProtection="1">
      <alignment horizontal="center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21" fillId="0" borderId="0" xfId="0" applyFont="1" applyFill="1" applyProtection="1"/>
    <xf numFmtId="0" fontId="21" fillId="0" borderId="0" xfId="0" applyFont="1" applyFill="1" applyAlignment="1" applyProtection="1">
      <alignment horizontal="center" vertical="center"/>
    </xf>
    <xf numFmtId="2" fontId="22" fillId="0" borderId="0" xfId="0" applyNumberFormat="1" applyFont="1" applyFill="1" applyAlignment="1" applyProtection="1">
      <alignment horizontal="center"/>
    </xf>
    <xf numFmtId="0" fontId="23" fillId="0" borderId="0" xfId="0" applyFont="1" applyAlignment="1" applyProtection="1">
      <alignment vertical="center"/>
    </xf>
    <xf numFmtId="0" fontId="24" fillId="0" borderId="0" xfId="0" applyFont="1" applyProtection="1"/>
    <xf numFmtId="0" fontId="24" fillId="0" borderId="0" xfId="0" applyFont="1" applyAlignment="1" applyProtection="1">
      <alignment horizontal="center"/>
    </xf>
    <xf numFmtId="0" fontId="24" fillId="0" borderId="0" xfId="0" applyFont="1" applyAlignment="1" applyProtection="1">
      <alignment vertical="center"/>
    </xf>
    <xf numFmtId="0" fontId="24" fillId="0" borderId="5" xfId="0" applyFont="1" applyBorder="1" applyAlignment="1" applyProtection="1">
      <alignment vertical="center"/>
    </xf>
    <xf numFmtId="0" fontId="24" fillId="0" borderId="45" xfId="0" applyFont="1" applyBorder="1" applyAlignment="1" applyProtection="1">
      <alignment vertical="center"/>
    </xf>
    <xf numFmtId="0" fontId="24" fillId="0" borderId="0" xfId="0" applyFont="1" applyAlignment="1" applyProtection="1">
      <alignment horizontal="left" vertical="center"/>
    </xf>
    <xf numFmtId="0" fontId="13" fillId="0" borderId="0" xfId="0" applyFont="1" applyProtection="1"/>
    <xf numFmtId="0" fontId="24" fillId="0" borderId="5" xfId="0" applyFont="1" applyBorder="1" applyAlignment="1" applyProtection="1">
      <alignment horizontal="center" vertical="center"/>
    </xf>
    <xf numFmtId="0" fontId="24" fillId="0" borderId="13" xfId="0" applyFont="1" applyBorder="1" applyAlignment="1" applyProtection="1">
      <alignment horizontal="left" vertical="center"/>
    </xf>
    <xf numFmtId="0" fontId="24" fillId="0" borderId="22" xfId="0" applyFont="1" applyBorder="1" applyAlignment="1" applyProtection="1">
      <alignment horizontal="left" vertical="center"/>
    </xf>
    <xf numFmtId="0" fontId="24" fillId="0" borderId="40" xfId="0" applyFont="1" applyBorder="1" applyAlignment="1" applyProtection="1">
      <alignment horizontal="left" vertical="center"/>
    </xf>
    <xf numFmtId="0" fontId="24" fillId="0" borderId="18" xfId="0" applyFont="1" applyBorder="1" applyAlignment="1" applyProtection="1">
      <alignment horizontal="center" vertical="center"/>
    </xf>
    <xf numFmtId="0" fontId="24" fillId="0" borderId="18" xfId="0" applyFont="1" applyBorder="1" applyAlignment="1" applyProtection="1">
      <alignment horizontal="center"/>
    </xf>
    <xf numFmtId="0" fontId="25" fillId="0" borderId="18" xfId="0" applyFont="1" applyBorder="1" applyAlignment="1" applyProtection="1">
      <alignment horizontal="center"/>
    </xf>
    <xf numFmtId="0" fontId="25" fillId="0" borderId="0" xfId="0" applyFont="1" applyAlignment="1" applyProtection="1">
      <alignment vertical="center"/>
    </xf>
    <xf numFmtId="0" fontId="25" fillId="0" borderId="0" xfId="0" applyFont="1" applyProtection="1"/>
    <xf numFmtId="0" fontId="21" fillId="7" borderId="13" xfId="0" applyFont="1" applyFill="1" applyBorder="1" applyProtection="1"/>
    <xf numFmtId="0" fontId="21" fillId="7" borderId="40" xfId="0" applyFont="1" applyFill="1" applyBorder="1" applyProtection="1"/>
    <xf numFmtId="164" fontId="21" fillId="7" borderId="13" xfId="0" applyNumberFormat="1" applyFont="1" applyFill="1" applyBorder="1" applyProtection="1"/>
    <xf numFmtId="1" fontId="21" fillId="7" borderId="13" xfId="0" applyNumberFormat="1" applyFont="1" applyFill="1" applyBorder="1" applyProtection="1"/>
    <xf numFmtId="1" fontId="21" fillId="0" borderId="0" xfId="0" applyNumberFormat="1" applyFont="1" applyFill="1" applyBorder="1" applyProtection="1"/>
    <xf numFmtId="0" fontId="21" fillId="0" borderId="0" xfId="0" applyFont="1" applyFill="1" applyBorder="1" applyProtection="1"/>
    <xf numFmtId="0" fontId="21" fillId="0" borderId="13" xfId="0" applyFont="1" applyBorder="1" applyAlignment="1" applyProtection="1">
      <alignment horizontal="left" vertical="center"/>
    </xf>
    <xf numFmtId="0" fontId="22" fillId="0" borderId="22" xfId="0" applyFont="1" applyBorder="1" applyAlignment="1" applyProtection="1">
      <alignment horizontal="center"/>
    </xf>
    <xf numFmtId="0" fontId="22" fillId="0" borderId="22" xfId="0" applyFont="1" applyFill="1" applyBorder="1" applyAlignment="1" applyProtection="1">
      <alignment horizontal="center"/>
    </xf>
    <xf numFmtId="1" fontId="21" fillId="7" borderId="13" xfId="0" applyNumberFormat="1" applyFont="1" applyFill="1" applyBorder="1" applyAlignment="1" applyProtection="1">
      <alignment horizontal="right"/>
    </xf>
    <xf numFmtId="0" fontId="22" fillId="7" borderId="40" xfId="0" applyFont="1" applyFill="1" applyBorder="1" applyAlignment="1" applyProtection="1">
      <alignment horizontal="center"/>
    </xf>
    <xf numFmtId="0" fontId="22" fillId="0" borderId="13" xfId="0" applyFont="1" applyBorder="1" applyAlignment="1" applyProtection="1">
      <alignment horizontal="left" vertical="center"/>
    </xf>
    <xf numFmtId="0" fontId="22" fillId="0" borderId="40" xfId="0" applyFont="1" applyFill="1" applyBorder="1" applyAlignment="1" applyProtection="1">
      <alignment horizontal="center"/>
    </xf>
    <xf numFmtId="164" fontId="22" fillId="7" borderId="13" xfId="0" applyNumberFormat="1" applyFont="1" applyFill="1" applyBorder="1" applyProtection="1"/>
    <xf numFmtId="0" fontId="22" fillId="7" borderId="40" xfId="0" applyFont="1" applyFill="1" applyBorder="1" applyAlignment="1" applyProtection="1">
      <alignment horizontal="left"/>
    </xf>
    <xf numFmtId="0" fontId="21" fillId="0" borderId="0" xfId="0" applyFont="1" applyBorder="1" applyAlignment="1" applyProtection="1">
      <alignment horizontal="left" vertical="center"/>
    </xf>
    <xf numFmtId="0" fontId="22" fillId="0" borderId="0" xfId="0" applyFont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center"/>
    </xf>
    <xf numFmtId="0" fontId="24" fillId="0" borderId="0" xfId="0" applyFont="1" applyBorder="1" applyAlignment="1" applyProtection="1">
      <alignment vertical="center"/>
    </xf>
    <xf numFmtId="0" fontId="3" fillId="3" borderId="8" xfId="0" applyFont="1" applyFill="1" applyBorder="1" applyAlignment="1" applyProtection="1">
      <alignment horizontal="center" vertical="center"/>
    </xf>
    <xf numFmtId="0" fontId="9" fillId="0" borderId="47" xfId="0" applyFont="1" applyBorder="1" applyAlignment="1" applyProtection="1">
      <alignment horizontal="center" vertical="center" wrapText="1"/>
    </xf>
    <xf numFmtId="1" fontId="9" fillId="0" borderId="8" xfId="0" applyNumberFormat="1" applyFont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1" fillId="0" borderId="18" xfId="0" applyFont="1" applyFill="1" applyBorder="1" applyAlignment="1" applyProtection="1">
      <alignment horizontal="left"/>
    </xf>
    <xf numFmtId="0" fontId="1" fillId="0" borderId="18" xfId="0" applyFont="1" applyFill="1" applyBorder="1" applyAlignment="1" applyProtection="1">
      <alignment horizontal="center"/>
    </xf>
    <xf numFmtId="0" fontId="1" fillId="0" borderId="18" xfId="0" applyFont="1" applyFill="1" applyBorder="1" applyProtection="1"/>
    <xf numFmtId="0" fontId="1" fillId="0" borderId="18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 wrapText="1"/>
    </xf>
    <xf numFmtId="0" fontId="0" fillId="3" borderId="8" xfId="0" applyFill="1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" fontId="0" fillId="0" borderId="8" xfId="0" applyNumberFormat="1" applyBorder="1" applyAlignment="1" applyProtection="1">
      <alignment horizontal="center" vertical="center"/>
    </xf>
    <xf numFmtId="0" fontId="3" fillId="0" borderId="19" xfId="0" applyFont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 vertical="center" wrapText="1"/>
    </xf>
    <xf numFmtId="0" fontId="0" fillId="3" borderId="19" xfId="0" applyFill="1" applyBorder="1" applyAlignment="1" applyProtection="1">
      <alignment horizontal="center" vertical="center"/>
    </xf>
    <xf numFmtId="0" fontId="0" fillId="3" borderId="49" xfId="0" applyFill="1" applyBorder="1" applyAlignment="1" applyProtection="1">
      <alignment horizontal="center" vertical="center"/>
    </xf>
    <xf numFmtId="2" fontId="3" fillId="0" borderId="2" xfId="0" applyNumberFormat="1" applyFont="1" applyBorder="1" applyAlignment="1" applyProtection="1">
      <alignment horizontal="center" vertical="center"/>
    </xf>
    <xf numFmtId="0" fontId="0" fillId="0" borderId="12" xfId="0" applyFont="1" applyBorder="1" applyAlignment="1" applyProtection="1">
      <alignment horizontal="left"/>
    </xf>
    <xf numFmtId="0" fontId="0" fillId="0" borderId="4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1" fontId="0" fillId="0" borderId="42" xfId="0" applyNumberFormat="1" applyBorder="1" applyAlignment="1" applyProtection="1">
      <alignment horizontal="center" vertical="center"/>
    </xf>
    <xf numFmtId="1" fontId="0" fillId="0" borderId="4" xfId="0" applyNumberFormat="1" applyBorder="1" applyAlignment="1" applyProtection="1">
      <alignment horizontal="center" vertical="center"/>
    </xf>
    <xf numFmtId="2" fontId="3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" fillId="0" borderId="50" xfId="0" applyFont="1" applyBorder="1"/>
    <xf numFmtId="0" fontId="38" fillId="11" borderId="51" xfId="1" applyBorder="1" applyAlignment="1">
      <alignment horizontal="left"/>
    </xf>
    <xf numFmtId="0" fontId="3" fillId="0" borderId="52" xfId="0" applyFont="1" applyBorder="1"/>
    <xf numFmtId="0" fontId="38" fillId="11" borderId="53" xfId="1" applyBorder="1" applyAlignment="1">
      <alignment horizontal="left"/>
    </xf>
    <xf numFmtId="0" fontId="3" fillId="0" borderId="54" xfId="0" applyFont="1" applyBorder="1"/>
    <xf numFmtId="0" fontId="38" fillId="11" borderId="55" xfId="1" applyBorder="1"/>
    <xf numFmtId="0" fontId="3" fillId="0" borderId="0" xfId="0" applyFont="1" applyBorder="1"/>
    <xf numFmtId="0" fontId="0" fillId="0" borderId="13" xfId="0" applyBorder="1"/>
    <xf numFmtId="0" fontId="0" fillId="0" borderId="22" xfId="0" applyBorder="1"/>
    <xf numFmtId="0" fontId="0" fillId="0" borderId="40" xfId="0" applyBorder="1"/>
    <xf numFmtId="0" fontId="0" fillId="0" borderId="13" xfId="0" applyFill="1" applyBorder="1"/>
    <xf numFmtId="0" fontId="0" fillId="0" borderId="40" xfId="0" applyFill="1" applyBorder="1"/>
    <xf numFmtId="0" fontId="0" fillId="0" borderId="56" xfId="0" applyBorder="1"/>
    <xf numFmtId="0" fontId="0" fillId="0" borderId="45" xfId="0" applyBorder="1"/>
    <xf numFmtId="0" fontId="0" fillId="0" borderId="0" xfId="0" applyFill="1" applyBorder="1"/>
    <xf numFmtId="0" fontId="0" fillId="0" borderId="15" xfId="0" applyBorder="1"/>
    <xf numFmtId="0" fontId="0" fillId="0" borderId="6" xfId="0" applyBorder="1"/>
    <xf numFmtId="0" fontId="0" fillId="0" borderId="0" xfId="0" applyBorder="1"/>
    <xf numFmtId="0" fontId="0" fillId="0" borderId="12" xfId="0" applyBorder="1"/>
    <xf numFmtId="0" fontId="0" fillId="0" borderId="42" xfId="0" applyBorder="1"/>
    <xf numFmtId="0" fontId="0" fillId="0" borderId="41" xfId="0" applyBorder="1"/>
    <xf numFmtId="0" fontId="0" fillId="0" borderId="41" xfId="0" applyFill="1" applyBorder="1"/>
    <xf numFmtId="0" fontId="0" fillId="0" borderId="4" xfId="0" applyBorder="1"/>
    <xf numFmtId="0" fontId="21" fillId="0" borderId="5" xfId="0" applyFont="1" applyBorder="1" applyAlignment="1" applyProtection="1">
      <alignment horizontal="center" vertical="center"/>
      <protection locked="0"/>
    </xf>
    <xf numFmtId="0" fontId="22" fillId="8" borderId="0" xfId="0" applyFont="1" applyFill="1" applyAlignment="1" applyProtection="1">
      <alignment horizontal="center"/>
    </xf>
    <xf numFmtId="0" fontId="21" fillId="0" borderId="0" xfId="0" applyFont="1" applyAlignment="1" applyProtection="1">
      <alignment horizontal="center" vertical="center"/>
    </xf>
    <xf numFmtId="0" fontId="29" fillId="0" borderId="0" xfId="0" applyFont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/>
    </xf>
    <xf numFmtId="0" fontId="21" fillId="0" borderId="5" xfId="0" applyFont="1" applyBorder="1" applyAlignment="1" applyProtection="1">
      <alignment horizontal="center"/>
      <protection locked="0"/>
    </xf>
    <xf numFmtId="0" fontId="21" fillId="0" borderId="13" xfId="0" applyFont="1" applyBorder="1" applyAlignment="1" applyProtection="1">
      <alignment horizontal="center" wrapText="1"/>
    </xf>
    <xf numFmtId="0" fontId="21" fillId="0" borderId="40" xfId="0" applyFont="1" applyBorder="1" applyAlignment="1" applyProtection="1">
      <alignment horizontal="center" wrapText="1"/>
    </xf>
    <xf numFmtId="0" fontId="24" fillId="0" borderId="0" xfId="0" applyFont="1" applyAlignment="1" applyProtection="1">
      <alignment horizontal="left" vertical="center"/>
    </xf>
    <xf numFmtId="0" fontId="21" fillId="0" borderId="13" xfId="0" applyFont="1" applyBorder="1" applyAlignment="1" applyProtection="1">
      <alignment horizontal="center" vertical="center"/>
    </xf>
    <xf numFmtId="0" fontId="21" fillId="0" borderId="22" xfId="0" applyFont="1" applyBorder="1" applyAlignment="1" applyProtection="1">
      <alignment horizontal="center" vertical="center"/>
    </xf>
    <xf numFmtId="0" fontId="21" fillId="0" borderId="40" xfId="0" applyFont="1" applyBorder="1" applyAlignment="1" applyProtection="1">
      <alignment horizontal="center" vertical="center"/>
    </xf>
    <xf numFmtId="0" fontId="21" fillId="0" borderId="13" xfId="0" applyFont="1" applyBorder="1" applyAlignment="1" applyProtection="1">
      <alignment horizontal="center"/>
    </xf>
    <xf numFmtId="0" fontId="21" fillId="0" borderId="22" xfId="0" applyFont="1" applyBorder="1" applyAlignment="1" applyProtection="1">
      <alignment horizontal="center"/>
    </xf>
    <xf numFmtId="0" fontId="21" fillId="0" borderId="40" xfId="0" applyFont="1" applyBorder="1" applyAlignment="1" applyProtection="1">
      <alignment horizontal="center"/>
    </xf>
    <xf numFmtId="0" fontId="8" fillId="0" borderId="13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</xf>
    <xf numFmtId="0" fontId="3" fillId="0" borderId="17" xfId="0" applyFont="1" applyBorder="1" applyAlignment="1" applyProtection="1">
      <alignment horizontal="center" vertical="center"/>
    </xf>
    <xf numFmtId="0" fontId="1" fillId="3" borderId="48" xfId="0" applyFont="1" applyFill="1" applyBorder="1" applyAlignment="1" applyProtection="1">
      <alignment horizontal="center" vertical="center" wrapText="1"/>
    </xf>
    <xf numFmtId="0" fontId="1" fillId="3" borderId="49" xfId="0" applyFont="1" applyFill="1" applyBorder="1" applyAlignment="1" applyProtection="1">
      <alignment horizontal="center" vertical="center" wrapText="1"/>
    </xf>
  </cellXfs>
  <cellStyles count="2">
    <cellStyle name="Good" xfId="1" builtinId="26"/>
    <cellStyle name="Normal" xfId="0" builtinId="0"/>
  </cellStyles>
  <dxfs count="1836"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6600"/>
      </font>
      <fill>
        <patternFill>
          <bgColor rgb="FF66FF66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00"/>
      <color rgb="FF66FF66"/>
      <color rgb="FFFF3300"/>
      <color rgb="FF008000"/>
      <color rgb="FF996633"/>
      <color rgb="FFFFFF99"/>
      <color rgb="FFFFCC00"/>
      <color rgb="FFFFFF66"/>
      <color rgb="FFFFFFCC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</xdr:row>
      <xdr:rowOff>28574</xdr:rowOff>
    </xdr:from>
    <xdr:to>
      <xdr:col>4</xdr:col>
      <xdr:colOff>600075</xdr:colOff>
      <xdr:row>9</xdr:row>
      <xdr:rowOff>171449</xdr:rowOff>
    </xdr:to>
    <xdr:sp macro="[0]!CreateHistoryBackupFile" textlink="">
      <xdr:nvSpPr>
        <xdr:cNvPr id="4" name="Rectangle 3"/>
        <xdr:cNvSpPr/>
      </xdr:nvSpPr>
      <xdr:spPr>
        <a:xfrm>
          <a:off x="638175" y="790574"/>
          <a:ext cx="2400300" cy="1095375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HISTORY BACKUP</a:t>
          </a:r>
        </a:p>
      </xdr:txBody>
    </xdr:sp>
    <xdr:clientData/>
  </xdr:twoCellAnchor>
  <xdr:twoCellAnchor>
    <xdr:from>
      <xdr:col>6</xdr:col>
      <xdr:colOff>600075</xdr:colOff>
      <xdr:row>12</xdr:row>
      <xdr:rowOff>28574</xdr:rowOff>
    </xdr:from>
    <xdr:to>
      <xdr:col>10</xdr:col>
      <xdr:colOff>561975</xdr:colOff>
      <xdr:row>17</xdr:row>
      <xdr:rowOff>171449</xdr:rowOff>
    </xdr:to>
    <xdr:sp macro="[0]!RemoteExportToMySQL" textlink="">
      <xdr:nvSpPr>
        <xdr:cNvPr id="5" name="Rectangle 4"/>
        <xdr:cNvSpPr/>
      </xdr:nvSpPr>
      <xdr:spPr>
        <a:xfrm>
          <a:off x="4257675" y="2314574"/>
          <a:ext cx="2400300" cy="10953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UPLOAD MARKS TO WEB APP DATABASE</a:t>
          </a:r>
        </a:p>
      </xdr:txBody>
    </xdr:sp>
    <xdr:clientData/>
  </xdr:twoCellAnchor>
  <xdr:twoCellAnchor>
    <xdr:from>
      <xdr:col>7</xdr:col>
      <xdr:colOff>9525</xdr:colOff>
      <xdr:row>4</xdr:row>
      <xdr:rowOff>38099</xdr:rowOff>
    </xdr:from>
    <xdr:to>
      <xdr:col>10</xdr:col>
      <xdr:colOff>561975</xdr:colOff>
      <xdr:row>10</xdr:row>
      <xdr:rowOff>9524</xdr:rowOff>
    </xdr:to>
    <xdr:sp macro="[0]!RemoteCreateTablesMySQL" textlink="">
      <xdr:nvSpPr>
        <xdr:cNvPr id="8" name="Rectangle 7"/>
        <xdr:cNvSpPr/>
      </xdr:nvSpPr>
      <xdr:spPr>
        <a:xfrm>
          <a:off x="4276725" y="800099"/>
          <a:ext cx="2381250" cy="1114425"/>
        </a:xfrm>
        <a:prstGeom prst="rect">
          <a:avLst/>
        </a:prstGeom>
        <a:solidFill>
          <a:srgbClr val="FF33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</a:t>
          </a:r>
          <a:r>
            <a:rPr lang="en-GB" sz="1800" baseline="0"/>
            <a:t> WEB APP TABLES</a:t>
          </a:r>
          <a:endParaRPr lang="en-GB" sz="1800"/>
        </a:p>
      </xdr:txBody>
    </xdr:sp>
    <xdr:clientData/>
  </xdr:twoCellAnchor>
  <xdr:twoCellAnchor>
    <xdr:from>
      <xdr:col>1</xdr:col>
      <xdr:colOff>9525</xdr:colOff>
      <xdr:row>12</xdr:row>
      <xdr:rowOff>19050</xdr:rowOff>
    </xdr:from>
    <xdr:to>
      <xdr:col>4</xdr:col>
      <xdr:colOff>581025</xdr:colOff>
      <xdr:row>17</xdr:row>
      <xdr:rowOff>161925</xdr:rowOff>
    </xdr:to>
    <xdr:sp macro="[0]!ProtectAllSheets" textlink="">
      <xdr:nvSpPr>
        <xdr:cNvPr id="9" name="Rectangle 8"/>
        <xdr:cNvSpPr/>
      </xdr:nvSpPr>
      <xdr:spPr>
        <a:xfrm>
          <a:off x="619125" y="2305050"/>
          <a:ext cx="2400300" cy="1095375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PROTECT</a:t>
          </a:r>
          <a:r>
            <a:rPr lang="en-GB" sz="1800" baseline="0"/>
            <a:t> ALL SHEETS</a:t>
          </a:r>
          <a:endParaRPr lang="en-GB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</xdr:col>
      <xdr:colOff>809625</xdr:colOff>
      <xdr:row>4</xdr:row>
      <xdr:rowOff>866775</xdr:rowOff>
    </xdr:to>
    <xdr:sp macro="" textlink="">
      <xdr:nvSpPr>
        <xdr:cNvPr id="4" name="Rectangle 3"/>
        <xdr:cNvSpPr/>
      </xdr:nvSpPr>
      <xdr:spPr>
        <a:xfrm>
          <a:off x="676275" y="771525"/>
          <a:ext cx="809625" cy="8667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ZA" sz="1200" b="1">
            <a:solidFill>
              <a:sysClr val="windowText" lastClr="000000"/>
            </a:solidFill>
          </a:endParaRPr>
        </a:p>
        <a:p>
          <a:pPr algn="ctr"/>
          <a:endParaRPr lang="en-ZA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T13"/>
  <sheetViews>
    <sheetView zoomScaleNormal="100" workbookViewId="0">
      <pane ySplit="3" topLeftCell="A4" activePane="bottomLeft" state="frozen"/>
      <selection pane="bottomLeft" activeCell="F14" sqref="F14"/>
    </sheetView>
  </sheetViews>
  <sheetFormatPr defaultRowHeight="15" x14ac:dyDescent="0.25"/>
  <cols>
    <col min="1" max="1" width="15.140625" style="203" customWidth="1"/>
    <col min="2" max="2" width="23.5703125" style="206" customWidth="1"/>
    <col min="3" max="3" width="9.28515625" style="206" customWidth="1"/>
    <col min="4" max="4" width="5.7109375" style="206" customWidth="1"/>
    <col min="5" max="5" width="3.7109375" style="206" customWidth="1"/>
    <col min="6" max="6" width="5.7109375" style="206" customWidth="1"/>
    <col min="7" max="7" width="3.7109375" style="206" customWidth="1"/>
    <col min="8" max="8" width="5.7109375" style="206" customWidth="1"/>
    <col min="9" max="9" width="3.7109375" style="206" customWidth="1"/>
    <col min="10" max="10" width="5.7109375" style="206" customWidth="1"/>
    <col min="11" max="11" width="3.7109375" style="206" customWidth="1"/>
    <col min="12" max="12" width="5.7109375" style="206" customWidth="1"/>
    <col min="13" max="13" width="3.7109375" style="206" customWidth="1"/>
    <col min="14" max="14" width="5.7109375" style="206" customWidth="1"/>
    <col min="15" max="15" width="3.7109375" style="206" customWidth="1"/>
    <col min="16" max="16" width="5.7109375" style="206" customWidth="1"/>
    <col min="17" max="17" width="3.7109375" style="206" customWidth="1"/>
    <col min="18" max="18" width="5.7109375" style="206" customWidth="1"/>
    <col min="19" max="19" width="3.7109375" style="206" customWidth="1"/>
    <col min="20" max="20" width="5.7109375" style="206" customWidth="1"/>
    <col min="21" max="21" width="3.7109375" style="206" customWidth="1"/>
    <col min="22" max="22" width="5.7109375" style="206" customWidth="1"/>
    <col min="23" max="23" width="3.7109375" style="206" customWidth="1"/>
    <col min="24" max="24" width="5.7109375" style="206" customWidth="1"/>
    <col min="25" max="25" width="3.7109375" style="206" customWidth="1"/>
    <col min="26" max="26" width="5.7109375" style="206" customWidth="1"/>
    <col min="27" max="27" width="3.7109375" style="206" customWidth="1"/>
    <col min="28" max="28" width="5.7109375" style="206" customWidth="1"/>
    <col min="29" max="29" width="3.7109375" style="206" customWidth="1"/>
    <col min="30" max="30" width="5.7109375" style="206" customWidth="1"/>
    <col min="31" max="31" width="3.7109375" style="206" customWidth="1"/>
    <col min="32" max="32" width="5.7109375" style="206" customWidth="1"/>
    <col min="33" max="33" width="3.7109375" style="206" customWidth="1"/>
    <col min="34" max="34" width="5.7109375" style="206" customWidth="1"/>
    <col min="35" max="35" width="3.7109375" style="206" customWidth="1"/>
    <col min="36" max="36" width="5.7109375" style="206" customWidth="1"/>
    <col min="37" max="37" width="3.7109375" style="206" customWidth="1"/>
    <col min="38" max="38" width="5.7109375" style="206" customWidth="1"/>
    <col min="39" max="39" width="3.7109375" style="206" customWidth="1"/>
    <col min="40" max="40" width="5.7109375" style="206" customWidth="1"/>
    <col min="41" max="41" width="3.7109375" style="206" customWidth="1"/>
    <col min="42" max="42" width="5.7109375" style="206" customWidth="1"/>
    <col min="43" max="43" width="3.7109375" style="206" customWidth="1"/>
    <col min="44" max="46" width="9.140625" style="144"/>
  </cols>
  <sheetData>
    <row r="1" spans="1:43" s="2" customFormat="1" ht="30" x14ac:dyDescent="0.25">
      <c r="A1" s="207" t="s">
        <v>200</v>
      </c>
      <c r="B1" s="201">
        <v>2</v>
      </c>
      <c r="C1" s="208" t="s">
        <v>198</v>
      </c>
      <c r="D1" s="208" t="s">
        <v>201</v>
      </c>
      <c r="E1" s="208"/>
      <c r="F1" s="208" t="s">
        <v>202</v>
      </c>
      <c r="G1" s="208"/>
      <c r="H1" s="208" t="s">
        <v>203</v>
      </c>
      <c r="I1" s="208"/>
      <c r="J1" s="208" t="s">
        <v>204</v>
      </c>
      <c r="K1" s="208"/>
      <c r="L1" s="208" t="s">
        <v>205</v>
      </c>
      <c r="M1" s="208"/>
      <c r="N1" s="208" t="s">
        <v>206</v>
      </c>
      <c r="O1" s="208"/>
      <c r="P1" s="208" t="s">
        <v>207</v>
      </c>
      <c r="Q1" s="208"/>
      <c r="R1" s="208" t="s">
        <v>208</v>
      </c>
      <c r="S1" s="208"/>
      <c r="T1" s="208" t="s">
        <v>209</v>
      </c>
      <c r="U1" s="208"/>
      <c r="V1" s="208" t="s">
        <v>210</v>
      </c>
      <c r="W1" s="208"/>
      <c r="X1" s="208" t="s">
        <v>211</v>
      </c>
      <c r="Y1" s="208"/>
      <c r="Z1" s="208" t="s">
        <v>212</v>
      </c>
      <c r="AA1" s="208"/>
      <c r="AB1" s="208" t="s">
        <v>213</v>
      </c>
      <c r="AC1" s="208"/>
      <c r="AD1" s="208" t="s">
        <v>214</v>
      </c>
      <c r="AE1" s="208"/>
      <c r="AF1" s="208" t="s">
        <v>215</v>
      </c>
      <c r="AG1" s="208"/>
      <c r="AH1" s="208" t="s">
        <v>216</v>
      </c>
      <c r="AI1" s="208"/>
      <c r="AJ1" s="208" t="s">
        <v>217</v>
      </c>
      <c r="AK1" s="208"/>
      <c r="AL1" s="208" t="s">
        <v>218</v>
      </c>
      <c r="AM1" s="208"/>
      <c r="AN1" s="208" t="s">
        <v>219</v>
      </c>
      <c r="AO1" s="208"/>
      <c r="AP1" s="208" t="s">
        <v>220</v>
      </c>
      <c r="AQ1" s="216"/>
    </row>
    <row r="2" spans="1:43" s="2" customFormat="1" x14ac:dyDescent="0.25">
      <c r="A2" s="209"/>
      <c r="B2" s="210" t="s">
        <v>199</v>
      </c>
      <c r="C2" s="217">
        <v>100</v>
      </c>
      <c r="D2" s="202">
        <v>20</v>
      </c>
      <c r="E2" s="211"/>
      <c r="F2" s="202">
        <v>20</v>
      </c>
      <c r="G2" s="211"/>
      <c r="H2" s="202"/>
      <c r="I2" s="211"/>
      <c r="J2" s="202"/>
      <c r="K2" s="211"/>
      <c r="L2" s="202"/>
      <c r="M2" s="211"/>
      <c r="N2" s="202"/>
      <c r="O2" s="211"/>
      <c r="P2" s="202"/>
      <c r="Q2" s="211"/>
      <c r="R2" s="202"/>
      <c r="S2" s="211"/>
      <c r="T2" s="202"/>
      <c r="U2" s="211"/>
      <c r="V2" s="202"/>
      <c r="W2" s="211"/>
      <c r="X2" s="202"/>
      <c r="Y2" s="211"/>
      <c r="Z2" s="202"/>
      <c r="AA2" s="211"/>
      <c r="AB2" s="202"/>
      <c r="AC2" s="211"/>
      <c r="AD2" s="202"/>
      <c r="AE2" s="211"/>
      <c r="AF2" s="202"/>
      <c r="AG2" s="211"/>
      <c r="AH2" s="202"/>
      <c r="AI2" s="211"/>
      <c r="AJ2" s="202"/>
      <c r="AK2" s="211"/>
      <c r="AL2" s="202"/>
      <c r="AM2" s="211"/>
      <c r="AN2" s="202"/>
      <c r="AO2" s="211"/>
      <c r="AP2" s="202"/>
      <c r="AQ2" s="216"/>
    </row>
    <row r="3" spans="1:43" s="2" customFormat="1" ht="15.75" thickBot="1" x14ac:dyDescent="0.3">
      <c r="A3" s="212" t="s">
        <v>5</v>
      </c>
      <c r="B3" s="213" t="s">
        <v>6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</row>
    <row r="4" spans="1:43" x14ac:dyDescent="0.25">
      <c r="A4" s="204" t="s">
        <v>235</v>
      </c>
      <c r="B4" s="205" t="s">
        <v>247</v>
      </c>
      <c r="C4" s="205"/>
      <c r="D4" s="205">
        <v>20</v>
      </c>
      <c r="E4" s="205"/>
      <c r="F4" s="205">
        <v>20</v>
      </c>
      <c r="G4" s="205" t="s">
        <v>87</v>
      </c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5"/>
      <c r="AG4" s="205"/>
      <c r="AH4" s="205"/>
      <c r="AI4" s="205"/>
      <c r="AJ4" s="205"/>
      <c r="AK4" s="205"/>
      <c r="AL4" s="205"/>
      <c r="AM4" s="205"/>
      <c r="AN4" s="205"/>
      <c r="AO4" s="205"/>
      <c r="AP4" s="205"/>
      <c r="AQ4" s="205"/>
    </row>
    <row r="5" spans="1:43" x14ac:dyDescent="0.25">
      <c r="A5" s="203" t="s">
        <v>236</v>
      </c>
      <c r="B5" s="206" t="s">
        <v>248</v>
      </c>
      <c r="D5" s="206">
        <v>10</v>
      </c>
      <c r="F5" s="206">
        <v>10</v>
      </c>
    </row>
    <row r="6" spans="1:43" x14ac:dyDescent="0.25">
      <c r="A6" s="203" t="s">
        <v>237</v>
      </c>
      <c r="B6" s="206" t="s">
        <v>249</v>
      </c>
      <c r="D6" s="206">
        <v>0</v>
      </c>
      <c r="F6" s="206">
        <v>0</v>
      </c>
    </row>
    <row r="7" spans="1:43" x14ac:dyDescent="0.25">
      <c r="A7" s="203" t="s">
        <v>238</v>
      </c>
      <c r="B7" s="206" t="s">
        <v>250</v>
      </c>
      <c r="D7" s="206">
        <v>40</v>
      </c>
      <c r="F7" s="206">
        <v>40</v>
      </c>
    </row>
    <row r="8" spans="1:43" x14ac:dyDescent="0.25">
      <c r="A8" s="203" t="s">
        <v>239</v>
      </c>
      <c r="B8" s="206" t="s">
        <v>245</v>
      </c>
    </row>
    <row r="9" spans="1:43" x14ac:dyDescent="0.25">
      <c r="A9" s="203" t="s">
        <v>240</v>
      </c>
      <c r="B9" s="206" t="s">
        <v>246</v>
      </c>
      <c r="E9" s="206">
        <v>1</v>
      </c>
      <c r="G9" s="206">
        <v>1</v>
      </c>
    </row>
    <row r="10" spans="1:43" x14ac:dyDescent="0.25">
      <c r="A10" s="203" t="s">
        <v>241</v>
      </c>
      <c r="B10" s="206" t="s">
        <v>91</v>
      </c>
      <c r="C10" s="206">
        <v>64</v>
      </c>
    </row>
    <row r="11" spans="1:43" x14ac:dyDescent="0.25">
      <c r="A11" s="203" t="s">
        <v>242</v>
      </c>
      <c r="B11" s="206" t="s">
        <v>94</v>
      </c>
      <c r="D11" s="206">
        <v>20</v>
      </c>
      <c r="F11" s="206">
        <v>20</v>
      </c>
    </row>
    <row r="12" spans="1:43" x14ac:dyDescent="0.25">
      <c r="A12" s="203" t="s">
        <v>243</v>
      </c>
      <c r="B12" s="206" t="s">
        <v>172</v>
      </c>
      <c r="E12" s="206">
        <v>1</v>
      </c>
      <c r="F12" s="206">
        <v>20</v>
      </c>
    </row>
    <row r="13" spans="1:43" x14ac:dyDescent="0.25">
      <c r="A13" s="203" t="s">
        <v>244</v>
      </c>
      <c r="B13" s="206" t="s">
        <v>92</v>
      </c>
      <c r="D13" s="206">
        <v>20</v>
      </c>
    </row>
  </sheetData>
  <sheetProtection password="EFD2" sheet="1" objects="1" scenarios="1" selectLockedCells="1"/>
  <pageMargins left="0.7" right="0.7" top="0.75" bottom="0.75" header="0.3" footer="0.3"/>
  <pageSetup paperSize="9" scale="5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L13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15.140625" style="203" customWidth="1"/>
    <col min="2" max="2" width="23.5703125" style="206" customWidth="1"/>
    <col min="3" max="3" width="5.7109375" style="206" customWidth="1"/>
    <col min="4" max="4" width="3.7109375" style="206" customWidth="1"/>
    <col min="5" max="5" width="5.7109375" style="206" customWidth="1"/>
    <col min="6" max="6" width="3.7109375" style="206" customWidth="1"/>
    <col min="7" max="7" width="5.7109375" style="206" customWidth="1"/>
    <col min="8" max="8" width="3.7109375" style="206" customWidth="1"/>
    <col min="9" max="9" width="5.7109375" style="206" customWidth="1"/>
    <col min="10" max="10" width="3.7109375" style="206" customWidth="1"/>
    <col min="11" max="11" width="5.7109375" style="206" customWidth="1"/>
    <col min="12" max="12" width="3.7109375" style="206" customWidth="1"/>
    <col min="13" max="13" width="5.7109375" style="206" customWidth="1"/>
    <col min="14" max="14" width="3.7109375" style="206" customWidth="1"/>
    <col min="15" max="15" width="5.7109375" style="206" customWidth="1"/>
    <col min="16" max="16" width="3.7109375" style="206" customWidth="1"/>
    <col min="17" max="17" width="5.7109375" style="206" customWidth="1"/>
    <col min="18" max="18" width="3.7109375" style="206" customWidth="1"/>
    <col min="19" max="19" width="5.7109375" style="206" customWidth="1"/>
    <col min="20" max="20" width="3.7109375" style="206" customWidth="1"/>
    <col min="21" max="21" width="5.7109375" style="206" customWidth="1"/>
    <col min="22" max="22" width="3.7109375" style="206" customWidth="1"/>
    <col min="23" max="23" width="5.7109375" style="206" customWidth="1"/>
    <col min="24" max="24" width="3.7109375" style="206" customWidth="1"/>
    <col min="25" max="25" width="5.7109375" style="206" customWidth="1"/>
    <col min="26" max="26" width="3.7109375" style="206" customWidth="1"/>
    <col min="27" max="38" width="9.140625" style="144"/>
  </cols>
  <sheetData>
    <row r="1" spans="1:26" s="2" customFormat="1" ht="30" x14ac:dyDescent="0.25">
      <c r="A1" s="207" t="s">
        <v>221</v>
      </c>
      <c r="B1" s="201">
        <v>1</v>
      </c>
      <c r="C1" s="208" t="s">
        <v>225</v>
      </c>
      <c r="D1" s="208"/>
      <c r="E1" s="208" t="s">
        <v>226</v>
      </c>
      <c r="F1" s="208"/>
      <c r="G1" s="208" t="s">
        <v>227</v>
      </c>
      <c r="H1" s="208"/>
      <c r="I1" s="208" t="s">
        <v>228</v>
      </c>
      <c r="J1" s="208"/>
      <c r="K1" s="208" t="s">
        <v>229</v>
      </c>
      <c r="L1" s="208"/>
      <c r="M1" s="208" t="s">
        <v>230</v>
      </c>
      <c r="N1" s="208"/>
      <c r="O1" s="208" t="s">
        <v>231</v>
      </c>
      <c r="P1" s="208"/>
      <c r="Q1" s="208" t="s">
        <v>232</v>
      </c>
      <c r="R1" s="208"/>
      <c r="S1" s="208" t="s">
        <v>233</v>
      </c>
      <c r="T1" s="208"/>
      <c r="U1" s="208" t="s">
        <v>222</v>
      </c>
      <c r="V1" s="208"/>
      <c r="W1" s="208" t="s">
        <v>223</v>
      </c>
      <c r="X1" s="208"/>
      <c r="Y1" s="208" t="s">
        <v>224</v>
      </c>
      <c r="Z1" s="208"/>
    </row>
    <row r="2" spans="1:26" s="2" customFormat="1" x14ac:dyDescent="0.25">
      <c r="A2" s="209"/>
      <c r="B2" s="210" t="s">
        <v>199</v>
      </c>
      <c r="C2" s="202">
        <v>10</v>
      </c>
      <c r="D2" s="211"/>
      <c r="E2" s="202"/>
      <c r="F2" s="211"/>
      <c r="G2" s="202"/>
      <c r="H2" s="211"/>
      <c r="I2" s="202"/>
      <c r="J2" s="211"/>
      <c r="K2" s="202"/>
      <c r="L2" s="211"/>
      <c r="M2" s="202"/>
      <c r="N2" s="211"/>
      <c r="O2" s="202"/>
      <c r="P2" s="211"/>
      <c r="Q2" s="202"/>
      <c r="R2" s="211"/>
      <c r="S2" s="202"/>
      <c r="T2" s="211"/>
      <c r="U2" s="202"/>
      <c r="V2" s="211"/>
      <c r="W2" s="202"/>
      <c r="X2" s="211"/>
      <c r="Y2" s="202"/>
      <c r="Z2" s="211"/>
    </row>
    <row r="3" spans="1:26" s="2" customFormat="1" ht="15.75" thickBot="1" x14ac:dyDescent="0.3">
      <c r="A3" s="212" t="s">
        <v>5</v>
      </c>
      <c r="B3" s="213" t="s">
        <v>6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</row>
    <row r="4" spans="1:26" x14ac:dyDescent="0.25">
      <c r="A4" s="204" t="s">
        <v>235</v>
      </c>
      <c r="B4" s="205" t="s">
        <v>247</v>
      </c>
      <c r="C4" s="205">
        <v>10</v>
      </c>
      <c r="D4" s="205"/>
      <c r="E4" s="205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</row>
    <row r="5" spans="1:26" x14ac:dyDescent="0.25">
      <c r="A5" s="203" t="s">
        <v>236</v>
      </c>
      <c r="B5" s="206" t="s">
        <v>248</v>
      </c>
      <c r="C5" s="206">
        <v>5</v>
      </c>
    </row>
    <row r="6" spans="1:26" x14ac:dyDescent="0.25">
      <c r="A6" s="203" t="s">
        <v>237</v>
      </c>
      <c r="B6" s="206" t="s">
        <v>249</v>
      </c>
      <c r="C6" s="206">
        <v>0</v>
      </c>
    </row>
    <row r="7" spans="1:26" x14ac:dyDescent="0.25">
      <c r="A7" s="203" t="s">
        <v>238</v>
      </c>
      <c r="B7" s="206" t="s">
        <v>250</v>
      </c>
      <c r="C7" s="206">
        <v>20</v>
      </c>
    </row>
    <row r="8" spans="1:26" x14ac:dyDescent="0.25">
      <c r="A8" s="203" t="s">
        <v>239</v>
      </c>
      <c r="B8" s="206" t="s">
        <v>245</v>
      </c>
    </row>
    <row r="9" spans="1:26" x14ac:dyDescent="0.25">
      <c r="A9" s="203" t="s">
        <v>240</v>
      </c>
      <c r="B9" s="206" t="s">
        <v>246</v>
      </c>
      <c r="D9" s="206">
        <v>1</v>
      </c>
    </row>
    <row r="10" spans="1:26" x14ac:dyDescent="0.25">
      <c r="A10" s="203" t="s">
        <v>241</v>
      </c>
      <c r="B10" s="206" t="s">
        <v>91</v>
      </c>
      <c r="C10" s="206">
        <v>8</v>
      </c>
    </row>
    <row r="11" spans="1:26" x14ac:dyDescent="0.25">
      <c r="A11" s="203" t="s">
        <v>242</v>
      </c>
      <c r="B11" s="206" t="s">
        <v>94</v>
      </c>
      <c r="C11" s="206">
        <v>8</v>
      </c>
    </row>
    <row r="12" spans="1:26" x14ac:dyDescent="0.25">
      <c r="A12" s="203" t="s">
        <v>243</v>
      </c>
      <c r="B12" s="206" t="s">
        <v>172</v>
      </c>
    </row>
    <row r="13" spans="1:26" x14ac:dyDescent="0.25">
      <c r="A13" s="203" t="s">
        <v>244</v>
      </c>
      <c r="B13" s="206" t="s">
        <v>92</v>
      </c>
      <c r="D13" s="206">
        <v>1</v>
      </c>
    </row>
  </sheetData>
  <sheetProtection password="EFD2" sheet="1" objects="1" scenarios="1" selectLockedCells="1"/>
  <pageMargins left="0.7" right="0.7" top="0.75" bottom="0.75" header="0.3" footer="0.3"/>
  <pageSetup paperSize="9" scale="8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B56"/>
  <sheetViews>
    <sheetView topLeftCell="A2" workbookViewId="0">
      <selection activeCell="B12" sqref="B12:D12"/>
    </sheetView>
  </sheetViews>
  <sheetFormatPr defaultRowHeight="15" x14ac:dyDescent="0.25"/>
  <cols>
    <col min="1" max="3" width="9.140625" style="2"/>
    <col min="4" max="4" width="9.5703125" style="2" bestFit="1" customWidth="1"/>
    <col min="5" max="8" width="9.140625" style="2"/>
    <col min="9" max="10" width="9.140625" style="2" customWidth="1"/>
    <col min="11" max="28" width="9.140625" style="2"/>
  </cols>
  <sheetData>
    <row r="2" spans="2:23" ht="26.25" x14ac:dyDescent="0.25">
      <c r="B2" s="385" t="s">
        <v>88</v>
      </c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</row>
    <row r="3" spans="2:23" ht="26.25" x14ac:dyDescent="0.25">
      <c r="B3" s="385" t="s">
        <v>192</v>
      </c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</row>
    <row r="4" spans="2:23" ht="11.25" customHeight="1" x14ac:dyDescent="0.25"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</row>
    <row r="5" spans="2:23" ht="18.75" x14ac:dyDescent="0.25">
      <c r="B5" s="384" t="s">
        <v>136</v>
      </c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4"/>
    </row>
    <row r="6" spans="2:23" ht="15.75" x14ac:dyDescent="0.25">
      <c r="B6" s="229"/>
    </row>
    <row r="7" spans="2:23" ht="26.25" x14ac:dyDescent="0.4">
      <c r="B7" s="244" t="str">
        <f>MASTER!A3</f>
        <v>PHY TEST</v>
      </c>
      <c r="C7" s="245"/>
      <c r="D7" s="244">
        <f>MASTER!A4</f>
        <v>2014</v>
      </c>
    </row>
    <row r="8" spans="2:23" ht="12" customHeight="1" x14ac:dyDescent="0.25">
      <c r="B8" s="246"/>
      <c r="C8" s="1"/>
      <c r="D8" s="246"/>
    </row>
    <row r="9" spans="2:23" ht="18.75" x14ac:dyDescent="0.3">
      <c r="B9" s="247" t="s">
        <v>125</v>
      </c>
      <c r="C9" s="248"/>
      <c r="D9" s="248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</row>
    <row r="10" spans="2:23" ht="18.75" x14ac:dyDescent="0.3">
      <c r="B10" s="250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</row>
    <row r="11" spans="2:23" ht="32.25" customHeight="1" x14ac:dyDescent="0.3">
      <c r="B11" s="386" t="s">
        <v>6</v>
      </c>
      <c r="C11" s="386"/>
      <c r="D11" s="386"/>
      <c r="E11" s="386" t="s">
        <v>123</v>
      </c>
      <c r="F11" s="386"/>
      <c r="G11" s="386"/>
      <c r="H11" s="386"/>
      <c r="I11" s="388" t="s">
        <v>124</v>
      </c>
      <c r="J11" s="38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30"/>
      <c r="V11" s="230"/>
      <c r="W11" s="230"/>
    </row>
    <row r="12" spans="2:23" ht="18.75" x14ac:dyDescent="0.3">
      <c r="B12" s="382" t="s">
        <v>87</v>
      </c>
      <c r="C12" s="382"/>
      <c r="D12" s="382"/>
      <c r="E12" s="387" t="s">
        <v>87</v>
      </c>
      <c r="F12" s="387"/>
      <c r="G12" s="387"/>
      <c r="H12" s="387"/>
      <c r="I12" s="387" t="s">
        <v>87</v>
      </c>
      <c r="J12" s="387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30"/>
      <c r="V12" s="230"/>
      <c r="W12" s="230"/>
    </row>
    <row r="13" spans="2:23" ht="18.75" x14ac:dyDescent="0.3">
      <c r="B13" s="382" t="s">
        <v>185</v>
      </c>
      <c r="C13" s="382"/>
      <c r="D13" s="382"/>
      <c r="E13" s="387" t="s">
        <v>87</v>
      </c>
      <c r="F13" s="387"/>
      <c r="G13" s="387"/>
      <c r="H13" s="387"/>
      <c r="I13" s="387" t="s">
        <v>87</v>
      </c>
      <c r="J13" s="387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30"/>
      <c r="V13" s="230"/>
      <c r="W13" s="230"/>
    </row>
    <row r="14" spans="2:23" ht="18.75" x14ac:dyDescent="0.3">
      <c r="B14" s="382" t="s">
        <v>185</v>
      </c>
      <c r="C14" s="382"/>
      <c r="D14" s="382"/>
      <c r="E14" s="387" t="s">
        <v>87</v>
      </c>
      <c r="F14" s="387"/>
      <c r="G14" s="387"/>
      <c r="H14" s="387"/>
      <c r="I14" s="387" t="s">
        <v>87</v>
      </c>
      <c r="J14" s="387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30"/>
      <c r="V14" s="230"/>
      <c r="W14" s="230"/>
    </row>
    <row r="15" spans="2:23" ht="18.75" x14ac:dyDescent="0.3">
      <c r="B15" s="382" t="s">
        <v>185</v>
      </c>
      <c r="C15" s="382"/>
      <c r="D15" s="382"/>
      <c r="E15" s="387" t="s">
        <v>87</v>
      </c>
      <c r="F15" s="387"/>
      <c r="G15" s="387"/>
      <c r="H15" s="387"/>
      <c r="I15" s="387" t="s">
        <v>87</v>
      </c>
      <c r="J15" s="387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30"/>
      <c r="V15" s="230"/>
      <c r="W15" s="230"/>
    </row>
    <row r="16" spans="2:23" ht="18.75" x14ac:dyDescent="0.3">
      <c r="B16" s="382" t="s">
        <v>87</v>
      </c>
      <c r="C16" s="382"/>
      <c r="D16" s="382"/>
      <c r="E16" s="387" t="s">
        <v>87</v>
      </c>
      <c r="F16" s="387"/>
      <c r="G16" s="387"/>
      <c r="H16" s="387"/>
      <c r="I16" s="387" t="s">
        <v>87</v>
      </c>
      <c r="J16" s="387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30"/>
      <c r="V16" s="230"/>
      <c r="W16" s="230"/>
    </row>
    <row r="17" spans="2:23" ht="18.75" x14ac:dyDescent="0.3">
      <c r="B17" s="250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30"/>
      <c r="V17" s="230"/>
      <c r="W17" s="230"/>
    </row>
    <row r="18" spans="2:23" ht="20.100000000000001" customHeight="1" x14ac:dyDescent="0.3">
      <c r="B18" s="251" t="s">
        <v>120</v>
      </c>
      <c r="C18" s="252"/>
      <c r="D18" s="252"/>
      <c r="E18" s="252"/>
      <c r="F18" s="252"/>
      <c r="G18" s="252"/>
      <c r="H18" s="252"/>
      <c r="I18" s="178">
        <f>COUNTA(MASTER!B11:B2001)</f>
        <v>10</v>
      </c>
      <c r="J18" s="177"/>
      <c r="K18" s="249"/>
      <c r="L18" s="253" t="s">
        <v>251</v>
      </c>
      <c r="M18" s="249"/>
      <c r="N18" s="249"/>
      <c r="O18" s="249"/>
      <c r="P18" s="249"/>
      <c r="Q18" s="249"/>
      <c r="R18" s="249"/>
      <c r="S18" s="249"/>
      <c r="T18" s="249"/>
      <c r="U18" s="230"/>
      <c r="V18" s="230"/>
      <c r="W18" s="230"/>
    </row>
    <row r="19" spans="2:23" ht="20.100000000000001" customHeight="1" x14ac:dyDescent="0.3">
      <c r="B19" s="251" t="s">
        <v>118</v>
      </c>
      <c r="C19" s="254"/>
      <c r="D19" s="254"/>
      <c r="E19" s="254"/>
      <c r="F19" s="254"/>
      <c r="G19" s="254"/>
      <c r="H19" s="254"/>
      <c r="I19" s="175">
        <f>COUNTA(MASTER!B11:B2001)</f>
        <v>10</v>
      </c>
      <c r="J19" s="177"/>
      <c r="K19" s="253"/>
      <c r="L19" s="255"/>
      <c r="M19" s="249"/>
      <c r="N19" s="249"/>
      <c r="O19" s="249"/>
      <c r="P19" s="249"/>
      <c r="Q19" s="249"/>
      <c r="R19" s="249"/>
      <c r="S19" s="249"/>
      <c r="T19" s="249"/>
      <c r="U19" s="230"/>
      <c r="V19" s="230"/>
      <c r="W19" s="230"/>
    </row>
    <row r="20" spans="2:23" ht="20.100000000000001" customHeight="1" x14ac:dyDescent="0.3">
      <c r="B20" s="251" t="s">
        <v>119</v>
      </c>
      <c r="C20" s="254"/>
      <c r="D20" s="254"/>
      <c r="E20" s="254"/>
      <c r="F20" s="254"/>
      <c r="G20" s="254"/>
      <c r="H20" s="254"/>
      <c r="I20" s="175">
        <f>COUNT(MASTER!T11:T2001)</f>
        <v>7</v>
      </c>
      <c r="J20" s="177"/>
      <c r="K20" s="253"/>
      <c r="L20" s="255"/>
      <c r="M20" s="249"/>
      <c r="N20" s="249"/>
      <c r="O20" s="249"/>
      <c r="P20" s="249"/>
      <c r="Q20" s="249"/>
      <c r="R20" s="249"/>
      <c r="S20" s="249"/>
      <c r="T20" s="249"/>
      <c r="U20" s="230"/>
      <c r="V20" s="230"/>
      <c r="W20" s="230"/>
    </row>
    <row r="21" spans="2:23" ht="20.100000000000001" customHeight="1" x14ac:dyDescent="0.3">
      <c r="B21" s="251" t="s">
        <v>168</v>
      </c>
      <c r="C21" s="254"/>
      <c r="D21" s="254"/>
      <c r="E21" s="254"/>
      <c r="F21" s="254"/>
      <c r="G21" s="254"/>
      <c r="H21" s="254"/>
      <c r="I21" s="178"/>
      <c r="J21" s="177"/>
      <c r="K21" s="249"/>
      <c r="L21" s="253" t="s">
        <v>121</v>
      </c>
      <c r="M21" s="249"/>
      <c r="N21" s="249"/>
      <c r="O21" s="249"/>
      <c r="P21" s="249"/>
      <c r="Q21" s="249"/>
      <c r="R21" s="249"/>
      <c r="S21" s="249"/>
      <c r="T21" s="249"/>
      <c r="U21" s="230"/>
      <c r="V21" s="230"/>
      <c r="W21" s="230"/>
    </row>
    <row r="22" spans="2:23" ht="20.100000000000001" customHeight="1" x14ac:dyDescent="0.3">
      <c r="B22" s="251" t="s">
        <v>169</v>
      </c>
      <c r="C22" s="254"/>
      <c r="D22" s="254"/>
      <c r="E22" s="254"/>
      <c r="F22" s="254"/>
      <c r="G22" s="254"/>
      <c r="H22" s="254"/>
      <c r="I22" s="178"/>
      <c r="J22" s="177"/>
      <c r="K22" s="249"/>
      <c r="L22" s="253" t="s">
        <v>121</v>
      </c>
      <c r="M22" s="249"/>
      <c r="N22" s="249"/>
      <c r="O22" s="249"/>
      <c r="P22" s="249"/>
      <c r="Q22" s="249"/>
      <c r="R22" s="249"/>
      <c r="S22" s="249"/>
      <c r="T22" s="249"/>
      <c r="U22" s="230"/>
      <c r="V22" s="230"/>
      <c r="W22" s="230"/>
    </row>
    <row r="23" spans="2:23" ht="20.100000000000001" customHeight="1" x14ac:dyDescent="0.3">
      <c r="B23" s="256" t="s">
        <v>184</v>
      </c>
      <c r="C23" s="257"/>
      <c r="D23" s="257"/>
      <c r="E23" s="257"/>
      <c r="F23" s="257"/>
      <c r="G23" s="257"/>
      <c r="H23" s="257"/>
      <c r="I23" s="258">
        <f>(COUNTIF(MASTER!V11:V2001,"&gt;49.5")+COUNTIF(MASTER!V11:V2001,"=49.5"))/I19*100</f>
        <v>30</v>
      </c>
      <c r="J23" s="259" t="s">
        <v>122</v>
      </c>
      <c r="K23" s="249"/>
      <c r="L23" s="250"/>
      <c r="M23" s="249"/>
      <c r="N23" s="249"/>
      <c r="O23" s="249"/>
      <c r="P23" s="249"/>
      <c r="Q23" s="249"/>
      <c r="R23" s="249"/>
      <c r="S23" s="249"/>
      <c r="T23" s="249"/>
      <c r="U23" s="230"/>
      <c r="V23" s="230"/>
      <c r="W23" s="230"/>
    </row>
    <row r="24" spans="2:23" ht="20.100000000000001" customHeight="1" x14ac:dyDescent="0.3">
      <c r="B24" s="251" t="s">
        <v>89</v>
      </c>
      <c r="C24" s="254"/>
      <c r="D24" s="254"/>
      <c r="E24" s="254"/>
      <c r="F24" s="254"/>
      <c r="G24" s="254"/>
      <c r="H24" s="254"/>
      <c r="I24" s="260" t="e">
        <f>AVERAGE(MASTER!V11:V2001)</f>
        <v>#DIV/0!</v>
      </c>
      <c r="J24" s="177" t="s">
        <v>122</v>
      </c>
      <c r="K24" s="249"/>
      <c r="L24" s="250"/>
      <c r="M24" s="249"/>
      <c r="N24" s="249"/>
      <c r="O24" s="249"/>
      <c r="P24" s="249"/>
      <c r="Q24" s="249"/>
      <c r="R24" s="249"/>
      <c r="S24" s="249"/>
      <c r="T24" s="249"/>
      <c r="U24" s="230"/>
      <c r="V24" s="230"/>
      <c r="W24" s="230"/>
    </row>
    <row r="25" spans="2:23" ht="20.100000000000001" customHeight="1" x14ac:dyDescent="0.3">
      <c r="B25" s="251" t="s">
        <v>90</v>
      </c>
      <c r="C25" s="254"/>
      <c r="D25" s="254"/>
      <c r="E25" s="254"/>
      <c r="F25" s="254"/>
      <c r="G25" s="254"/>
      <c r="H25" s="254"/>
      <c r="I25" s="260" t="e">
        <f>MEDIAN(MASTER!V11:V2001)</f>
        <v>#DIV/0!</v>
      </c>
      <c r="J25" s="177" t="s">
        <v>122</v>
      </c>
      <c r="K25" s="249"/>
      <c r="L25" s="250"/>
      <c r="M25" s="249"/>
      <c r="N25" s="249"/>
      <c r="O25" s="249"/>
      <c r="P25" s="249"/>
      <c r="Q25" s="249"/>
      <c r="R25" s="249"/>
      <c r="S25" s="249"/>
      <c r="T25" s="249"/>
      <c r="U25" s="230"/>
      <c r="V25" s="230"/>
      <c r="W25" s="230"/>
    </row>
    <row r="26" spans="2:23" ht="20.100000000000001" customHeight="1" x14ac:dyDescent="0.3">
      <c r="B26" s="261"/>
      <c r="C26" s="262"/>
      <c r="D26" s="262"/>
      <c r="E26" s="262"/>
      <c r="F26" s="262"/>
      <c r="G26" s="262"/>
      <c r="H26" s="262"/>
      <c r="I26" s="263"/>
      <c r="J26" s="264"/>
      <c r="K26" s="249"/>
      <c r="L26" s="250"/>
      <c r="M26" s="249"/>
      <c r="N26" s="249"/>
      <c r="O26" s="249"/>
      <c r="P26" s="249"/>
      <c r="Q26" s="249"/>
      <c r="R26" s="249"/>
      <c r="S26" s="249"/>
      <c r="T26" s="249"/>
      <c r="U26" s="230"/>
      <c r="V26" s="230"/>
      <c r="W26" s="230"/>
    </row>
    <row r="27" spans="2:23" ht="15.75" x14ac:dyDescent="0.25">
      <c r="B27" s="265"/>
      <c r="L27" s="265"/>
    </row>
    <row r="28" spans="2:23" ht="18.75" x14ac:dyDescent="0.25">
      <c r="B28" s="247" t="s">
        <v>186</v>
      </c>
    </row>
    <row r="29" spans="2:23" ht="16.5" thickBot="1" x14ac:dyDescent="0.3">
      <c r="B29" s="266"/>
    </row>
    <row r="30" spans="2:23" ht="16.5" thickBot="1" x14ac:dyDescent="0.3">
      <c r="B30" s="267" t="s">
        <v>91</v>
      </c>
      <c r="C30" s="268" t="s">
        <v>92</v>
      </c>
      <c r="D30" s="40" t="s">
        <v>172</v>
      </c>
      <c r="E30" s="269" t="s">
        <v>103</v>
      </c>
      <c r="F30" s="269" t="s">
        <v>104</v>
      </c>
      <c r="G30" s="269" t="s">
        <v>105</v>
      </c>
      <c r="H30" s="269" t="s">
        <v>106</v>
      </c>
      <c r="I30" s="269" t="s">
        <v>107</v>
      </c>
      <c r="J30" s="269" t="s">
        <v>108</v>
      </c>
      <c r="K30" s="269" t="s">
        <v>109</v>
      </c>
      <c r="L30" s="269" t="s">
        <v>101</v>
      </c>
      <c r="M30" s="269" t="s">
        <v>102</v>
      </c>
      <c r="N30" s="269" t="s">
        <v>110</v>
      </c>
      <c r="O30" s="269" t="s">
        <v>111</v>
      </c>
      <c r="P30" s="269" t="s">
        <v>112</v>
      </c>
      <c r="Q30" s="269" t="s">
        <v>114</v>
      </c>
      <c r="R30" s="269" t="s">
        <v>113</v>
      </c>
      <c r="S30" s="268" t="s">
        <v>115</v>
      </c>
      <c r="T30" s="270" t="s">
        <v>116</v>
      </c>
    </row>
    <row r="31" spans="2:23" ht="16.5" thickBot="1" x14ac:dyDescent="0.3">
      <c r="B31" s="271" t="s">
        <v>91</v>
      </c>
      <c r="C31" s="272" t="s">
        <v>92</v>
      </c>
      <c r="D31" s="40" t="s">
        <v>172</v>
      </c>
      <c r="E31" s="273" t="s">
        <v>93</v>
      </c>
      <c r="F31" s="274" t="s">
        <v>93</v>
      </c>
      <c r="G31" s="274" t="s">
        <v>93</v>
      </c>
      <c r="H31" s="274" t="s">
        <v>93</v>
      </c>
      <c r="I31" s="274" t="s">
        <v>94</v>
      </c>
      <c r="J31" s="274">
        <v>3</v>
      </c>
      <c r="K31" s="274">
        <v>3</v>
      </c>
      <c r="L31" s="274" t="s">
        <v>95</v>
      </c>
      <c r="M31" s="274" t="s">
        <v>95</v>
      </c>
      <c r="N31" s="274" t="s">
        <v>96</v>
      </c>
      <c r="O31" s="274">
        <v>1</v>
      </c>
      <c r="P31" s="274">
        <v>1</v>
      </c>
      <c r="Q31" s="274">
        <v>1</v>
      </c>
      <c r="R31" s="274">
        <v>1</v>
      </c>
      <c r="S31" s="272">
        <v>1</v>
      </c>
      <c r="T31" s="275" t="s">
        <v>117</v>
      </c>
    </row>
    <row r="32" spans="2:23" ht="16.5" thickBot="1" x14ac:dyDescent="0.3">
      <c r="B32" s="271">
        <f>COUNTIF(MASTER!$V$11:$V$2001,"=DPR")</f>
        <v>1</v>
      </c>
      <c r="C32" s="276">
        <f>COUNTIF(MASTER!$V$11:$V$2001,"=AB")</f>
        <v>2</v>
      </c>
      <c r="D32" s="277">
        <f>COUNTIF(MASTER!$V$11:$V$2001,"=DE")</f>
        <v>1</v>
      </c>
      <c r="E32" s="277">
        <f>COUNTIF(MASTER!$V$11:$V$2001,"&lt;29.5")</f>
        <v>1</v>
      </c>
      <c r="F32" s="278">
        <f>COUNTIF(MASTER!$V$11:$V$2001,"&lt;34.5")-COUNTIF(MASTER!$V$11:$V$2001,"&lt;29.5")</f>
        <v>0</v>
      </c>
      <c r="G32" s="279">
        <f>COUNTIF(MASTER!$V$11:$V$2001,"&lt;39.5")-COUNTIF(MASTER!$V$11:$V$2001,"&lt;34.5")</f>
        <v>0</v>
      </c>
      <c r="H32" s="279">
        <f>COUNTIF(MASTER!$V$11:$V$2001,"&lt;44.5")-COUNTIF(MASTER!$V$11:$V$2001,"&lt;39.5")</f>
        <v>0</v>
      </c>
      <c r="I32" s="279">
        <f>COUNTIF(MASTER!$V$11:$V$2001,"&lt;49.5")-COUNTIF(MASTER!$V$11:$V$2001,"&lt;44.5")</f>
        <v>1</v>
      </c>
      <c r="J32" s="279">
        <f>COUNTIF(MASTER!$V$11:$V$2001,"&lt;54.5")-COUNTIF(MASTER!$V$11:$V$2001,"&lt;49.5")</f>
        <v>1</v>
      </c>
      <c r="K32" s="279">
        <f>COUNTIF(MASTER!$V$11:$V$2001,"&lt;59.5")-COUNTIF(MASTER!$V$11:$V$2001,"&lt;54.5")</f>
        <v>0</v>
      </c>
      <c r="L32" s="279">
        <f>COUNTIF(MASTER!$V$11:$V$2001,"&lt;64.5")-COUNTIF(MASTER!$V$11:$V$2001,"&lt;59.5")</f>
        <v>0</v>
      </c>
      <c r="M32" s="279">
        <f>COUNTIF(MASTER!$V$11:$V$2001,"&lt;69.5")-COUNTIF(MASTER!$V$11:$V$2001,"&lt;64.5")</f>
        <v>0</v>
      </c>
      <c r="N32" s="279">
        <f>COUNTIF(MASTER!$V$11:$V$2001,"&lt;74.5")-COUNTIF(MASTER!$V$11:$V$2001,"&lt;69.5")</f>
        <v>0</v>
      </c>
      <c r="O32" s="279">
        <f>COUNTIF(MASTER!$V$11:$V$2001,"&lt;79.5")-COUNTIF(MASTER!$V$11:$V$2001,"&lt;74.5")</f>
        <v>0</v>
      </c>
      <c r="P32" s="279">
        <f>COUNTIF(MASTER!$V$11:$V$2001,"&lt;84.5")-COUNTIF(MASTER!$V$11:$V$2001,"&lt;79.5")</f>
        <v>0</v>
      </c>
      <c r="Q32" s="279">
        <f>COUNTIF(MASTER!$V$11:$V$2001,"&lt;89.5")-COUNTIF(MASTER!$V$11:$V$2001,"&lt;84.5")</f>
        <v>0</v>
      </c>
      <c r="R32" s="279">
        <f>COUNTIF(MASTER!$V$11:$V$2001,"&lt;94.5")-COUNTIF(MASTER!$V$11:$V$2001,"&lt;89.5")</f>
        <v>0</v>
      </c>
      <c r="S32" s="280">
        <f>COUNTIF(MASTER!$V$11:$V$2001,"&lt;300")-COUNTIF(MASTER!$V$11:$V$2001,"&lt;94.5")</f>
        <v>2</v>
      </c>
      <c r="T32" s="281" t="str">
        <f>IF(SUM(B32:S32)=I19,"OK","Problem")</f>
        <v>Problem</v>
      </c>
    </row>
    <row r="33" spans="1:28" ht="15.75" x14ac:dyDescent="0.25">
      <c r="B33" s="282"/>
      <c r="C33" s="282"/>
      <c r="D33" s="282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4"/>
    </row>
    <row r="34" spans="1:28" ht="15.75" x14ac:dyDescent="0.25">
      <c r="B34" s="282"/>
      <c r="C34" s="282"/>
      <c r="D34" s="282"/>
      <c r="E34" s="283"/>
      <c r="F34" s="283"/>
      <c r="G34" s="283"/>
      <c r="H34" s="283"/>
      <c r="I34" s="283"/>
      <c r="J34" s="283"/>
      <c r="K34" s="283"/>
      <c r="L34" s="283"/>
      <c r="M34" s="283"/>
      <c r="N34" s="283"/>
      <c r="O34" s="283"/>
      <c r="P34" s="283"/>
      <c r="Q34" s="283"/>
      <c r="R34" s="283"/>
      <c r="S34" s="284"/>
    </row>
    <row r="35" spans="1:28" ht="15.75" x14ac:dyDescent="0.25">
      <c r="B35" s="282"/>
      <c r="C35" s="282"/>
      <c r="D35" s="282"/>
      <c r="E35" s="283"/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4"/>
    </row>
    <row r="36" spans="1:28" x14ac:dyDescent="0.25">
      <c r="B36" s="285"/>
      <c r="R36" s="286" t="s">
        <v>129</v>
      </c>
    </row>
    <row r="37" spans="1:28" ht="18.75" x14ac:dyDescent="0.3">
      <c r="B37" s="384" t="s">
        <v>128</v>
      </c>
      <c r="C37" s="384"/>
      <c r="D37" s="384"/>
      <c r="E37" s="383" t="str">
        <f>DGET(MASTER!A10:V2001,3,'SUMMARY SHEET BEFORE SUPP'!R36:R37)</f>
        <v>EXC</v>
      </c>
      <c r="F37" s="383"/>
      <c r="G37" s="383"/>
      <c r="H37" s="383"/>
      <c r="I37" s="383"/>
      <c r="J37" s="383"/>
      <c r="K37" s="384" t="s">
        <v>126</v>
      </c>
      <c r="L37" s="384"/>
      <c r="M37" s="383" t="str">
        <f>DGET(MASTER!A10:V2001,2,'SUMMARY SHEET BEFORE SUPP'!R36:R37)</f>
        <v>ST6</v>
      </c>
      <c r="N37" s="383"/>
      <c r="O37" s="383"/>
      <c r="P37" s="249"/>
      <c r="Q37" s="287" t="s">
        <v>127</v>
      </c>
      <c r="R37" s="288" t="e">
        <f>MAX(MASTER!V11:V2001)</f>
        <v>#DIV/0!</v>
      </c>
      <c r="S37" s="249"/>
      <c r="T37" s="249"/>
      <c r="U37" s="249"/>
    </row>
    <row r="38" spans="1:28" ht="18.75" x14ac:dyDescent="0.3">
      <c r="B38" s="289"/>
      <c r="C38" s="249"/>
      <c r="D38" s="290"/>
      <c r="E38" s="291"/>
      <c r="F38" s="291"/>
      <c r="G38" s="291"/>
      <c r="H38" s="291"/>
      <c r="I38" s="291"/>
      <c r="J38" s="291"/>
      <c r="K38" s="287"/>
      <c r="L38" s="287"/>
      <c r="M38" s="291"/>
      <c r="N38" s="291"/>
      <c r="O38" s="291"/>
      <c r="P38" s="292"/>
      <c r="Q38" s="293"/>
      <c r="R38" s="294"/>
      <c r="S38" s="249"/>
      <c r="T38" s="249"/>
      <c r="U38" s="249"/>
    </row>
    <row r="39" spans="1:28" ht="15.75" x14ac:dyDescent="0.25">
      <c r="B39" s="265"/>
    </row>
    <row r="40" spans="1:28" ht="21" x14ac:dyDescent="0.35">
      <c r="B40" s="295" t="s">
        <v>170</v>
      </c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</row>
    <row r="41" spans="1:28" ht="21" x14ac:dyDescent="0.35">
      <c r="B41" s="295"/>
      <c r="C41" s="296"/>
      <c r="D41" s="296"/>
      <c r="E41" s="296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</row>
    <row r="42" spans="1:28" ht="21" x14ac:dyDescent="0.35">
      <c r="B42" s="295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O42" s="297" t="s">
        <v>134</v>
      </c>
      <c r="P42" s="296"/>
      <c r="Q42" s="296"/>
      <c r="R42" s="296"/>
      <c r="S42" s="296"/>
      <c r="T42" s="296"/>
    </row>
    <row r="43" spans="1:28" s="87" customFormat="1" ht="30" customHeight="1" x14ac:dyDescent="0.25">
      <c r="A43" s="285"/>
      <c r="B43" s="298" t="s">
        <v>190</v>
      </c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85"/>
      <c r="N43" s="285"/>
      <c r="O43" s="299"/>
      <c r="P43" s="298"/>
      <c r="Q43" s="298"/>
      <c r="R43" s="298"/>
      <c r="S43" s="298"/>
      <c r="T43" s="298"/>
      <c r="U43" s="285"/>
      <c r="V43" s="285"/>
      <c r="W43" s="285"/>
      <c r="X43" s="285"/>
      <c r="Y43" s="285"/>
      <c r="Z43" s="285"/>
      <c r="AA43" s="285"/>
      <c r="AB43" s="285"/>
    </row>
    <row r="44" spans="1:28" s="87" customFormat="1" ht="30" customHeight="1" x14ac:dyDescent="0.25">
      <c r="A44" s="285"/>
      <c r="B44" s="298" t="s">
        <v>193</v>
      </c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300"/>
      <c r="O44" s="299"/>
      <c r="P44" s="298"/>
      <c r="Q44" s="298"/>
      <c r="R44" s="298"/>
      <c r="S44" s="298"/>
      <c r="T44" s="298"/>
      <c r="U44" s="285"/>
      <c r="V44" s="285"/>
      <c r="W44" s="285"/>
      <c r="X44" s="285"/>
      <c r="Y44" s="285"/>
      <c r="Z44" s="285"/>
      <c r="AA44" s="285"/>
      <c r="AB44" s="285"/>
    </row>
    <row r="45" spans="1:28" s="87" customFormat="1" ht="30" customHeight="1" x14ac:dyDescent="0.25">
      <c r="A45" s="285"/>
      <c r="B45" s="298" t="s">
        <v>97</v>
      </c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85"/>
      <c r="N45" s="285"/>
      <c r="O45" s="299"/>
      <c r="P45" s="298"/>
      <c r="Q45" s="298"/>
      <c r="R45" s="298"/>
      <c r="S45" s="298"/>
      <c r="T45" s="298"/>
      <c r="U45" s="285"/>
      <c r="V45" s="285"/>
      <c r="W45" s="285"/>
      <c r="X45" s="285"/>
      <c r="Y45" s="285"/>
      <c r="Z45" s="285"/>
      <c r="AA45" s="285"/>
      <c r="AB45" s="285"/>
    </row>
    <row r="46" spans="1:28" s="87" customFormat="1" ht="30" customHeight="1" x14ac:dyDescent="0.25">
      <c r="A46" s="285"/>
      <c r="B46" s="390" t="s">
        <v>98</v>
      </c>
      <c r="C46" s="390"/>
      <c r="D46" s="390"/>
      <c r="E46" s="390"/>
      <c r="F46" s="390"/>
      <c r="G46" s="390"/>
      <c r="H46" s="390"/>
      <c r="I46" s="390"/>
      <c r="J46" s="390"/>
      <c r="K46" s="390"/>
      <c r="L46" s="390"/>
      <c r="M46" s="285"/>
      <c r="N46" s="285"/>
      <c r="O46" s="299"/>
      <c r="P46" s="298"/>
      <c r="Q46" s="298"/>
      <c r="R46" s="298"/>
      <c r="S46" s="298"/>
      <c r="T46" s="298"/>
      <c r="U46" s="2"/>
      <c r="V46" s="2"/>
      <c r="W46" s="2"/>
      <c r="X46" s="2"/>
      <c r="Y46" s="265"/>
      <c r="Z46" s="302"/>
      <c r="AA46" s="2"/>
      <c r="AB46" s="2"/>
    </row>
    <row r="47" spans="1:28" s="87" customFormat="1" ht="30" customHeight="1" x14ac:dyDescent="0.25">
      <c r="A47" s="285"/>
      <c r="B47" s="390" t="s">
        <v>194</v>
      </c>
      <c r="C47" s="390"/>
      <c r="D47" s="390"/>
      <c r="E47" s="390"/>
      <c r="F47" s="390"/>
      <c r="G47" s="390"/>
      <c r="H47" s="390"/>
      <c r="I47" s="390"/>
      <c r="J47" s="390"/>
      <c r="K47" s="390"/>
      <c r="L47" s="390"/>
      <c r="M47" s="285"/>
      <c r="N47" s="285"/>
      <c r="O47" s="299"/>
      <c r="P47" s="298"/>
      <c r="Q47" s="298"/>
      <c r="R47" s="298"/>
      <c r="S47" s="298"/>
      <c r="T47" s="298"/>
      <c r="U47" s="2"/>
      <c r="V47" s="2"/>
      <c r="W47" s="2"/>
      <c r="X47" s="2"/>
      <c r="Y47" s="265"/>
      <c r="Z47" s="302"/>
      <c r="AA47" s="2"/>
      <c r="AB47" s="2"/>
    </row>
    <row r="48" spans="1:28" s="87" customFormat="1" ht="30" customHeight="1" x14ac:dyDescent="0.25">
      <c r="A48" s="285"/>
      <c r="B48" s="390" t="s">
        <v>132</v>
      </c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285"/>
      <c r="N48" s="285"/>
      <c r="O48" s="303" t="s">
        <v>166</v>
      </c>
      <c r="P48" s="303" t="s">
        <v>167</v>
      </c>
      <c r="Q48" s="304" t="s">
        <v>131</v>
      </c>
      <c r="R48" s="305"/>
      <c r="S48" s="305"/>
      <c r="T48" s="306"/>
      <c r="U48" s="285"/>
      <c r="V48" s="285"/>
      <c r="W48" s="285"/>
      <c r="X48" s="285"/>
      <c r="Y48" s="2"/>
      <c r="Z48" s="285"/>
      <c r="AA48" s="285"/>
      <c r="AB48" s="285"/>
    </row>
    <row r="49" spans="1:28" s="87" customFormat="1" ht="30" customHeight="1" x14ac:dyDescent="0.25">
      <c r="A49" s="285"/>
      <c r="B49" s="390" t="s">
        <v>133</v>
      </c>
      <c r="C49" s="390"/>
      <c r="D49" s="390"/>
      <c r="E49" s="390"/>
      <c r="F49" s="390"/>
      <c r="G49" s="390"/>
      <c r="H49" s="390"/>
      <c r="I49" s="390"/>
      <c r="J49" s="390"/>
      <c r="K49" s="390"/>
      <c r="L49" s="390"/>
      <c r="M49" s="285"/>
      <c r="N49" s="285"/>
      <c r="O49" s="303" t="s">
        <v>166</v>
      </c>
      <c r="P49" s="303" t="s">
        <v>167</v>
      </c>
      <c r="Q49" s="304" t="s">
        <v>131</v>
      </c>
      <c r="R49" s="305"/>
      <c r="S49" s="305"/>
      <c r="T49" s="306"/>
      <c r="U49" s="285"/>
      <c r="V49" s="285"/>
      <c r="W49" s="285"/>
      <c r="X49" s="285"/>
      <c r="Y49" s="2"/>
      <c r="Z49" s="285"/>
      <c r="AA49" s="285"/>
      <c r="AB49" s="285"/>
    </row>
    <row r="50" spans="1:28" ht="21" x14ac:dyDescent="0.35">
      <c r="B50" s="298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</row>
    <row r="51" spans="1:28" ht="21" x14ac:dyDescent="0.35">
      <c r="B51" s="298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</row>
    <row r="52" spans="1:28" ht="21" x14ac:dyDescent="0.35">
      <c r="B52" s="298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</row>
    <row r="53" spans="1:28" ht="15.75" x14ac:dyDescent="0.25">
      <c r="B53" s="229"/>
    </row>
    <row r="55" spans="1:28" ht="21.75" thickBot="1" x14ac:dyDescent="0.4">
      <c r="B55" s="307"/>
      <c r="C55" s="307"/>
      <c r="D55" s="307"/>
      <c r="E55" s="307"/>
      <c r="F55" s="307"/>
      <c r="G55" s="296"/>
      <c r="H55" s="308"/>
      <c r="I55" s="308"/>
      <c r="J55" s="308"/>
      <c r="K55" s="296"/>
      <c r="L55" s="307"/>
      <c r="M55" s="307"/>
      <c r="N55" s="307"/>
      <c r="O55" s="307"/>
      <c r="P55" s="307"/>
      <c r="Q55" s="296"/>
      <c r="R55" s="309"/>
      <c r="S55" s="309"/>
      <c r="T55" s="309"/>
    </row>
    <row r="56" spans="1:28" ht="21" x14ac:dyDescent="0.35">
      <c r="B56" s="310" t="s">
        <v>99</v>
      </c>
      <c r="C56" s="296"/>
      <c r="D56" s="296"/>
      <c r="E56" s="296"/>
      <c r="F56" s="296"/>
      <c r="G56" s="310"/>
      <c r="H56" s="311" t="s">
        <v>135</v>
      </c>
      <c r="I56" s="296"/>
      <c r="J56" s="296"/>
      <c r="K56" s="296"/>
      <c r="L56" s="310" t="s">
        <v>100</v>
      </c>
      <c r="M56" s="296"/>
      <c r="N56" s="296"/>
      <c r="O56" s="296"/>
      <c r="P56" s="310"/>
      <c r="Q56" s="296"/>
      <c r="R56" s="311" t="s">
        <v>135</v>
      </c>
      <c r="S56" s="296"/>
      <c r="T56" s="296"/>
    </row>
  </sheetData>
  <sheetProtection password="EFD2" sheet="1" objects="1" scenarios="1" selectLockedCells="1"/>
  <mergeCells count="29">
    <mergeCell ref="B48:L48"/>
    <mergeCell ref="B49:L49"/>
    <mergeCell ref="I13:J13"/>
    <mergeCell ref="I14:J14"/>
    <mergeCell ref="I15:J15"/>
    <mergeCell ref="I16:J16"/>
    <mergeCell ref="E13:H13"/>
    <mergeCell ref="E14:H14"/>
    <mergeCell ref="E16:H16"/>
    <mergeCell ref="E15:H15"/>
    <mergeCell ref="B37:D37"/>
    <mergeCell ref="B46:L46"/>
    <mergeCell ref="B47:L47"/>
    <mergeCell ref="B13:D13"/>
    <mergeCell ref="B14:D14"/>
    <mergeCell ref="B15:D15"/>
    <mergeCell ref="B16:D16"/>
    <mergeCell ref="M37:O37"/>
    <mergeCell ref="E37:J37"/>
    <mergeCell ref="K37:L37"/>
    <mergeCell ref="B2:R2"/>
    <mergeCell ref="B3:R3"/>
    <mergeCell ref="B11:D11"/>
    <mergeCell ref="E11:H11"/>
    <mergeCell ref="E12:H12"/>
    <mergeCell ref="B5:T5"/>
    <mergeCell ref="I11:J11"/>
    <mergeCell ref="I12:J12"/>
    <mergeCell ref="B12:D12"/>
  </mergeCells>
  <conditionalFormatting sqref="T32">
    <cfRule type="cellIs" dxfId="1835" priority="1" operator="equal">
      <formula>"PROBLEM"</formula>
    </cfRule>
    <cfRule type="cellIs" dxfId="1834" priority="2" operator="equal">
      <formula>"OK"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2:AC59"/>
  <sheetViews>
    <sheetView workbookViewId="0">
      <selection activeCell="F6" sqref="F6"/>
    </sheetView>
  </sheetViews>
  <sheetFormatPr defaultRowHeight="15" x14ac:dyDescent="0.25"/>
  <cols>
    <col min="1" max="3" width="9.140625" style="2"/>
    <col min="4" max="4" width="9.5703125" style="2" bestFit="1" customWidth="1"/>
    <col min="5" max="8" width="9.140625" style="2"/>
    <col min="9" max="10" width="9.140625" style="2" customWidth="1"/>
    <col min="11" max="29" width="9.140625" style="2"/>
  </cols>
  <sheetData>
    <row r="2" spans="1:23" ht="26.25" x14ac:dyDescent="0.25">
      <c r="B2" s="385" t="s">
        <v>88</v>
      </c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</row>
    <row r="3" spans="1:23" ht="26.25" x14ac:dyDescent="0.25">
      <c r="B3" s="385" t="s">
        <v>195</v>
      </c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</row>
    <row r="4" spans="1:23" ht="11.25" customHeight="1" x14ac:dyDescent="0.25"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</row>
    <row r="5" spans="1:23" ht="18.75" x14ac:dyDescent="0.25">
      <c r="A5" s="384" t="s">
        <v>257</v>
      </c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</row>
    <row r="6" spans="1:23" ht="15.75" x14ac:dyDescent="0.25">
      <c r="B6" s="229"/>
    </row>
    <row r="7" spans="1:23" ht="26.25" x14ac:dyDescent="0.4">
      <c r="B7" s="244" t="str">
        <f>MASTER!A3</f>
        <v>PHY TEST</v>
      </c>
      <c r="C7" s="245"/>
      <c r="D7" s="244">
        <f>MASTER!A4</f>
        <v>2014</v>
      </c>
    </row>
    <row r="8" spans="1:23" ht="12" customHeight="1" x14ac:dyDescent="0.25">
      <c r="B8" s="246"/>
      <c r="C8" s="1"/>
      <c r="D8" s="246"/>
    </row>
    <row r="9" spans="1:23" ht="18.75" x14ac:dyDescent="0.3">
      <c r="B9" s="247" t="s">
        <v>125</v>
      </c>
      <c r="C9" s="248"/>
      <c r="D9" s="248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</row>
    <row r="10" spans="1:23" ht="18.75" x14ac:dyDescent="0.3">
      <c r="B10" s="250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</row>
    <row r="11" spans="1:23" ht="32.25" customHeight="1" x14ac:dyDescent="0.3">
      <c r="B11" s="386" t="s">
        <v>6</v>
      </c>
      <c r="C11" s="386"/>
      <c r="D11" s="386"/>
      <c r="E11" s="386" t="s">
        <v>123</v>
      </c>
      <c r="F11" s="386"/>
      <c r="G11" s="386"/>
      <c r="H11" s="386"/>
      <c r="I11" s="388" t="s">
        <v>124</v>
      </c>
      <c r="J11" s="38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30"/>
      <c r="V11" s="230"/>
      <c r="W11" s="230"/>
    </row>
    <row r="12" spans="1:23" ht="18.75" x14ac:dyDescent="0.3">
      <c r="B12" s="391" t="str">
        <f>'SUMMARY SHEET BEFORE SUPP'!B12:D12</f>
        <v xml:space="preserve"> </v>
      </c>
      <c r="C12" s="392"/>
      <c r="D12" s="393"/>
      <c r="E12" s="394" t="str">
        <f>'SUMMARY SHEET BEFORE SUPP'!E12:H12</f>
        <v xml:space="preserve"> </v>
      </c>
      <c r="F12" s="395"/>
      <c r="G12" s="395"/>
      <c r="H12" s="396"/>
      <c r="I12" s="394" t="str">
        <f>'SUMMARY SHEET BEFORE SUPP'!I12:J12</f>
        <v xml:space="preserve"> </v>
      </c>
      <c r="J12" s="396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30"/>
      <c r="V12" s="230"/>
      <c r="W12" s="230"/>
    </row>
    <row r="13" spans="1:23" ht="18.75" x14ac:dyDescent="0.3">
      <c r="B13" s="391" t="str">
        <f>'SUMMARY SHEET BEFORE SUPP'!B13:D13</f>
        <v xml:space="preserve">  </v>
      </c>
      <c r="C13" s="392"/>
      <c r="D13" s="393"/>
      <c r="E13" s="394" t="str">
        <f>'SUMMARY SHEET BEFORE SUPP'!E13:H13</f>
        <v xml:space="preserve"> </v>
      </c>
      <c r="F13" s="395"/>
      <c r="G13" s="395"/>
      <c r="H13" s="396"/>
      <c r="I13" s="394" t="str">
        <f>'SUMMARY SHEET BEFORE SUPP'!I13:J13</f>
        <v xml:space="preserve"> </v>
      </c>
      <c r="J13" s="396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30"/>
      <c r="V13" s="230"/>
      <c r="W13" s="230"/>
    </row>
    <row r="14" spans="1:23" ht="18.75" x14ac:dyDescent="0.3">
      <c r="B14" s="391" t="str">
        <f>'SUMMARY SHEET BEFORE SUPP'!B14:D14</f>
        <v xml:space="preserve">  </v>
      </c>
      <c r="C14" s="392"/>
      <c r="D14" s="393"/>
      <c r="E14" s="394" t="str">
        <f>'SUMMARY SHEET BEFORE SUPP'!E14:H14</f>
        <v xml:space="preserve"> </v>
      </c>
      <c r="F14" s="395"/>
      <c r="G14" s="395"/>
      <c r="H14" s="396"/>
      <c r="I14" s="394" t="str">
        <f>'SUMMARY SHEET BEFORE SUPP'!I14:J14</f>
        <v xml:space="preserve"> </v>
      </c>
      <c r="J14" s="396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30"/>
      <c r="V14" s="230"/>
      <c r="W14" s="230"/>
    </row>
    <row r="15" spans="1:23" ht="18.75" x14ac:dyDescent="0.3">
      <c r="B15" s="391" t="str">
        <f>'SUMMARY SHEET BEFORE SUPP'!B15:D15</f>
        <v xml:space="preserve">  </v>
      </c>
      <c r="C15" s="392"/>
      <c r="D15" s="393"/>
      <c r="E15" s="394" t="str">
        <f>'SUMMARY SHEET BEFORE SUPP'!E15:H15</f>
        <v xml:space="preserve"> </v>
      </c>
      <c r="F15" s="395"/>
      <c r="G15" s="395"/>
      <c r="H15" s="396"/>
      <c r="I15" s="394" t="str">
        <f>'SUMMARY SHEET BEFORE SUPP'!I15:J15</f>
        <v xml:space="preserve"> </v>
      </c>
      <c r="J15" s="396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30"/>
      <c r="V15" s="230"/>
      <c r="W15" s="230"/>
    </row>
    <row r="16" spans="1:23" ht="18.75" x14ac:dyDescent="0.3">
      <c r="B16" s="391" t="str">
        <f>'SUMMARY SHEET BEFORE SUPP'!B16:D16</f>
        <v xml:space="preserve"> </v>
      </c>
      <c r="C16" s="392"/>
      <c r="D16" s="393"/>
      <c r="E16" s="394" t="str">
        <f>'SUMMARY SHEET BEFORE SUPP'!E16:H16</f>
        <v xml:space="preserve"> </v>
      </c>
      <c r="F16" s="395"/>
      <c r="G16" s="395"/>
      <c r="H16" s="396"/>
      <c r="I16" s="394" t="str">
        <f>'SUMMARY SHEET BEFORE SUPP'!I16:J16</f>
        <v xml:space="preserve"> </v>
      </c>
      <c r="J16" s="396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30"/>
      <c r="V16" s="230"/>
      <c r="W16" s="230"/>
    </row>
    <row r="17" spans="2:23" ht="18.75" x14ac:dyDescent="0.3">
      <c r="B17" s="250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30"/>
      <c r="V17" s="230"/>
      <c r="W17" s="230"/>
    </row>
    <row r="18" spans="2:23" ht="20.100000000000001" customHeight="1" x14ac:dyDescent="0.3">
      <c r="B18" s="251" t="s">
        <v>120</v>
      </c>
      <c r="C18" s="252"/>
      <c r="D18" s="252"/>
      <c r="E18" s="252"/>
      <c r="F18" s="252"/>
      <c r="G18" s="252"/>
      <c r="H18" s="252"/>
      <c r="I18" s="175">
        <f>'SUMMARY SHEET BEFORE SUPP'!I18</f>
        <v>10</v>
      </c>
      <c r="J18" s="176"/>
      <c r="K18" s="249"/>
      <c r="L18" s="253"/>
      <c r="M18" s="249"/>
      <c r="N18" s="249"/>
      <c r="O18" s="249"/>
      <c r="P18" s="249"/>
      <c r="Q18" s="249"/>
      <c r="R18" s="249"/>
      <c r="S18" s="249"/>
      <c r="T18" s="249"/>
      <c r="U18" s="230"/>
      <c r="V18" s="230"/>
      <c r="W18" s="230"/>
    </row>
    <row r="19" spans="2:23" ht="20.100000000000001" customHeight="1" x14ac:dyDescent="0.3">
      <c r="B19" s="251" t="s">
        <v>118</v>
      </c>
      <c r="C19" s="254"/>
      <c r="D19" s="254"/>
      <c r="E19" s="254"/>
      <c r="F19" s="254"/>
      <c r="G19" s="254"/>
      <c r="H19" s="254"/>
      <c r="I19" s="312">
        <f>COUNTA(MASTER!B11:B2001)</f>
        <v>10</v>
      </c>
      <c r="J19" s="313"/>
      <c r="K19" s="253"/>
      <c r="L19" s="255"/>
      <c r="M19" s="249"/>
      <c r="N19" s="249"/>
      <c r="O19" s="249"/>
      <c r="P19" s="249"/>
      <c r="Q19" s="249"/>
      <c r="R19" s="249"/>
      <c r="S19" s="249"/>
      <c r="T19" s="249"/>
      <c r="U19" s="230"/>
      <c r="V19" s="230"/>
      <c r="W19" s="230"/>
    </row>
    <row r="20" spans="2:23" ht="20.100000000000001" customHeight="1" x14ac:dyDescent="0.3">
      <c r="B20" s="251" t="s">
        <v>119</v>
      </c>
      <c r="C20" s="254"/>
      <c r="D20" s="254"/>
      <c r="E20" s="254"/>
      <c r="F20" s="254"/>
      <c r="G20" s="254"/>
      <c r="H20" s="254"/>
      <c r="I20" s="312">
        <f>COUNT(MASTER!T11:T2001)</f>
        <v>7</v>
      </c>
      <c r="J20" s="313"/>
      <c r="K20" s="253"/>
      <c r="L20" s="255"/>
      <c r="M20" s="249"/>
      <c r="N20" s="249"/>
      <c r="O20" s="249"/>
      <c r="P20" s="249"/>
      <c r="Q20" s="249"/>
      <c r="R20" s="249"/>
      <c r="S20" s="249"/>
      <c r="T20" s="249"/>
      <c r="U20" s="230"/>
      <c r="V20" s="230"/>
      <c r="W20" s="230"/>
    </row>
    <row r="21" spans="2:23" ht="20.100000000000001" customHeight="1" x14ac:dyDescent="0.3">
      <c r="B21" s="251" t="s">
        <v>168</v>
      </c>
      <c r="C21" s="254"/>
      <c r="D21" s="254"/>
      <c r="E21" s="254"/>
      <c r="F21" s="254"/>
      <c r="G21" s="254"/>
      <c r="H21" s="254"/>
      <c r="I21" s="312">
        <f>'SUMMARY SHEET BEFORE SUPP'!I21</f>
        <v>0</v>
      </c>
      <c r="J21" s="313"/>
      <c r="K21" s="249"/>
      <c r="L21" s="253"/>
      <c r="M21" s="249"/>
      <c r="N21" s="249"/>
      <c r="O21" s="249"/>
      <c r="P21" s="249"/>
      <c r="Q21" s="249"/>
      <c r="R21" s="249"/>
      <c r="S21" s="249"/>
      <c r="T21" s="249"/>
      <c r="U21" s="230"/>
      <c r="V21" s="230"/>
      <c r="W21" s="230"/>
    </row>
    <row r="22" spans="2:23" ht="20.100000000000001" customHeight="1" x14ac:dyDescent="0.3">
      <c r="B22" s="251" t="s">
        <v>169</v>
      </c>
      <c r="C22" s="254"/>
      <c r="D22" s="254"/>
      <c r="E22" s="254"/>
      <c r="F22" s="254"/>
      <c r="G22" s="254"/>
      <c r="H22" s="254"/>
      <c r="I22" s="312">
        <f>'SUMMARY SHEET BEFORE SUPP'!I22</f>
        <v>0</v>
      </c>
      <c r="J22" s="313"/>
      <c r="K22" s="249"/>
      <c r="L22" s="253"/>
      <c r="M22" s="249"/>
      <c r="N22" s="249"/>
      <c r="O22" s="249"/>
      <c r="P22" s="249"/>
      <c r="Q22" s="249"/>
      <c r="R22" s="249"/>
      <c r="S22" s="249"/>
      <c r="T22" s="249"/>
      <c r="U22" s="230"/>
      <c r="V22" s="230"/>
      <c r="W22" s="230"/>
    </row>
    <row r="23" spans="2:23" ht="20.100000000000001" customHeight="1" x14ac:dyDescent="0.3">
      <c r="B23" s="251" t="s">
        <v>184</v>
      </c>
      <c r="C23" s="254"/>
      <c r="D23" s="254"/>
      <c r="E23" s="254"/>
      <c r="F23" s="254"/>
      <c r="G23" s="254"/>
      <c r="H23" s="254"/>
      <c r="I23" s="314">
        <f>(COUNTIF(MASTER!V11:V2001,"=49.5")+COUNTIF(MASTER!V11:V2001,"&gt;49.5"))/I19*100</f>
        <v>30</v>
      </c>
      <c r="J23" s="313" t="s">
        <v>122</v>
      </c>
      <c r="K23" s="249"/>
      <c r="L23" s="250"/>
      <c r="M23" s="249"/>
      <c r="N23" s="249"/>
      <c r="O23" s="249"/>
      <c r="P23" s="249"/>
      <c r="Q23" s="249"/>
      <c r="R23" s="249"/>
      <c r="S23" s="249"/>
      <c r="T23" s="249"/>
      <c r="U23" s="230"/>
      <c r="V23" s="230"/>
      <c r="W23" s="230"/>
    </row>
    <row r="24" spans="2:23" ht="20.100000000000001" customHeight="1" x14ac:dyDescent="0.3">
      <c r="B24" s="251" t="s">
        <v>89</v>
      </c>
      <c r="C24" s="254"/>
      <c r="D24" s="254"/>
      <c r="E24" s="254"/>
      <c r="F24" s="254"/>
      <c r="G24" s="254"/>
      <c r="H24" s="254"/>
      <c r="I24" s="315" t="e">
        <f>AVERAGE(MASTER!V11:V2001)</f>
        <v>#DIV/0!</v>
      </c>
      <c r="J24" s="313" t="s">
        <v>122</v>
      </c>
      <c r="K24" s="249"/>
      <c r="L24" s="250"/>
      <c r="M24" s="249"/>
      <c r="N24" s="249"/>
      <c r="O24" s="249"/>
      <c r="P24" s="249"/>
      <c r="Q24" s="249"/>
      <c r="R24" s="249"/>
      <c r="S24" s="249"/>
      <c r="T24" s="249"/>
      <c r="U24" s="230"/>
      <c r="V24" s="230"/>
      <c r="W24" s="230"/>
    </row>
    <row r="25" spans="2:23" ht="20.100000000000001" customHeight="1" x14ac:dyDescent="0.3">
      <c r="B25" s="251" t="s">
        <v>90</v>
      </c>
      <c r="C25" s="254"/>
      <c r="D25" s="254"/>
      <c r="E25" s="254"/>
      <c r="F25" s="254"/>
      <c r="G25" s="254"/>
      <c r="H25" s="254"/>
      <c r="I25" s="315" t="e">
        <f>MEDIAN(MASTER!V11:V2001)</f>
        <v>#DIV/0!</v>
      </c>
      <c r="J25" s="313" t="s">
        <v>122</v>
      </c>
      <c r="K25" s="249"/>
      <c r="L25" s="250"/>
      <c r="M25" s="249"/>
      <c r="N25" s="249"/>
      <c r="O25" s="249"/>
      <c r="P25" s="249"/>
      <c r="Q25" s="249"/>
      <c r="R25" s="249"/>
      <c r="S25" s="249"/>
      <c r="T25" s="249"/>
      <c r="U25" s="230"/>
      <c r="V25" s="230"/>
      <c r="W25" s="230"/>
    </row>
    <row r="26" spans="2:23" ht="20.100000000000001" customHeight="1" x14ac:dyDescent="0.3">
      <c r="B26" s="261"/>
      <c r="C26" s="262"/>
      <c r="D26" s="262"/>
      <c r="E26" s="262"/>
      <c r="F26" s="262"/>
      <c r="G26" s="262"/>
      <c r="H26" s="262"/>
      <c r="I26" s="316"/>
      <c r="J26" s="317"/>
      <c r="K26" s="249"/>
      <c r="L26" s="250"/>
      <c r="M26" s="249"/>
      <c r="N26" s="249"/>
      <c r="O26" s="249"/>
      <c r="P26" s="249"/>
      <c r="Q26" s="249"/>
      <c r="R26" s="249"/>
      <c r="S26" s="249"/>
      <c r="T26" s="249"/>
      <c r="U26" s="230"/>
      <c r="V26" s="230"/>
      <c r="W26" s="230"/>
    </row>
    <row r="27" spans="2:23" ht="15.75" x14ac:dyDescent="0.25">
      <c r="B27" s="265"/>
      <c r="L27" s="265"/>
    </row>
    <row r="28" spans="2:23" ht="18.75" x14ac:dyDescent="0.25">
      <c r="B28" s="247" t="s">
        <v>186</v>
      </c>
    </row>
    <row r="29" spans="2:23" ht="16.5" thickBot="1" x14ac:dyDescent="0.3">
      <c r="B29" s="266"/>
    </row>
    <row r="30" spans="2:23" ht="16.5" thickBot="1" x14ac:dyDescent="0.3">
      <c r="B30" s="267" t="s">
        <v>91</v>
      </c>
      <c r="C30" s="268" t="s">
        <v>92</v>
      </c>
      <c r="D30" s="40" t="s">
        <v>172</v>
      </c>
      <c r="E30" s="269" t="s">
        <v>103</v>
      </c>
      <c r="F30" s="269" t="s">
        <v>104</v>
      </c>
      <c r="G30" s="269" t="s">
        <v>105</v>
      </c>
      <c r="H30" s="269" t="s">
        <v>106</v>
      </c>
      <c r="I30" s="269" t="s">
        <v>107</v>
      </c>
      <c r="J30" s="269" t="s">
        <v>108</v>
      </c>
      <c r="K30" s="269" t="s">
        <v>109</v>
      </c>
      <c r="L30" s="269" t="s">
        <v>101</v>
      </c>
      <c r="M30" s="269" t="s">
        <v>102</v>
      </c>
      <c r="N30" s="269" t="s">
        <v>110</v>
      </c>
      <c r="O30" s="269" t="s">
        <v>111</v>
      </c>
      <c r="P30" s="269" t="s">
        <v>112</v>
      </c>
      <c r="Q30" s="269" t="s">
        <v>114</v>
      </c>
      <c r="R30" s="269" t="s">
        <v>113</v>
      </c>
      <c r="S30" s="268" t="s">
        <v>115</v>
      </c>
      <c r="T30" s="270" t="s">
        <v>116</v>
      </c>
    </row>
    <row r="31" spans="2:23" ht="16.5" thickBot="1" x14ac:dyDescent="0.3">
      <c r="B31" s="271" t="s">
        <v>91</v>
      </c>
      <c r="C31" s="272" t="s">
        <v>92</v>
      </c>
      <c r="D31" s="40" t="s">
        <v>172</v>
      </c>
      <c r="E31" s="273" t="s">
        <v>93</v>
      </c>
      <c r="F31" s="274" t="s">
        <v>93</v>
      </c>
      <c r="G31" s="274" t="s">
        <v>93</v>
      </c>
      <c r="H31" s="274" t="s">
        <v>93</v>
      </c>
      <c r="I31" s="274" t="s">
        <v>94</v>
      </c>
      <c r="J31" s="274">
        <v>3</v>
      </c>
      <c r="K31" s="274">
        <v>3</v>
      </c>
      <c r="L31" s="274" t="s">
        <v>95</v>
      </c>
      <c r="M31" s="274" t="s">
        <v>95</v>
      </c>
      <c r="N31" s="274" t="s">
        <v>96</v>
      </c>
      <c r="O31" s="274">
        <v>1</v>
      </c>
      <c r="P31" s="274">
        <v>1</v>
      </c>
      <c r="Q31" s="274">
        <v>1</v>
      </c>
      <c r="R31" s="274">
        <v>1</v>
      </c>
      <c r="S31" s="272">
        <v>1</v>
      </c>
      <c r="T31" s="275" t="s">
        <v>117</v>
      </c>
    </row>
    <row r="32" spans="2:23" ht="16.5" thickBot="1" x14ac:dyDescent="0.3">
      <c r="B32" s="271">
        <f>COUNTIF(MASTER!$V$11:$V$2001,"=DPR")</f>
        <v>1</v>
      </c>
      <c r="C32" s="276">
        <f>COUNTIF(MASTER!$V$11:$V$2001,"=AB")</f>
        <v>2</v>
      </c>
      <c r="D32" s="277">
        <f>COUNTIF(MASTER!$V$11:$V$2001,"=DE")</f>
        <v>1</v>
      </c>
      <c r="E32" s="277">
        <f>COUNTIF(MASTER!$V$11:$V$2001,"&lt;29.5")</f>
        <v>1</v>
      </c>
      <c r="F32" s="278">
        <f>COUNTIF(MASTER!$V$11:$V$2001,"&lt;34.5")-COUNTIF(MASTER!$V$11:$V$2001,"&lt;29.5")</f>
        <v>0</v>
      </c>
      <c r="G32" s="279">
        <f>COUNTIF(MASTER!$V$11:$V$2001,"&lt;39.5")-COUNTIF(MASTER!$V$11:$V$2001,"&lt;34.5")</f>
        <v>0</v>
      </c>
      <c r="H32" s="279">
        <f>COUNTIF(MASTER!$V$11:$V$2001,"&lt;44.5")-COUNTIF(MASTER!$V$11:$V$2001,"&lt;39.5")</f>
        <v>0</v>
      </c>
      <c r="I32" s="279">
        <f>COUNTIF(MASTER!$V$11:$V$2001,"&lt;49.5")-COUNTIF(MASTER!$V$11:$V$2001,"&lt;44.5")</f>
        <v>1</v>
      </c>
      <c r="J32" s="279">
        <f>COUNTIF(MASTER!$V$11:$V$2001,"&lt;54.5")-COUNTIF(MASTER!$V$11:$V$2001,"&lt;49.5")</f>
        <v>1</v>
      </c>
      <c r="K32" s="279">
        <f>COUNTIF(MASTER!$V$11:$V$2001,"&lt;59.5")-COUNTIF(MASTER!$V$11:$V$2001,"&lt;54.5")</f>
        <v>0</v>
      </c>
      <c r="L32" s="279">
        <f>COUNTIF(MASTER!$V$11:$V$2001,"&lt;64.5")-COUNTIF(MASTER!$V$11:$V$2001,"&lt;59.5")</f>
        <v>0</v>
      </c>
      <c r="M32" s="279">
        <f>COUNTIF(MASTER!$V$11:$V$2001,"&lt;69.5")-COUNTIF(MASTER!$V$11:$V$2001,"&lt;64.5")</f>
        <v>0</v>
      </c>
      <c r="N32" s="279">
        <f>COUNTIF(MASTER!$V$11:$V$2001,"&lt;74.5")-COUNTIF(MASTER!$V$11:$V$2001,"&lt;69.5")</f>
        <v>0</v>
      </c>
      <c r="O32" s="279">
        <f>COUNTIF(MASTER!$V$11:$V$2001,"&lt;79.5")-COUNTIF(MASTER!$V$11:$V$2001,"&lt;74.5")</f>
        <v>0</v>
      </c>
      <c r="P32" s="279">
        <f>COUNTIF(MASTER!$V$11:$V$2001,"&lt;84.5")-COUNTIF(MASTER!$V$11:$V$2001,"&lt;79.5")</f>
        <v>0</v>
      </c>
      <c r="Q32" s="279">
        <f>COUNTIF(MASTER!$V$11:$V$2001,"&lt;89.5")-COUNTIF(MASTER!$V$11:$V$2001,"&lt;84.5")</f>
        <v>0</v>
      </c>
      <c r="R32" s="279">
        <f>COUNTIF(MASTER!$V$11:$V$2001,"&lt;94.5")-COUNTIF(MASTER!$V$11:$V$2001,"&lt;89.5")</f>
        <v>0</v>
      </c>
      <c r="S32" s="280">
        <f>COUNTIF(MASTER!$V$11:$V$2001,"&lt;200")-COUNTIF(MASTER!$V$11:$V$2001,"&lt;94.5")</f>
        <v>1</v>
      </c>
      <c r="T32" s="281" t="str">
        <f>IF(SUM(B32:S32)=I19,"OK","Problem")</f>
        <v>Problem</v>
      </c>
    </row>
    <row r="33" spans="2:21" ht="15.75" x14ac:dyDescent="0.25">
      <c r="B33" s="282"/>
      <c r="C33" s="282"/>
      <c r="D33" s="282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4"/>
    </row>
    <row r="34" spans="2:21" ht="15.75" x14ac:dyDescent="0.25">
      <c r="B34" s="282"/>
      <c r="C34" s="282"/>
      <c r="D34" s="282"/>
      <c r="E34" s="283"/>
      <c r="F34" s="283"/>
      <c r="G34" s="283"/>
      <c r="H34" s="283"/>
      <c r="I34" s="283"/>
      <c r="J34" s="283"/>
      <c r="K34" s="283"/>
      <c r="L34" s="283"/>
      <c r="M34" s="283"/>
      <c r="N34" s="283"/>
      <c r="O34" s="283"/>
      <c r="P34" s="283"/>
      <c r="Q34" s="283"/>
      <c r="R34" s="283"/>
      <c r="S34" s="284"/>
    </row>
    <row r="35" spans="2:21" ht="15.75" x14ac:dyDescent="0.25">
      <c r="B35" s="282"/>
      <c r="C35" s="282"/>
      <c r="D35" s="282"/>
      <c r="E35" s="283"/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4"/>
    </row>
    <row r="36" spans="2:21" x14ac:dyDescent="0.25">
      <c r="B36" s="285"/>
      <c r="R36" s="286" t="s">
        <v>129</v>
      </c>
    </row>
    <row r="37" spans="2:21" ht="18.75" x14ac:dyDescent="0.3">
      <c r="B37" s="384" t="s">
        <v>128</v>
      </c>
      <c r="C37" s="384"/>
      <c r="D37" s="384"/>
      <c r="E37" s="383" t="str">
        <f>DGET(MASTER!A10:V2001,3,'SUMMARY SHEET AFTER SUPP '!R36:R37)</f>
        <v>EXC</v>
      </c>
      <c r="F37" s="383"/>
      <c r="G37" s="383"/>
      <c r="H37" s="383"/>
      <c r="I37" s="383"/>
      <c r="J37" s="383"/>
      <c r="K37" s="384" t="s">
        <v>126</v>
      </c>
      <c r="L37" s="384"/>
      <c r="M37" s="383" t="str">
        <f>DGET(MASTER!A10:V2001,2,'SUMMARY SHEET AFTER SUPP '!R36:R37)</f>
        <v>ST6</v>
      </c>
      <c r="N37" s="383"/>
      <c r="O37" s="383"/>
      <c r="P37" s="249"/>
      <c r="Q37" s="287" t="s">
        <v>127</v>
      </c>
      <c r="R37" s="288" t="e">
        <f>MAX(MASTER!V11:V2001)</f>
        <v>#DIV/0!</v>
      </c>
      <c r="S37" s="249"/>
      <c r="T37" s="249"/>
      <c r="U37" s="249"/>
    </row>
    <row r="38" spans="2:21" ht="18.75" x14ac:dyDescent="0.3">
      <c r="B38" s="289"/>
      <c r="C38" s="249"/>
      <c r="D38" s="290"/>
      <c r="E38" s="291"/>
      <c r="F38" s="291"/>
      <c r="G38" s="291"/>
      <c r="H38" s="291"/>
      <c r="I38" s="291"/>
      <c r="J38" s="291"/>
      <c r="K38" s="287"/>
      <c r="L38" s="287"/>
      <c r="M38" s="291"/>
      <c r="N38" s="291"/>
      <c r="O38" s="291"/>
      <c r="P38" s="292"/>
      <c r="Q38" s="293"/>
      <c r="R38" s="294"/>
      <c r="S38" s="249"/>
      <c r="T38" s="249"/>
      <c r="U38" s="249"/>
    </row>
    <row r="39" spans="2:21" ht="18.75" x14ac:dyDescent="0.3">
      <c r="B39" s="318" t="s">
        <v>188</v>
      </c>
      <c r="C39" s="254"/>
      <c r="D39" s="319"/>
      <c r="E39" s="320"/>
      <c r="F39" s="320"/>
      <c r="G39" s="320"/>
      <c r="H39" s="320"/>
      <c r="I39" s="321">
        <f>COUNTIF(MASTER!AB11:AB2001,"&gt;0")+COUNTIF(MASTER!AB11:AB2001,"=0")</f>
        <v>1</v>
      </c>
      <c r="J39" s="322"/>
      <c r="K39" s="287"/>
      <c r="L39" s="287"/>
      <c r="M39" s="291"/>
      <c r="N39" s="291"/>
      <c r="O39" s="291"/>
      <c r="P39" s="292"/>
      <c r="Q39" s="293"/>
      <c r="R39" s="294"/>
      <c r="S39" s="249"/>
      <c r="T39" s="249"/>
      <c r="U39" s="249"/>
    </row>
    <row r="40" spans="2:21" ht="18.75" x14ac:dyDescent="0.3">
      <c r="B40" s="318" t="s">
        <v>189</v>
      </c>
      <c r="C40" s="254"/>
      <c r="D40" s="319"/>
      <c r="E40" s="320"/>
      <c r="F40" s="320"/>
      <c r="G40" s="320"/>
      <c r="H40" s="320"/>
      <c r="I40" s="321">
        <f>COUNTIF(MASTER!AC11:AC2001,"&gt;0")+COUNTIF(MASTER!AC11:AC2001,"=0")</f>
        <v>1</v>
      </c>
      <c r="J40" s="322"/>
      <c r="K40" s="287"/>
      <c r="L40" s="287"/>
      <c r="M40" s="291"/>
      <c r="N40" s="291"/>
      <c r="O40" s="291"/>
      <c r="P40" s="292"/>
      <c r="Q40" s="293"/>
      <c r="R40" s="294"/>
      <c r="S40" s="249"/>
      <c r="T40" s="249"/>
      <c r="U40" s="249"/>
    </row>
    <row r="41" spans="2:21" ht="18.75" x14ac:dyDescent="0.3">
      <c r="B41" s="323" t="s">
        <v>187</v>
      </c>
      <c r="C41" s="257"/>
      <c r="D41" s="319"/>
      <c r="E41" s="320"/>
      <c r="F41" s="320"/>
      <c r="G41" s="320"/>
      <c r="H41" s="324"/>
      <c r="I41" s="325">
        <f>(COUNTIF(MASTER!V11:V2001,"&gt;49.5")+COUNTIF(MASTER!AB11:AB2001,"&gt;49.5")+COUNTIF(MASTER!AC11:AC2001,"&gt;49.5")+COUNTIF(MASTER!V11:V2001,"=49.5")+COUNTIF(MASTER!AB11:AB2001,"=49.5")+COUNTIF(MASTER!AC11:AC2001,"=49.5"))/I19*100</f>
        <v>40</v>
      </c>
      <c r="J41" s="326" t="s">
        <v>122</v>
      </c>
      <c r="K41" s="287"/>
      <c r="L41" s="287"/>
      <c r="M41" s="291"/>
      <c r="N41" s="291"/>
      <c r="O41" s="291"/>
      <c r="P41" s="292"/>
      <c r="Q41" s="293"/>
      <c r="R41" s="294"/>
      <c r="S41" s="249"/>
      <c r="T41" s="249"/>
      <c r="U41" s="249"/>
    </row>
    <row r="42" spans="2:21" ht="18.75" x14ac:dyDescent="0.3">
      <c r="B42" s="327"/>
      <c r="C42" s="262"/>
      <c r="D42" s="328"/>
      <c r="E42" s="329"/>
      <c r="F42" s="329"/>
      <c r="G42" s="329"/>
      <c r="H42" s="329"/>
      <c r="I42" s="291"/>
      <c r="J42" s="291"/>
      <c r="K42" s="287"/>
      <c r="L42" s="287"/>
      <c r="M42" s="291"/>
      <c r="N42" s="291"/>
      <c r="O42" s="291"/>
      <c r="P42" s="292"/>
      <c r="Q42" s="293"/>
      <c r="R42" s="294"/>
      <c r="S42" s="249"/>
      <c r="T42" s="249"/>
      <c r="U42" s="249"/>
    </row>
    <row r="43" spans="2:21" ht="18.75" x14ac:dyDescent="0.3">
      <c r="B43" s="289"/>
      <c r="C43" s="249"/>
      <c r="D43" s="290"/>
      <c r="E43" s="291"/>
      <c r="F43" s="291"/>
      <c r="G43" s="291"/>
      <c r="H43" s="291"/>
      <c r="I43" s="291"/>
      <c r="J43" s="291"/>
      <c r="K43" s="287"/>
      <c r="L43" s="287"/>
      <c r="M43" s="291"/>
      <c r="N43" s="291"/>
      <c r="O43" s="291"/>
      <c r="P43" s="292"/>
      <c r="Q43" s="293"/>
      <c r="R43" s="294"/>
      <c r="S43" s="249"/>
      <c r="T43" s="249"/>
      <c r="U43" s="249"/>
    </row>
    <row r="44" spans="2:21" ht="15.75" x14ac:dyDescent="0.25">
      <c r="B44" s="265"/>
    </row>
    <row r="45" spans="2:21" ht="21" x14ac:dyDescent="0.35">
      <c r="B45" s="295" t="s">
        <v>170</v>
      </c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296"/>
      <c r="R45" s="296"/>
      <c r="S45" s="296"/>
      <c r="T45" s="296"/>
    </row>
    <row r="46" spans="2:21" ht="21" x14ac:dyDescent="0.35">
      <c r="B46" s="295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</row>
    <row r="47" spans="2:21" ht="21" customHeight="1" x14ac:dyDescent="0.35">
      <c r="B47" s="295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O47" s="297" t="s">
        <v>134</v>
      </c>
      <c r="P47" s="296"/>
      <c r="Q47" s="296"/>
      <c r="R47" s="296"/>
      <c r="S47" s="296"/>
      <c r="T47" s="296"/>
    </row>
    <row r="48" spans="2:21" ht="30" customHeight="1" x14ac:dyDescent="0.25">
      <c r="B48" s="298" t="s">
        <v>190</v>
      </c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85"/>
      <c r="N48" s="285"/>
      <c r="O48" s="299"/>
      <c r="P48" s="298"/>
      <c r="Q48" s="298"/>
      <c r="R48" s="298"/>
      <c r="S48" s="298"/>
      <c r="T48" s="298"/>
      <c r="U48" s="285"/>
    </row>
    <row r="49" spans="2:21" ht="30" customHeight="1" x14ac:dyDescent="0.25">
      <c r="B49" s="298" t="s">
        <v>193</v>
      </c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300"/>
      <c r="O49" s="299"/>
      <c r="P49" s="298"/>
      <c r="Q49" s="298"/>
      <c r="R49" s="298"/>
      <c r="S49" s="298"/>
      <c r="T49" s="298"/>
      <c r="U49" s="285"/>
    </row>
    <row r="50" spans="2:21" ht="30" customHeight="1" x14ac:dyDescent="0.25">
      <c r="B50" s="298" t="s">
        <v>97</v>
      </c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85"/>
      <c r="N50" s="285"/>
      <c r="O50" s="299"/>
      <c r="P50" s="298"/>
      <c r="Q50" s="298"/>
      <c r="R50" s="298"/>
      <c r="S50" s="298"/>
      <c r="T50" s="298"/>
      <c r="U50" s="285"/>
    </row>
    <row r="51" spans="2:21" ht="30" customHeight="1" x14ac:dyDescent="0.25">
      <c r="B51" s="390" t="s">
        <v>191</v>
      </c>
      <c r="C51" s="390"/>
      <c r="D51" s="390"/>
      <c r="E51" s="390"/>
      <c r="F51" s="390"/>
      <c r="G51" s="390"/>
      <c r="H51" s="390"/>
      <c r="I51" s="390"/>
      <c r="J51" s="390"/>
      <c r="K51" s="390"/>
      <c r="L51" s="390"/>
      <c r="M51" s="285"/>
      <c r="N51" s="285"/>
      <c r="O51" s="299"/>
      <c r="P51" s="298"/>
      <c r="Q51" s="298"/>
      <c r="R51" s="298"/>
      <c r="S51" s="298"/>
      <c r="T51" s="298"/>
    </row>
    <row r="52" spans="2:21" ht="30" customHeight="1" x14ac:dyDescent="0.25">
      <c r="B52" s="390" t="s">
        <v>196</v>
      </c>
      <c r="C52" s="390"/>
      <c r="D52" s="390"/>
      <c r="E52" s="390"/>
      <c r="F52" s="390"/>
      <c r="G52" s="390"/>
      <c r="H52" s="390"/>
      <c r="I52" s="390"/>
      <c r="J52" s="390"/>
      <c r="K52" s="390"/>
      <c r="L52" s="390"/>
      <c r="M52" s="285"/>
      <c r="N52" s="285"/>
      <c r="O52" s="299"/>
      <c r="P52" s="298"/>
      <c r="Q52" s="298"/>
      <c r="R52" s="298"/>
      <c r="S52" s="298"/>
      <c r="T52" s="298"/>
    </row>
    <row r="53" spans="2:21" ht="30" customHeight="1" x14ac:dyDescent="0.25"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285"/>
      <c r="N53" s="285"/>
      <c r="O53" s="330"/>
      <c r="P53" s="298"/>
      <c r="Q53" s="298"/>
      <c r="R53" s="298"/>
      <c r="S53" s="298"/>
      <c r="T53" s="298"/>
    </row>
    <row r="54" spans="2:21" ht="30" customHeight="1" x14ac:dyDescent="0.25">
      <c r="B54" s="301"/>
      <c r="C54" s="301"/>
      <c r="D54" s="301"/>
      <c r="E54" s="301"/>
      <c r="F54" s="301"/>
      <c r="G54" s="301"/>
      <c r="H54" s="301"/>
      <c r="I54" s="301"/>
      <c r="J54" s="301"/>
      <c r="K54" s="301"/>
      <c r="L54" s="301"/>
      <c r="M54" s="285"/>
      <c r="N54" s="285"/>
      <c r="O54" s="330"/>
      <c r="P54" s="298"/>
      <c r="Q54" s="298"/>
      <c r="R54" s="298"/>
      <c r="S54" s="298"/>
      <c r="T54" s="298"/>
    </row>
    <row r="55" spans="2:21" ht="21" x14ac:dyDescent="0.35">
      <c r="B55" s="298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</row>
    <row r="56" spans="2:21" ht="21" x14ac:dyDescent="0.35">
      <c r="B56" s="298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</row>
    <row r="58" spans="2:21" ht="21.75" thickBot="1" x14ac:dyDescent="0.4">
      <c r="B58" s="307"/>
      <c r="C58" s="307"/>
      <c r="D58" s="307"/>
      <c r="E58" s="307"/>
      <c r="F58" s="307"/>
      <c r="G58" s="296"/>
      <c r="H58" s="308"/>
      <c r="I58" s="308"/>
      <c r="J58" s="308"/>
      <c r="K58" s="296"/>
      <c r="L58" s="307"/>
      <c r="M58" s="307"/>
      <c r="N58" s="307"/>
      <c r="O58" s="307"/>
      <c r="P58" s="307"/>
      <c r="Q58" s="296"/>
      <c r="R58" s="309"/>
      <c r="S58" s="309"/>
      <c r="T58" s="309"/>
    </row>
    <row r="59" spans="2:21" ht="21" x14ac:dyDescent="0.35">
      <c r="B59" s="310" t="s">
        <v>99</v>
      </c>
      <c r="C59" s="296"/>
      <c r="D59" s="296"/>
      <c r="E59" s="296"/>
      <c r="F59" s="296"/>
      <c r="G59" s="310"/>
      <c r="H59" s="311" t="s">
        <v>135</v>
      </c>
      <c r="I59" s="296"/>
      <c r="J59" s="296"/>
      <c r="K59" s="296"/>
      <c r="L59" s="310" t="s">
        <v>100</v>
      </c>
      <c r="M59" s="296"/>
      <c r="N59" s="296"/>
      <c r="O59" s="296"/>
      <c r="P59" s="310"/>
      <c r="Q59" s="296"/>
      <c r="R59" s="311" t="s">
        <v>135</v>
      </c>
      <c r="S59" s="296"/>
      <c r="T59" s="296"/>
    </row>
  </sheetData>
  <sheetProtection password="EFD2" sheet="1" objects="1" scenarios="1" selectLockedCells="1"/>
  <mergeCells count="27">
    <mergeCell ref="B2:R2"/>
    <mergeCell ref="B3:R3"/>
    <mergeCell ref="B11:D11"/>
    <mergeCell ref="E11:H11"/>
    <mergeCell ref="I11:J11"/>
    <mergeCell ref="A5:U5"/>
    <mergeCell ref="B12:D12"/>
    <mergeCell ref="E12:H12"/>
    <mergeCell ref="I12:J12"/>
    <mergeCell ref="B13:D13"/>
    <mergeCell ref="E13:H13"/>
    <mergeCell ref="I13:J13"/>
    <mergeCell ref="B14:D14"/>
    <mergeCell ref="E14:H14"/>
    <mergeCell ref="I14:J14"/>
    <mergeCell ref="B15:D15"/>
    <mergeCell ref="E15:H15"/>
    <mergeCell ref="I15:J15"/>
    <mergeCell ref="B51:L51"/>
    <mergeCell ref="B52:L52"/>
    <mergeCell ref="M37:O37"/>
    <mergeCell ref="B16:D16"/>
    <mergeCell ref="E16:H16"/>
    <mergeCell ref="I16:J16"/>
    <mergeCell ref="B37:D37"/>
    <mergeCell ref="E37:J37"/>
    <mergeCell ref="K37:L37"/>
  </mergeCells>
  <conditionalFormatting sqref="T32">
    <cfRule type="cellIs" dxfId="1833" priority="1" operator="equal">
      <formula>"PROBLEM"</formula>
    </cfRule>
    <cfRule type="cellIs" dxfId="1832" priority="2" operator="equal">
      <formula>"OK"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14"/>
  <sheetViews>
    <sheetView workbookViewId="0">
      <selection activeCell="F24" sqref="F24"/>
    </sheetView>
  </sheetViews>
  <sheetFormatPr defaultRowHeight="15" x14ac:dyDescent="0.25"/>
  <cols>
    <col min="1" max="1" width="20.7109375" bestFit="1" customWidth="1"/>
    <col min="2" max="2" width="26.140625" bestFit="1" customWidth="1"/>
    <col min="3" max="3" width="17" bestFit="1" customWidth="1"/>
    <col min="4" max="4" width="16" bestFit="1" customWidth="1"/>
    <col min="7" max="7" width="17.28515625" bestFit="1" customWidth="1"/>
    <col min="8" max="8" width="11" bestFit="1" customWidth="1"/>
  </cols>
  <sheetData>
    <row r="1" spans="1:22" x14ac:dyDescent="0.25">
      <c r="A1" s="359" t="s">
        <v>272</v>
      </c>
      <c r="B1" s="360" t="s">
        <v>302</v>
      </c>
    </row>
    <row r="2" spans="1:22" x14ac:dyDescent="0.25">
      <c r="A2" s="361" t="s">
        <v>273</v>
      </c>
      <c r="B2" s="362" t="s">
        <v>274</v>
      </c>
    </row>
    <row r="3" spans="1:22" ht="15.75" thickBot="1" x14ac:dyDescent="0.3">
      <c r="A3" s="363" t="s">
        <v>275</v>
      </c>
      <c r="B3" s="364" t="s">
        <v>303</v>
      </c>
    </row>
    <row r="4" spans="1:22" x14ac:dyDescent="0.25">
      <c r="A4" s="365"/>
    </row>
    <row r="7" spans="1:22" x14ac:dyDescent="0.25">
      <c r="A7" s="366" t="s">
        <v>276</v>
      </c>
      <c r="B7" s="367">
        <v>5</v>
      </c>
      <c r="C7" s="367"/>
      <c r="D7" s="397" t="s">
        <v>277</v>
      </c>
      <c r="E7" s="398"/>
      <c r="F7" s="398"/>
      <c r="G7" s="399"/>
      <c r="H7" s="397" t="s">
        <v>278</v>
      </c>
      <c r="I7" s="398"/>
      <c r="J7" s="398"/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9"/>
    </row>
    <row r="8" spans="1:22" x14ac:dyDescent="0.25">
      <c r="A8" s="366" t="s">
        <v>279</v>
      </c>
      <c r="B8" s="368" t="s">
        <v>280</v>
      </c>
      <c r="C8" s="367" t="s">
        <v>281</v>
      </c>
      <c r="D8" s="366" t="s">
        <v>282</v>
      </c>
      <c r="E8" s="367" t="s">
        <v>283</v>
      </c>
      <c r="F8" s="368" t="s">
        <v>284</v>
      </c>
      <c r="G8" s="367" t="s">
        <v>285</v>
      </c>
      <c r="H8" s="369" t="s">
        <v>282</v>
      </c>
      <c r="I8" s="367" t="s">
        <v>283</v>
      </c>
      <c r="J8" s="370" t="s">
        <v>286</v>
      </c>
      <c r="K8" s="369" t="s">
        <v>282</v>
      </c>
      <c r="L8" s="367" t="s">
        <v>283</v>
      </c>
      <c r="M8" s="370" t="s">
        <v>286</v>
      </c>
      <c r="N8" s="369" t="s">
        <v>282</v>
      </c>
      <c r="O8" s="367" t="s">
        <v>283</v>
      </c>
      <c r="P8" s="370" t="s">
        <v>286</v>
      </c>
      <c r="Q8" s="369" t="s">
        <v>282</v>
      </c>
      <c r="R8" s="367" t="s">
        <v>283</v>
      </c>
      <c r="S8" s="370" t="s">
        <v>286</v>
      </c>
      <c r="T8" s="369" t="s">
        <v>282</v>
      </c>
      <c r="U8" s="367" t="s">
        <v>283</v>
      </c>
      <c r="V8" s="370" t="s">
        <v>286</v>
      </c>
    </row>
    <row r="9" spans="1:22" x14ac:dyDescent="0.25">
      <c r="A9" s="371" t="s">
        <v>287</v>
      </c>
      <c r="B9" s="372" t="s">
        <v>288</v>
      </c>
      <c r="C9" s="373" t="s">
        <v>289</v>
      </c>
      <c r="D9" s="371" t="s">
        <v>290</v>
      </c>
      <c r="E9" s="373" t="s">
        <v>291</v>
      </c>
      <c r="F9" s="374" t="s">
        <v>292</v>
      </c>
      <c r="G9" s="373" t="s">
        <v>293</v>
      </c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5"/>
    </row>
    <row r="10" spans="1:22" x14ac:dyDescent="0.25">
      <c r="A10" s="371" t="s">
        <v>71</v>
      </c>
      <c r="B10" s="372" t="s">
        <v>288</v>
      </c>
      <c r="C10" s="373" t="s">
        <v>294</v>
      </c>
      <c r="D10" s="371" t="s">
        <v>295</v>
      </c>
      <c r="E10" s="373" t="s">
        <v>291</v>
      </c>
      <c r="F10" s="376" t="s">
        <v>296</v>
      </c>
      <c r="G10" s="376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  <c r="U10" s="371"/>
      <c r="V10" s="375"/>
    </row>
    <row r="11" spans="1:22" x14ac:dyDescent="0.25">
      <c r="A11" s="371" t="s">
        <v>70</v>
      </c>
      <c r="B11" s="372" t="s">
        <v>288</v>
      </c>
      <c r="C11" s="373" t="s">
        <v>289</v>
      </c>
      <c r="D11" s="371" t="s">
        <v>37</v>
      </c>
      <c r="E11" s="373" t="s">
        <v>291</v>
      </c>
      <c r="F11" s="376" t="s">
        <v>297</v>
      </c>
      <c r="G11" s="373" t="s">
        <v>306</v>
      </c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5"/>
    </row>
    <row r="12" spans="1:22" x14ac:dyDescent="0.25">
      <c r="A12" s="371" t="s">
        <v>62</v>
      </c>
      <c r="B12" s="372" t="s">
        <v>298</v>
      </c>
      <c r="C12" s="373" t="s">
        <v>289</v>
      </c>
      <c r="D12" s="371"/>
      <c r="E12" s="373"/>
      <c r="F12" s="376"/>
      <c r="G12" s="376"/>
      <c r="H12" s="371" t="s">
        <v>63</v>
      </c>
      <c r="I12" s="371" t="s">
        <v>299</v>
      </c>
      <c r="J12" s="371" t="s">
        <v>300</v>
      </c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1"/>
      <c r="V12" s="375"/>
    </row>
    <row r="13" spans="1:22" x14ac:dyDescent="0.25">
      <c r="A13" s="371" t="s">
        <v>301</v>
      </c>
      <c r="B13" s="372" t="s">
        <v>298</v>
      </c>
      <c r="C13" s="373" t="s">
        <v>289</v>
      </c>
      <c r="D13" s="371"/>
      <c r="E13" s="373"/>
      <c r="F13" s="376"/>
      <c r="G13" s="376"/>
      <c r="H13" s="371" t="s">
        <v>304</v>
      </c>
      <c r="I13" s="371" t="s">
        <v>299</v>
      </c>
      <c r="J13" s="371" t="s">
        <v>305</v>
      </c>
      <c r="K13" s="371"/>
      <c r="L13" s="371"/>
      <c r="M13" s="371"/>
      <c r="N13" s="371"/>
      <c r="O13" s="371"/>
      <c r="P13" s="371"/>
      <c r="Q13" s="371"/>
      <c r="R13" s="371"/>
      <c r="S13" s="371"/>
      <c r="T13" s="371"/>
      <c r="U13" s="371"/>
      <c r="V13" s="375"/>
    </row>
    <row r="14" spans="1:22" x14ac:dyDescent="0.25">
      <c r="A14" s="377"/>
      <c r="B14" s="378"/>
      <c r="C14" s="379"/>
      <c r="D14" s="377"/>
      <c r="E14" s="380"/>
      <c r="F14" s="379"/>
      <c r="G14" s="379"/>
      <c r="H14" s="377"/>
      <c r="I14" s="377"/>
      <c r="J14" s="377"/>
      <c r="K14" s="377"/>
      <c r="L14" s="377"/>
      <c r="M14" s="377"/>
      <c r="N14" s="377"/>
      <c r="O14" s="377"/>
      <c r="P14" s="377"/>
      <c r="Q14" s="377"/>
      <c r="R14" s="377"/>
      <c r="S14" s="377"/>
      <c r="T14" s="377"/>
      <c r="U14" s="377"/>
      <c r="V14" s="381"/>
    </row>
  </sheetData>
  <sheetProtection selectLockedCells="1"/>
  <mergeCells count="2">
    <mergeCell ref="D7:G7"/>
    <mergeCell ref="H7:V7"/>
  </mergeCells>
  <conditionalFormatting sqref="D9:G14">
    <cfRule type="expression" dxfId="1831" priority="3" stopIfTrue="1">
      <formula>NOT(ISNUMBER(SEARCH("s",$B9)))</formula>
    </cfRule>
    <cfRule type="expression" dxfId="1830" priority="4">
      <formula>ISNUMBER(SEARCH("s",$B9))</formula>
    </cfRule>
  </conditionalFormatting>
  <conditionalFormatting sqref="H9:V14">
    <cfRule type="expression" dxfId="1829" priority="1" stopIfTrue="1">
      <formula>NOT(ISNUMBER(SEARCH("m",$B9)))</formula>
    </cfRule>
    <cfRule type="expression" dxfId="1828" priority="2">
      <formula>ISNUMBER(SEARCH("m",$B9))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tabSelected="1" workbookViewId="0">
      <selection activeCell="F24" sqref="F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W200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RowHeight="15" x14ac:dyDescent="0.25"/>
  <cols>
    <col min="1" max="1" width="9.140625" style="2"/>
    <col min="2" max="2" width="13.5703125" style="221" customWidth="1"/>
    <col min="3" max="3" width="47.7109375" style="221" customWidth="1"/>
    <col min="4" max="4" width="9.140625" style="221"/>
    <col min="5" max="6" width="9.140625" style="2"/>
    <col min="7" max="7" width="15.7109375" style="121" customWidth="1"/>
    <col min="8" max="8" width="17.28515625" style="121" customWidth="1"/>
    <col min="9" max="23" width="9.140625" style="2"/>
  </cols>
  <sheetData>
    <row r="2" spans="2:10" ht="60" x14ac:dyDescent="0.25">
      <c r="B2" s="400" t="s">
        <v>151</v>
      </c>
      <c r="C2" s="400"/>
      <c r="G2" s="116" t="s">
        <v>149</v>
      </c>
      <c r="H2" s="116" t="s">
        <v>150</v>
      </c>
    </row>
    <row r="3" spans="2:10" ht="15.75" thickBot="1" x14ac:dyDescent="0.3">
      <c r="F3" s="2" t="s">
        <v>87</v>
      </c>
      <c r="G3" s="117"/>
      <c r="H3" s="117"/>
    </row>
    <row r="4" spans="2:10" ht="30" x14ac:dyDescent="0.25">
      <c r="B4" s="122" t="s">
        <v>5</v>
      </c>
      <c r="C4" s="122" t="s">
        <v>6</v>
      </c>
      <c r="D4" s="123" t="s">
        <v>152</v>
      </c>
      <c r="G4" s="118">
        <f>COUNTA(G6:G2000)-COUNTIF(G6:G2000,"=0")</f>
        <v>0</v>
      </c>
      <c r="H4" s="118">
        <f>COUNTA(H6:H2000)-COUNTIF(H6:H2000,"=0")</f>
        <v>0</v>
      </c>
      <c r="J4" s="125"/>
    </row>
    <row r="5" spans="2:10" ht="15.75" thickBot="1" x14ac:dyDescent="0.3">
      <c r="B5" s="124"/>
      <c r="C5" s="124"/>
      <c r="D5" s="124"/>
      <c r="G5" s="119"/>
      <c r="H5" s="119"/>
      <c r="J5" s="125"/>
    </row>
    <row r="6" spans="2:10" x14ac:dyDescent="0.25">
      <c r="B6" s="115" t="s">
        <v>235</v>
      </c>
      <c r="C6" s="242" t="s">
        <v>247</v>
      </c>
      <c r="D6" s="114" t="s">
        <v>260</v>
      </c>
      <c r="G6" s="120">
        <f>IF(ISERROR(MATCH(B6,MASTER!$B:$B,0)),B6,0)</f>
        <v>0</v>
      </c>
      <c r="H6" s="120">
        <f>IF(ISERROR(MATCH(MASTER!B11,'Peoplesoft Classlist'!$B:$B,0)),MASTER!B11,0)</f>
        <v>0</v>
      </c>
      <c r="J6" s="125"/>
    </row>
    <row r="7" spans="2:10" x14ac:dyDescent="0.25">
      <c r="B7" s="115" t="s">
        <v>236</v>
      </c>
      <c r="C7" s="242" t="s">
        <v>248</v>
      </c>
      <c r="D7" s="114" t="s">
        <v>261</v>
      </c>
      <c r="G7" s="120">
        <f>IF(ISERROR(MATCH(B7,MASTER!$B:$B,0)),B7,0)</f>
        <v>0</v>
      </c>
      <c r="H7" s="120">
        <f>IF(ISERROR(MATCH(MASTER!B12,'Peoplesoft Classlist'!$B:$B,0)),MASTER!B12,0)</f>
        <v>0</v>
      </c>
      <c r="J7" s="125"/>
    </row>
    <row r="8" spans="2:10" x14ac:dyDescent="0.25">
      <c r="B8" s="115" t="s">
        <v>237</v>
      </c>
      <c r="C8" s="242" t="s">
        <v>249</v>
      </c>
      <c r="D8" s="114" t="s">
        <v>262</v>
      </c>
      <c r="G8" s="120">
        <f>IF(ISERROR(MATCH(B8,MASTER!$B:$B,0)),B8,0)</f>
        <v>0</v>
      </c>
      <c r="H8" s="120">
        <f>IF(ISERROR(MATCH(MASTER!B13,'Peoplesoft Classlist'!$B:$B,0)),MASTER!B13,0)</f>
        <v>0</v>
      </c>
    </row>
    <row r="9" spans="2:10" x14ac:dyDescent="0.25">
      <c r="B9" s="115" t="s">
        <v>238</v>
      </c>
      <c r="C9" s="242" t="s">
        <v>250</v>
      </c>
      <c r="D9" s="114" t="s">
        <v>263</v>
      </c>
      <c r="G9" s="120">
        <f>IF(ISERROR(MATCH(B9,MASTER!$B:$B,0)),B9,0)</f>
        <v>0</v>
      </c>
      <c r="H9" s="120">
        <f>IF(ISERROR(MATCH(MASTER!B14,'Peoplesoft Classlist'!$B:$B,0)),MASTER!B14,0)</f>
        <v>0</v>
      </c>
    </row>
    <row r="10" spans="2:10" x14ac:dyDescent="0.25">
      <c r="B10" s="115" t="s">
        <v>239</v>
      </c>
      <c r="C10" s="114" t="s">
        <v>245</v>
      </c>
      <c r="D10" s="114" t="s">
        <v>264</v>
      </c>
      <c r="G10" s="120">
        <f>IF(ISERROR(MATCH(B10,MASTER!$B:$B,0)),B10,0)</f>
        <v>0</v>
      </c>
      <c r="H10" s="120">
        <f>IF(ISERROR(MATCH(MASTER!B15,'Peoplesoft Classlist'!$B:$B,0)),MASTER!B15,0)</f>
        <v>0</v>
      </c>
    </row>
    <row r="11" spans="2:10" x14ac:dyDescent="0.25">
      <c r="B11" s="115" t="s">
        <v>240</v>
      </c>
      <c r="C11" s="114" t="s">
        <v>246</v>
      </c>
      <c r="D11" s="114" t="s">
        <v>265</v>
      </c>
      <c r="G11" s="120">
        <f>IF(ISERROR(MATCH(B11,MASTER!$B:$B,0)),B11,0)</f>
        <v>0</v>
      </c>
      <c r="H11" s="120">
        <f>IF(ISERROR(MATCH(MASTER!B16,'Peoplesoft Classlist'!$B:$B,0)),MASTER!B16,0)</f>
        <v>0</v>
      </c>
    </row>
    <row r="12" spans="2:10" x14ac:dyDescent="0.25">
      <c r="B12" s="115" t="s">
        <v>241</v>
      </c>
      <c r="C12" s="114" t="s">
        <v>91</v>
      </c>
      <c r="D12" s="114" t="s">
        <v>266</v>
      </c>
      <c r="G12" s="120">
        <f>IF(ISERROR(MATCH(B12,MASTER!$B:$B,0)),B12,0)</f>
        <v>0</v>
      </c>
      <c r="H12" s="120">
        <f>IF(ISERROR(MATCH(MASTER!B17,'Peoplesoft Classlist'!$B:$B,0)),MASTER!B17,0)</f>
        <v>0</v>
      </c>
    </row>
    <row r="13" spans="2:10" x14ac:dyDescent="0.25">
      <c r="B13" s="115" t="s">
        <v>242</v>
      </c>
      <c r="C13" s="114" t="s">
        <v>94</v>
      </c>
      <c r="D13" s="114" t="s">
        <v>267</v>
      </c>
      <c r="G13" s="120">
        <f>IF(ISERROR(MATCH(B13,MASTER!$B:$B,0)),B13,0)</f>
        <v>0</v>
      </c>
      <c r="H13" s="120">
        <f>IF(ISERROR(MATCH(MASTER!B18,'Peoplesoft Classlist'!$B:$B,0)),MASTER!B18,0)</f>
        <v>0</v>
      </c>
    </row>
    <row r="14" spans="2:10" x14ac:dyDescent="0.25">
      <c r="B14" s="115" t="s">
        <v>243</v>
      </c>
      <c r="C14" s="114" t="s">
        <v>172</v>
      </c>
      <c r="D14" s="114" t="s">
        <v>268</v>
      </c>
      <c r="G14" s="120">
        <f>IF(ISERROR(MATCH(B14,MASTER!$B:$B,0)),B14,0)</f>
        <v>0</v>
      </c>
      <c r="H14" s="120">
        <f>IF(ISERROR(MATCH(MASTER!B19,'Peoplesoft Classlist'!$B:$B,0)),MASTER!B19,0)</f>
        <v>0</v>
      </c>
    </row>
    <row r="15" spans="2:10" x14ac:dyDescent="0.25">
      <c r="B15" s="115" t="s">
        <v>244</v>
      </c>
      <c r="C15" s="114" t="s">
        <v>92</v>
      </c>
      <c r="D15" s="114" t="s">
        <v>269</v>
      </c>
      <c r="G15" s="120">
        <f>IF(ISERROR(MATCH(B15,MASTER!$B:$B,0)),B15,0)</f>
        <v>0</v>
      </c>
      <c r="H15" s="120">
        <f>IF(ISERROR(MATCH(MASTER!B20,'Peoplesoft Classlist'!$B:$B,0)),MASTER!B20,0)</f>
        <v>0</v>
      </c>
    </row>
    <row r="16" spans="2:10" x14ac:dyDescent="0.25">
      <c r="B16" s="115"/>
      <c r="C16" s="114"/>
      <c r="D16" s="114"/>
      <c r="G16" s="120">
        <f>IF(ISERROR(MATCH(B16,MASTER!$B:$B,0)),B16,0)</f>
        <v>0</v>
      </c>
      <c r="H16" s="120">
        <f>IF(ISERROR(MATCH(MASTER!B21,'Peoplesoft Classlist'!$B:$B,0)),MASTER!B21,0)</f>
        <v>0</v>
      </c>
    </row>
    <row r="17" spans="2:8" x14ac:dyDescent="0.25">
      <c r="B17" s="115"/>
      <c r="C17" s="114"/>
      <c r="D17" s="114"/>
      <c r="G17" s="120">
        <f>IF(ISERROR(MATCH(B17,MASTER!$B:$B,0)),B17,0)</f>
        <v>0</v>
      </c>
      <c r="H17" s="120">
        <f>IF(ISERROR(MATCH(MASTER!B22,'Peoplesoft Classlist'!$B:$B,0)),MASTER!B22,0)</f>
        <v>0</v>
      </c>
    </row>
    <row r="18" spans="2:8" x14ac:dyDescent="0.25">
      <c r="B18" s="115"/>
      <c r="C18" s="114"/>
      <c r="D18" s="114"/>
      <c r="G18" s="120">
        <f>IF(ISERROR(MATCH(B18,MASTER!$B:$B,0)),B18,0)</f>
        <v>0</v>
      </c>
      <c r="H18" s="120">
        <f>IF(ISERROR(MATCH(MASTER!B23,'Peoplesoft Classlist'!$B:$B,0)),MASTER!B23,0)</f>
        <v>0</v>
      </c>
    </row>
    <row r="19" spans="2:8" x14ac:dyDescent="0.25">
      <c r="B19" s="115"/>
      <c r="C19" s="114"/>
      <c r="D19" s="114"/>
      <c r="G19" s="120">
        <f>IF(ISERROR(MATCH(B19,MASTER!$B:$B,0)),B19,0)</f>
        <v>0</v>
      </c>
      <c r="H19" s="120">
        <f>IF(ISERROR(MATCH(MASTER!B24,'Peoplesoft Classlist'!$B:$B,0)),MASTER!B24,0)</f>
        <v>0</v>
      </c>
    </row>
    <row r="20" spans="2:8" x14ac:dyDescent="0.25">
      <c r="B20" s="115"/>
      <c r="C20" s="114"/>
      <c r="D20" s="114"/>
      <c r="G20" s="120">
        <f>IF(ISERROR(MATCH(B20,MASTER!$B:$B,0)),B20,0)</f>
        <v>0</v>
      </c>
      <c r="H20" s="120">
        <f>IF(ISERROR(MATCH(MASTER!B25,'Peoplesoft Classlist'!$B:$B,0)),MASTER!B25,0)</f>
        <v>0</v>
      </c>
    </row>
    <row r="21" spans="2:8" x14ac:dyDescent="0.25">
      <c r="B21" s="115"/>
      <c r="C21" s="114"/>
      <c r="D21" s="114"/>
      <c r="G21" s="120">
        <f>IF(ISERROR(MATCH(B21,MASTER!$B:$B,0)),B21,0)</f>
        <v>0</v>
      </c>
      <c r="H21" s="120">
        <f>IF(ISERROR(MATCH(MASTER!B26,'Peoplesoft Classlist'!$B:$B,0)),MASTER!B26,0)</f>
        <v>0</v>
      </c>
    </row>
    <row r="22" spans="2:8" x14ac:dyDescent="0.25">
      <c r="B22" s="115"/>
      <c r="C22" s="114"/>
      <c r="D22" s="114"/>
      <c r="G22" s="120">
        <f>IF(ISERROR(MATCH(B22,MASTER!$B:$B,0)),B22,0)</f>
        <v>0</v>
      </c>
      <c r="H22" s="120">
        <f>IF(ISERROR(MATCH(MASTER!B27,'Peoplesoft Classlist'!$B:$B,0)),MASTER!B27,0)</f>
        <v>0</v>
      </c>
    </row>
    <row r="23" spans="2:8" x14ac:dyDescent="0.25">
      <c r="B23" s="115"/>
      <c r="C23" s="114"/>
      <c r="D23" s="114"/>
      <c r="G23" s="120">
        <f>IF(ISERROR(MATCH(B23,MASTER!$B:$B,0)),B23,0)</f>
        <v>0</v>
      </c>
      <c r="H23" s="120">
        <f>IF(ISERROR(MATCH(MASTER!B28,'Peoplesoft Classlist'!$B:$B,0)),MASTER!B28,0)</f>
        <v>0</v>
      </c>
    </row>
    <row r="24" spans="2:8" x14ac:dyDescent="0.25">
      <c r="B24" s="115"/>
      <c r="C24" s="114"/>
      <c r="D24" s="114"/>
      <c r="G24" s="120">
        <f>IF(ISERROR(MATCH(B24,MASTER!$B:$B,0)),B24,0)</f>
        <v>0</v>
      </c>
      <c r="H24" s="120">
        <f>IF(ISERROR(MATCH(MASTER!B29,'Peoplesoft Classlist'!$B:$B,0)),MASTER!B29,0)</f>
        <v>0</v>
      </c>
    </row>
    <row r="25" spans="2:8" x14ac:dyDescent="0.25">
      <c r="B25" s="115"/>
      <c r="C25" s="114"/>
      <c r="D25" s="114"/>
      <c r="G25" s="120">
        <f>IF(ISERROR(MATCH(B25,MASTER!$B:$B,0)),B25,0)</f>
        <v>0</v>
      </c>
      <c r="H25" s="120">
        <f>IF(ISERROR(MATCH(MASTER!B30,'Peoplesoft Classlist'!$B:$B,0)),MASTER!B30,0)</f>
        <v>0</v>
      </c>
    </row>
    <row r="26" spans="2:8" x14ac:dyDescent="0.25">
      <c r="B26" s="115"/>
      <c r="C26" s="114"/>
      <c r="D26" s="114"/>
      <c r="G26" s="120">
        <f>IF(ISERROR(MATCH(B26,MASTER!$B:$B,0)),B26,0)</f>
        <v>0</v>
      </c>
      <c r="H26" s="120">
        <f>IF(ISERROR(MATCH(MASTER!B31,'Peoplesoft Classlist'!$B:$B,0)),MASTER!B31,0)</f>
        <v>0</v>
      </c>
    </row>
    <row r="27" spans="2:8" x14ac:dyDescent="0.25">
      <c r="B27" s="115"/>
      <c r="C27" s="114"/>
      <c r="D27" s="114"/>
      <c r="G27" s="120">
        <f>IF(ISERROR(MATCH(B27,MASTER!$B:$B,0)),B27,0)</f>
        <v>0</v>
      </c>
      <c r="H27" s="120">
        <f>IF(ISERROR(MATCH(MASTER!B32,'Peoplesoft Classlist'!$B:$B,0)),MASTER!B32,0)</f>
        <v>0</v>
      </c>
    </row>
    <row r="28" spans="2:8" x14ac:dyDescent="0.25">
      <c r="B28" s="115"/>
      <c r="C28" s="114"/>
      <c r="D28" s="114"/>
      <c r="G28" s="120">
        <f>IF(ISERROR(MATCH(B28,MASTER!$B:$B,0)),B28,0)</f>
        <v>0</v>
      </c>
      <c r="H28" s="120">
        <f>IF(ISERROR(MATCH(MASTER!B33,'Peoplesoft Classlist'!$B:$B,0)),MASTER!B33,0)</f>
        <v>0</v>
      </c>
    </row>
    <row r="29" spans="2:8" x14ac:dyDescent="0.25">
      <c r="B29" s="115"/>
      <c r="C29" s="114"/>
      <c r="D29" s="114"/>
      <c r="G29" s="120">
        <f>IF(ISERROR(MATCH(B29,MASTER!$B:$B,0)),B29,0)</f>
        <v>0</v>
      </c>
      <c r="H29" s="120">
        <f>IF(ISERROR(MATCH(MASTER!B34,'Peoplesoft Classlist'!$B:$B,0)),MASTER!B34,0)</f>
        <v>0</v>
      </c>
    </row>
    <row r="30" spans="2:8" x14ac:dyDescent="0.25">
      <c r="B30" s="115"/>
      <c r="C30" s="114"/>
      <c r="D30" s="114"/>
      <c r="G30" s="120">
        <f>IF(ISERROR(MATCH(B30,MASTER!$B:$B,0)),B30,0)</f>
        <v>0</v>
      </c>
      <c r="H30" s="120">
        <f>IF(ISERROR(MATCH(MASTER!B35,'Peoplesoft Classlist'!$B:$B,0)),MASTER!B35,0)</f>
        <v>0</v>
      </c>
    </row>
    <row r="31" spans="2:8" x14ac:dyDescent="0.25">
      <c r="B31" s="115"/>
      <c r="C31" s="114"/>
      <c r="D31" s="114"/>
      <c r="G31" s="120">
        <f>IF(ISERROR(MATCH(B31,MASTER!$B:$B,0)),B31,0)</f>
        <v>0</v>
      </c>
      <c r="H31" s="120">
        <f>IF(ISERROR(MATCH(MASTER!B36,'Peoplesoft Classlist'!$B:$B,0)),MASTER!B36,0)</f>
        <v>0</v>
      </c>
    </row>
    <row r="32" spans="2:8" x14ac:dyDescent="0.25">
      <c r="B32" s="115"/>
      <c r="C32" s="114"/>
      <c r="D32" s="114"/>
      <c r="G32" s="120">
        <f>IF(ISERROR(MATCH(B32,MASTER!$B:$B,0)),B32,0)</f>
        <v>0</v>
      </c>
      <c r="H32" s="120">
        <f>IF(ISERROR(MATCH(MASTER!B37,'Peoplesoft Classlist'!$B:$B,0)),MASTER!B37,0)</f>
        <v>0</v>
      </c>
    </row>
    <row r="33" spans="2:8" x14ac:dyDescent="0.25">
      <c r="B33" s="115"/>
      <c r="C33" s="114"/>
      <c r="D33" s="114"/>
      <c r="G33" s="120">
        <f>IF(ISERROR(MATCH(B33,MASTER!$B:$B,0)),B33,0)</f>
        <v>0</v>
      </c>
      <c r="H33" s="120">
        <f>IF(ISERROR(MATCH(MASTER!B38,'Peoplesoft Classlist'!$B:$B,0)),MASTER!B38,0)</f>
        <v>0</v>
      </c>
    </row>
    <row r="34" spans="2:8" x14ac:dyDescent="0.25">
      <c r="B34" s="115"/>
      <c r="C34" s="114"/>
      <c r="D34" s="114"/>
      <c r="G34" s="120">
        <f>IF(ISERROR(MATCH(B34,MASTER!$B:$B,0)),B34,0)</f>
        <v>0</v>
      </c>
      <c r="H34" s="120">
        <f>IF(ISERROR(MATCH(MASTER!B39,'Peoplesoft Classlist'!$B:$B,0)),MASTER!B39,0)</f>
        <v>0</v>
      </c>
    </row>
    <row r="35" spans="2:8" x14ac:dyDescent="0.25">
      <c r="B35" s="115"/>
      <c r="C35" s="114"/>
      <c r="D35" s="114"/>
      <c r="G35" s="120">
        <f>IF(ISERROR(MATCH(B35,MASTER!$B:$B,0)),B35,0)</f>
        <v>0</v>
      </c>
      <c r="H35" s="120">
        <f>IF(ISERROR(MATCH(MASTER!B40,'Peoplesoft Classlist'!$B:$B,0)),MASTER!B40,0)</f>
        <v>0</v>
      </c>
    </row>
    <row r="36" spans="2:8" x14ac:dyDescent="0.25">
      <c r="B36" s="115"/>
      <c r="C36" s="114"/>
      <c r="D36" s="114"/>
      <c r="G36" s="120">
        <f>IF(ISERROR(MATCH(B36,MASTER!$B:$B,0)),B36,0)</f>
        <v>0</v>
      </c>
      <c r="H36" s="120">
        <f>IF(ISERROR(MATCH(MASTER!B41,'Peoplesoft Classlist'!$B:$B,0)),MASTER!B41,0)</f>
        <v>0</v>
      </c>
    </row>
    <row r="37" spans="2:8" x14ac:dyDescent="0.25">
      <c r="B37" s="115"/>
      <c r="C37" s="114"/>
      <c r="D37" s="114"/>
      <c r="G37" s="120">
        <f>IF(ISERROR(MATCH(B37,MASTER!$B:$B,0)),B37,0)</f>
        <v>0</v>
      </c>
      <c r="H37" s="120">
        <f>IF(ISERROR(MATCH(MASTER!B42,'Peoplesoft Classlist'!$B:$B,0)),MASTER!B42,0)</f>
        <v>0</v>
      </c>
    </row>
    <row r="38" spans="2:8" x14ac:dyDescent="0.25">
      <c r="B38" s="115"/>
      <c r="C38" s="114"/>
      <c r="D38" s="114"/>
      <c r="G38" s="120">
        <f>IF(ISERROR(MATCH(B38,MASTER!$B:$B,0)),B38,0)</f>
        <v>0</v>
      </c>
      <c r="H38" s="120">
        <f>IF(ISERROR(MATCH(MASTER!B43,'Peoplesoft Classlist'!$B:$B,0)),MASTER!B43,0)</f>
        <v>0</v>
      </c>
    </row>
    <row r="39" spans="2:8" x14ac:dyDescent="0.25">
      <c r="B39" s="115"/>
      <c r="C39" s="114"/>
      <c r="D39" s="114"/>
      <c r="G39" s="120">
        <f>IF(ISERROR(MATCH(B39,MASTER!$B:$B,0)),B39,0)</f>
        <v>0</v>
      </c>
      <c r="H39" s="120">
        <f>IF(ISERROR(MATCH(MASTER!B44,'Peoplesoft Classlist'!$B:$B,0)),MASTER!B44,0)</f>
        <v>0</v>
      </c>
    </row>
    <row r="40" spans="2:8" x14ac:dyDescent="0.25">
      <c r="B40" s="115"/>
      <c r="C40" s="114"/>
      <c r="D40" s="114"/>
      <c r="G40" s="120">
        <f>IF(ISERROR(MATCH(B40,MASTER!$B:$B,0)),B40,0)</f>
        <v>0</v>
      </c>
      <c r="H40" s="120">
        <f>IF(ISERROR(MATCH(MASTER!B45,'Peoplesoft Classlist'!$B:$B,0)),MASTER!B45,0)</f>
        <v>0</v>
      </c>
    </row>
    <row r="41" spans="2:8" x14ac:dyDescent="0.25">
      <c r="B41" s="115"/>
      <c r="C41" s="114"/>
      <c r="D41" s="114"/>
      <c r="G41" s="120">
        <f>IF(ISERROR(MATCH(B41,MASTER!$B:$B,0)),B41,0)</f>
        <v>0</v>
      </c>
      <c r="H41" s="120">
        <f>IF(ISERROR(MATCH(MASTER!B46,'Peoplesoft Classlist'!$B:$B,0)),MASTER!B46,0)</f>
        <v>0</v>
      </c>
    </row>
    <row r="42" spans="2:8" x14ac:dyDescent="0.25">
      <c r="B42" s="115"/>
      <c r="C42" s="114"/>
      <c r="D42" s="114"/>
      <c r="G42" s="120">
        <f>IF(ISERROR(MATCH(B42,MASTER!$B:$B,0)),B42,0)</f>
        <v>0</v>
      </c>
      <c r="H42" s="120">
        <f>IF(ISERROR(MATCH(MASTER!B47,'Peoplesoft Classlist'!$B:$B,0)),MASTER!B47,0)</f>
        <v>0</v>
      </c>
    </row>
    <row r="43" spans="2:8" x14ac:dyDescent="0.25">
      <c r="B43" s="115"/>
      <c r="C43" s="114"/>
      <c r="D43" s="114"/>
      <c r="G43" s="120">
        <f>IF(ISERROR(MATCH(B43,MASTER!$B:$B,0)),B43,0)</f>
        <v>0</v>
      </c>
      <c r="H43" s="120">
        <f>IF(ISERROR(MATCH(MASTER!B48,'Peoplesoft Classlist'!$B:$B,0)),MASTER!B48,0)</f>
        <v>0</v>
      </c>
    </row>
    <row r="44" spans="2:8" x14ac:dyDescent="0.25">
      <c r="B44" s="115"/>
      <c r="C44" s="114"/>
      <c r="D44" s="114"/>
      <c r="G44" s="120">
        <f>IF(ISERROR(MATCH(B44,MASTER!$B:$B,0)),B44,0)</f>
        <v>0</v>
      </c>
      <c r="H44" s="120">
        <f>IF(ISERROR(MATCH(MASTER!B49,'Peoplesoft Classlist'!$B:$B,0)),MASTER!B49,0)</f>
        <v>0</v>
      </c>
    </row>
    <row r="45" spans="2:8" x14ac:dyDescent="0.25">
      <c r="B45" s="115"/>
      <c r="C45" s="114"/>
      <c r="D45" s="114"/>
      <c r="G45" s="120">
        <f>IF(ISERROR(MATCH(B45,MASTER!$B:$B,0)),B45,0)</f>
        <v>0</v>
      </c>
      <c r="H45" s="120">
        <f>IF(ISERROR(MATCH(MASTER!B50,'Peoplesoft Classlist'!$B:$B,0)),MASTER!B50,0)</f>
        <v>0</v>
      </c>
    </row>
    <row r="46" spans="2:8" x14ac:dyDescent="0.25">
      <c r="B46" s="115"/>
      <c r="C46" s="114"/>
      <c r="D46" s="114"/>
      <c r="G46" s="120">
        <f>IF(ISERROR(MATCH(B46,MASTER!$B:$B,0)),B46,0)</f>
        <v>0</v>
      </c>
      <c r="H46" s="120">
        <f>IF(ISERROR(MATCH(MASTER!B51,'Peoplesoft Classlist'!$B:$B,0)),MASTER!B51,0)</f>
        <v>0</v>
      </c>
    </row>
    <row r="47" spans="2:8" x14ac:dyDescent="0.25">
      <c r="B47" s="115"/>
      <c r="C47" s="114"/>
      <c r="D47" s="114"/>
      <c r="G47" s="120">
        <f>IF(ISERROR(MATCH(B47,MASTER!$B:$B,0)),B47,0)</f>
        <v>0</v>
      </c>
      <c r="H47" s="120">
        <f>IF(ISERROR(MATCH(MASTER!B52,'Peoplesoft Classlist'!$B:$B,0)),MASTER!B52,0)</f>
        <v>0</v>
      </c>
    </row>
    <row r="48" spans="2:8" x14ac:dyDescent="0.25">
      <c r="B48" s="115"/>
      <c r="C48" s="114"/>
      <c r="D48" s="114"/>
      <c r="G48" s="120">
        <f>IF(ISERROR(MATCH(B48,MASTER!$B:$B,0)),B48,0)</f>
        <v>0</v>
      </c>
      <c r="H48" s="120">
        <f>IF(ISERROR(MATCH(MASTER!B53,'Peoplesoft Classlist'!$B:$B,0)),MASTER!B53,0)</f>
        <v>0</v>
      </c>
    </row>
    <row r="49" spans="2:8" x14ac:dyDescent="0.25">
      <c r="B49" s="115"/>
      <c r="C49" s="114"/>
      <c r="D49" s="114"/>
      <c r="G49" s="120">
        <f>IF(ISERROR(MATCH(B49,MASTER!$B:$B,0)),B49,0)</f>
        <v>0</v>
      </c>
      <c r="H49" s="120">
        <f>IF(ISERROR(MATCH(MASTER!B54,'Peoplesoft Classlist'!$B:$B,0)),MASTER!B54,0)</f>
        <v>0</v>
      </c>
    </row>
    <row r="50" spans="2:8" x14ac:dyDescent="0.25">
      <c r="B50" s="115"/>
      <c r="C50" s="114"/>
      <c r="D50" s="114"/>
      <c r="G50" s="120">
        <f>IF(ISERROR(MATCH(B50,MASTER!$B:$B,0)),B50,0)</f>
        <v>0</v>
      </c>
      <c r="H50" s="120">
        <f>IF(ISERROR(MATCH(MASTER!B55,'Peoplesoft Classlist'!$B:$B,0)),MASTER!B55,0)</f>
        <v>0</v>
      </c>
    </row>
    <row r="51" spans="2:8" x14ac:dyDescent="0.25">
      <c r="B51" s="115"/>
      <c r="C51" s="114"/>
      <c r="D51" s="114"/>
      <c r="G51" s="120">
        <f>IF(ISERROR(MATCH(B51,MASTER!$B:$B,0)),B51,0)</f>
        <v>0</v>
      </c>
      <c r="H51" s="120">
        <f>IF(ISERROR(MATCH(MASTER!B56,'Peoplesoft Classlist'!$B:$B,0)),MASTER!B56,0)</f>
        <v>0</v>
      </c>
    </row>
    <row r="52" spans="2:8" x14ac:dyDescent="0.25">
      <c r="B52" s="115"/>
      <c r="C52" s="114"/>
      <c r="D52" s="114"/>
      <c r="G52" s="120">
        <f>IF(ISERROR(MATCH(B52,MASTER!$B:$B,0)),B52,0)</f>
        <v>0</v>
      </c>
      <c r="H52" s="120">
        <f>IF(ISERROR(MATCH(MASTER!B57,'Peoplesoft Classlist'!$B:$B,0)),MASTER!B57,0)</f>
        <v>0</v>
      </c>
    </row>
    <row r="53" spans="2:8" x14ac:dyDescent="0.25">
      <c r="B53" s="115"/>
      <c r="C53" s="114"/>
      <c r="D53" s="114"/>
      <c r="G53" s="120">
        <f>IF(ISERROR(MATCH(B53,MASTER!$B:$B,0)),B53,0)</f>
        <v>0</v>
      </c>
      <c r="H53" s="120">
        <f>IF(ISERROR(MATCH(MASTER!B58,'Peoplesoft Classlist'!$B:$B,0)),MASTER!B58,0)</f>
        <v>0</v>
      </c>
    </row>
    <row r="54" spans="2:8" x14ac:dyDescent="0.25">
      <c r="B54" s="115"/>
      <c r="C54" s="114"/>
      <c r="D54" s="114"/>
      <c r="G54" s="120">
        <f>IF(ISERROR(MATCH(B54,MASTER!$B:$B,0)),B54,0)</f>
        <v>0</v>
      </c>
      <c r="H54" s="120">
        <f>IF(ISERROR(MATCH(MASTER!B59,'Peoplesoft Classlist'!$B:$B,0)),MASTER!B59,0)</f>
        <v>0</v>
      </c>
    </row>
    <row r="55" spans="2:8" x14ac:dyDescent="0.25">
      <c r="B55" s="115"/>
      <c r="C55" s="114"/>
      <c r="D55" s="114"/>
      <c r="G55" s="120">
        <f>IF(ISERROR(MATCH(B55,MASTER!$B:$B,0)),B55,0)</f>
        <v>0</v>
      </c>
      <c r="H55" s="120">
        <f>IF(ISERROR(MATCH(MASTER!B60,'Peoplesoft Classlist'!$B:$B,0)),MASTER!B60,0)</f>
        <v>0</v>
      </c>
    </row>
    <row r="56" spans="2:8" x14ac:dyDescent="0.25">
      <c r="B56" s="115"/>
      <c r="C56" s="114"/>
      <c r="D56" s="114"/>
      <c r="G56" s="120">
        <f>IF(ISERROR(MATCH(B56,MASTER!$B:$B,0)),B56,0)</f>
        <v>0</v>
      </c>
      <c r="H56" s="120">
        <f>IF(ISERROR(MATCH(MASTER!B61,'Peoplesoft Classlist'!$B:$B,0)),MASTER!B61,0)</f>
        <v>0</v>
      </c>
    </row>
    <row r="57" spans="2:8" x14ac:dyDescent="0.25">
      <c r="B57" s="115"/>
      <c r="C57" s="114"/>
      <c r="D57" s="114"/>
      <c r="G57" s="120">
        <f>IF(ISERROR(MATCH(B57,MASTER!$B:$B,0)),B57,0)</f>
        <v>0</v>
      </c>
      <c r="H57" s="120">
        <f>IF(ISERROR(MATCH(MASTER!B62,'Peoplesoft Classlist'!$B:$B,0)),MASTER!B62,0)</f>
        <v>0</v>
      </c>
    </row>
    <row r="58" spans="2:8" x14ac:dyDescent="0.25">
      <c r="B58" s="115"/>
      <c r="C58" s="114"/>
      <c r="D58" s="114"/>
      <c r="G58" s="120">
        <f>IF(ISERROR(MATCH(B58,MASTER!$B:$B,0)),B58,0)</f>
        <v>0</v>
      </c>
      <c r="H58" s="120">
        <f>IF(ISERROR(MATCH(MASTER!B63,'Peoplesoft Classlist'!$B:$B,0)),MASTER!B63,0)</f>
        <v>0</v>
      </c>
    </row>
    <row r="59" spans="2:8" x14ac:dyDescent="0.25">
      <c r="B59" s="115"/>
      <c r="C59" s="114"/>
      <c r="D59" s="114"/>
      <c r="G59" s="120">
        <f>IF(ISERROR(MATCH(B59,MASTER!$B:$B,0)),B59,0)</f>
        <v>0</v>
      </c>
      <c r="H59" s="120">
        <f>IF(ISERROR(MATCH(MASTER!B64,'Peoplesoft Classlist'!$B:$B,0)),MASTER!B64,0)</f>
        <v>0</v>
      </c>
    </row>
    <row r="60" spans="2:8" x14ac:dyDescent="0.25">
      <c r="B60" s="115"/>
      <c r="C60" s="114"/>
      <c r="D60" s="114"/>
      <c r="G60" s="120">
        <f>IF(ISERROR(MATCH(B60,MASTER!$B:$B,0)),B60,0)</f>
        <v>0</v>
      </c>
      <c r="H60" s="120">
        <f>IF(ISERROR(MATCH(MASTER!B65,'Peoplesoft Classlist'!$B:$B,0)),MASTER!B65,0)</f>
        <v>0</v>
      </c>
    </row>
    <row r="61" spans="2:8" x14ac:dyDescent="0.25">
      <c r="B61" s="115"/>
      <c r="C61" s="114"/>
      <c r="D61" s="114"/>
      <c r="G61" s="120">
        <f>IF(ISERROR(MATCH(B61,MASTER!$B:$B,0)),B61,0)</f>
        <v>0</v>
      </c>
      <c r="H61" s="120">
        <f>IF(ISERROR(MATCH(MASTER!B66,'Peoplesoft Classlist'!$B:$B,0)),MASTER!B66,0)</f>
        <v>0</v>
      </c>
    </row>
    <row r="62" spans="2:8" x14ac:dyDescent="0.25">
      <c r="B62" s="115"/>
      <c r="C62" s="114"/>
      <c r="D62" s="114"/>
      <c r="G62" s="120">
        <f>IF(ISERROR(MATCH(B62,MASTER!$B:$B,0)),B62,0)</f>
        <v>0</v>
      </c>
      <c r="H62" s="120">
        <f>IF(ISERROR(MATCH(MASTER!B67,'Peoplesoft Classlist'!$B:$B,0)),MASTER!B67,0)</f>
        <v>0</v>
      </c>
    </row>
    <row r="63" spans="2:8" x14ac:dyDescent="0.25">
      <c r="B63" s="115"/>
      <c r="C63" s="114"/>
      <c r="D63" s="114"/>
      <c r="G63" s="120">
        <f>IF(ISERROR(MATCH(B63,MASTER!$B:$B,0)),B63,0)</f>
        <v>0</v>
      </c>
      <c r="H63" s="120">
        <f>IF(ISERROR(MATCH(MASTER!B68,'Peoplesoft Classlist'!$B:$B,0)),MASTER!B68,0)</f>
        <v>0</v>
      </c>
    </row>
    <row r="64" spans="2:8" x14ac:dyDescent="0.25">
      <c r="B64" s="115"/>
      <c r="C64" s="114"/>
      <c r="D64" s="114"/>
      <c r="G64" s="120">
        <f>IF(ISERROR(MATCH(B64,MASTER!$B:$B,0)),B64,0)</f>
        <v>0</v>
      </c>
      <c r="H64" s="120">
        <f>IF(ISERROR(MATCH(MASTER!B69,'Peoplesoft Classlist'!$B:$B,0)),MASTER!B69,0)</f>
        <v>0</v>
      </c>
    </row>
    <row r="65" spans="2:8" x14ac:dyDescent="0.25">
      <c r="B65" s="115"/>
      <c r="C65" s="114"/>
      <c r="D65" s="114"/>
      <c r="G65" s="120">
        <f>IF(ISERROR(MATCH(B65,MASTER!$B:$B,0)),B65,0)</f>
        <v>0</v>
      </c>
      <c r="H65" s="120">
        <f>IF(ISERROR(MATCH(MASTER!B70,'Peoplesoft Classlist'!$B:$B,0)),MASTER!B70,0)</f>
        <v>0</v>
      </c>
    </row>
    <row r="66" spans="2:8" x14ac:dyDescent="0.25">
      <c r="B66" s="115"/>
      <c r="C66" s="114"/>
      <c r="D66" s="114"/>
      <c r="G66" s="120">
        <f>IF(ISERROR(MATCH(B66,MASTER!$B:$B,0)),B66,0)</f>
        <v>0</v>
      </c>
      <c r="H66" s="120">
        <f>IF(ISERROR(MATCH(MASTER!B71,'Peoplesoft Classlist'!$B:$B,0)),MASTER!B71,0)</f>
        <v>0</v>
      </c>
    </row>
    <row r="67" spans="2:8" x14ac:dyDescent="0.25">
      <c r="B67" s="115"/>
      <c r="C67" s="114"/>
      <c r="D67" s="114"/>
      <c r="G67" s="120">
        <f>IF(ISERROR(MATCH(B67,MASTER!$B:$B,0)),B67,0)</f>
        <v>0</v>
      </c>
      <c r="H67" s="120">
        <f>IF(ISERROR(MATCH(MASTER!B72,'Peoplesoft Classlist'!$B:$B,0)),MASTER!B72,0)</f>
        <v>0</v>
      </c>
    </row>
    <row r="68" spans="2:8" x14ac:dyDescent="0.25">
      <c r="B68" s="115"/>
      <c r="C68" s="114"/>
      <c r="D68" s="114"/>
      <c r="G68" s="120">
        <f>IF(ISERROR(MATCH(B68,MASTER!$B:$B,0)),B68,0)</f>
        <v>0</v>
      </c>
      <c r="H68" s="120">
        <f>IF(ISERROR(MATCH(MASTER!B73,'Peoplesoft Classlist'!$B:$B,0)),MASTER!B73,0)</f>
        <v>0</v>
      </c>
    </row>
    <row r="69" spans="2:8" x14ac:dyDescent="0.25">
      <c r="B69" s="115"/>
      <c r="C69" s="114"/>
      <c r="D69" s="114"/>
      <c r="G69" s="120">
        <f>IF(ISERROR(MATCH(B69,MASTER!$B:$B,0)),B69,0)</f>
        <v>0</v>
      </c>
      <c r="H69" s="120">
        <f>IF(ISERROR(MATCH(MASTER!B74,'Peoplesoft Classlist'!$B:$B,0)),MASTER!B74,0)</f>
        <v>0</v>
      </c>
    </row>
    <row r="70" spans="2:8" x14ac:dyDescent="0.25">
      <c r="B70" s="115"/>
      <c r="C70" s="114"/>
      <c r="D70" s="114"/>
      <c r="G70" s="120">
        <f>IF(ISERROR(MATCH(B70,MASTER!$B:$B,0)),B70,0)</f>
        <v>0</v>
      </c>
      <c r="H70" s="120">
        <f>IF(ISERROR(MATCH(MASTER!B75,'Peoplesoft Classlist'!$B:$B,0)),MASTER!B75,0)</f>
        <v>0</v>
      </c>
    </row>
    <row r="71" spans="2:8" x14ac:dyDescent="0.25">
      <c r="B71" s="115"/>
      <c r="C71" s="114"/>
      <c r="D71" s="114"/>
      <c r="G71" s="120">
        <f>IF(ISERROR(MATCH(B71,MASTER!$B:$B,0)),B71,0)</f>
        <v>0</v>
      </c>
      <c r="H71" s="120">
        <f>IF(ISERROR(MATCH(MASTER!B76,'Peoplesoft Classlist'!$B:$B,0)),MASTER!B76,0)</f>
        <v>0</v>
      </c>
    </row>
    <row r="72" spans="2:8" x14ac:dyDescent="0.25">
      <c r="B72" s="115"/>
      <c r="C72" s="114"/>
      <c r="D72" s="114"/>
      <c r="G72" s="120">
        <f>IF(ISERROR(MATCH(B72,MASTER!$B:$B,0)),B72,0)</f>
        <v>0</v>
      </c>
      <c r="H72" s="120">
        <f>IF(ISERROR(MATCH(MASTER!B77,'Peoplesoft Classlist'!$B:$B,0)),MASTER!B77,0)</f>
        <v>0</v>
      </c>
    </row>
    <row r="73" spans="2:8" x14ac:dyDescent="0.25">
      <c r="B73" s="115"/>
      <c r="C73" s="114"/>
      <c r="D73" s="114"/>
      <c r="G73" s="120">
        <f>IF(ISERROR(MATCH(B73,MASTER!$B:$B,0)),B73,0)</f>
        <v>0</v>
      </c>
      <c r="H73" s="120">
        <f>IF(ISERROR(MATCH(MASTER!B78,'Peoplesoft Classlist'!$B:$B,0)),MASTER!B78,0)</f>
        <v>0</v>
      </c>
    </row>
    <row r="74" spans="2:8" x14ac:dyDescent="0.25">
      <c r="B74" s="115"/>
      <c r="C74" s="114"/>
      <c r="D74" s="114"/>
      <c r="G74" s="120">
        <f>IF(ISERROR(MATCH(B74,MASTER!$B:$B,0)),B74,0)</f>
        <v>0</v>
      </c>
      <c r="H74" s="120">
        <f>IF(ISERROR(MATCH(MASTER!B79,'Peoplesoft Classlist'!$B:$B,0)),MASTER!B79,0)</f>
        <v>0</v>
      </c>
    </row>
    <row r="75" spans="2:8" x14ac:dyDescent="0.25">
      <c r="B75" s="115"/>
      <c r="C75" s="114"/>
      <c r="D75" s="114"/>
      <c r="G75" s="120">
        <f>IF(ISERROR(MATCH(B75,MASTER!$B:$B,0)),B75,0)</f>
        <v>0</v>
      </c>
      <c r="H75" s="120">
        <f>IF(ISERROR(MATCH(MASTER!B80,'Peoplesoft Classlist'!$B:$B,0)),MASTER!B80,0)</f>
        <v>0</v>
      </c>
    </row>
    <row r="76" spans="2:8" x14ac:dyDescent="0.25">
      <c r="B76" s="115"/>
      <c r="C76" s="114"/>
      <c r="D76" s="114"/>
      <c r="G76" s="120">
        <f>IF(ISERROR(MATCH(B76,MASTER!$B:$B,0)),B76,0)</f>
        <v>0</v>
      </c>
      <c r="H76" s="120">
        <f>IF(ISERROR(MATCH(MASTER!B81,'Peoplesoft Classlist'!$B:$B,0)),MASTER!B81,0)</f>
        <v>0</v>
      </c>
    </row>
    <row r="77" spans="2:8" x14ac:dyDescent="0.25">
      <c r="B77" s="115"/>
      <c r="C77" s="114"/>
      <c r="D77" s="114"/>
      <c r="G77" s="120">
        <f>IF(ISERROR(MATCH(B77,MASTER!$B:$B,0)),B77,0)</f>
        <v>0</v>
      </c>
      <c r="H77" s="120">
        <f>IF(ISERROR(MATCH(MASTER!B82,'Peoplesoft Classlist'!$B:$B,0)),MASTER!B82,0)</f>
        <v>0</v>
      </c>
    </row>
    <row r="78" spans="2:8" x14ac:dyDescent="0.25">
      <c r="B78" s="115"/>
      <c r="C78" s="114"/>
      <c r="D78" s="114"/>
      <c r="G78" s="120">
        <f>IF(ISERROR(MATCH(B78,MASTER!$B:$B,0)),B78,0)</f>
        <v>0</v>
      </c>
      <c r="H78" s="120">
        <f>IF(ISERROR(MATCH(MASTER!B83,'Peoplesoft Classlist'!$B:$B,0)),MASTER!B83,0)</f>
        <v>0</v>
      </c>
    </row>
    <row r="79" spans="2:8" x14ac:dyDescent="0.25">
      <c r="B79" s="115"/>
      <c r="C79" s="114"/>
      <c r="D79" s="114"/>
      <c r="G79" s="120">
        <f>IF(ISERROR(MATCH(B79,MASTER!$B:$B,0)),B79,0)</f>
        <v>0</v>
      </c>
      <c r="H79" s="120">
        <f>IF(ISERROR(MATCH(MASTER!B84,'Peoplesoft Classlist'!$B:$B,0)),MASTER!B84,0)</f>
        <v>0</v>
      </c>
    </row>
    <row r="80" spans="2:8" x14ac:dyDescent="0.25">
      <c r="B80" s="115"/>
      <c r="C80" s="114"/>
      <c r="D80" s="114"/>
      <c r="G80" s="120">
        <f>IF(ISERROR(MATCH(B80,MASTER!$B:$B,0)),B80,0)</f>
        <v>0</v>
      </c>
      <c r="H80" s="120">
        <f>IF(ISERROR(MATCH(MASTER!B85,'Peoplesoft Classlist'!$B:$B,0)),MASTER!B85,0)</f>
        <v>0</v>
      </c>
    </row>
    <row r="81" spans="2:8" x14ac:dyDescent="0.25">
      <c r="B81" s="115"/>
      <c r="C81" s="114"/>
      <c r="D81" s="114"/>
      <c r="G81" s="120">
        <f>IF(ISERROR(MATCH(B81,MASTER!$B:$B,0)),B81,0)</f>
        <v>0</v>
      </c>
      <c r="H81" s="120">
        <f>IF(ISERROR(MATCH(MASTER!B86,'Peoplesoft Classlist'!$B:$B,0)),MASTER!B86,0)</f>
        <v>0</v>
      </c>
    </row>
    <row r="82" spans="2:8" x14ac:dyDescent="0.25">
      <c r="B82" s="115"/>
      <c r="C82" s="114"/>
      <c r="D82" s="114"/>
      <c r="G82" s="120">
        <f>IF(ISERROR(MATCH(B82,MASTER!$B:$B,0)),B82,0)</f>
        <v>0</v>
      </c>
      <c r="H82" s="120">
        <f>IF(ISERROR(MATCH(MASTER!B87,'Peoplesoft Classlist'!$B:$B,0)),MASTER!B87,0)</f>
        <v>0</v>
      </c>
    </row>
    <row r="83" spans="2:8" x14ac:dyDescent="0.25">
      <c r="B83" s="115"/>
      <c r="C83" s="114"/>
      <c r="D83" s="114"/>
      <c r="G83" s="120">
        <f>IF(ISERROR(MATCH(B83,MASTER!$B:$B,0)),B83,0)</f>
        <v>0</v>
      </c>
      <c r="H83" s="120">
        <f>IF(ISERROR(MATCH(MASTER!B88,'Peoplesoft Classlist'!$B:$B,0)),MASTER!B88,0)</f>
        <v>0</v>
      </c>
    </row>
    <row r="84" spans="2:8" x14ac:dyDescent="0.25">
      <c r="B84" s="115"/>
      <c r="C84" s="114"/>
      <c r="D84" s="114"/>
      <c r="G84" s="120">
        <f>IF(ISERROR(MATCH(B84,MASTER!$B:$B,0)),B84,0)</f>
        <v>0</v>
      </c>
      <c r="H84" s="120">
        <f>IF(ISERROR(MATCH(MASTER!B89,'Peoplesoft Classlist'!$B:$B,0)),MASTER!B89,0)</f>
        <v>0</v>
      </c>
    </row>
    <row r="85" spans="2:8" x14ac:dyDescent="0.25">
      <c r="B85" s="115"/>
      <c r="C85" s="114"/>
      <c r="D85" s="114"/>
      <c r="G85" s="120">
        <f>IF(ISERROR(MATCH(B85,MASTER!$B:$B,0)),B85,0)</f>
        <v>0</v>
      </c>
      <c r="H85" s="120">
        <f>IF(ISERROR(MATCH(MASTER!B90,'Peoplesoft Classlist'!$B:$B,0)),MASTER!B90,0)</f>
        <v>0</v>
      </c>
    </row>
    <row r="86" spans="2:8" x14ac:dyDescent="0.25">
      <c r="B86" s="115"/>
      <c r="C86" s="114"/>
      <c r="D86" s="114"/>
      <c r="G86" s="120">
        <f>IF(ISERROR(MATCH(B86,MASTER!$B:$B,0)),B86,0)</f>
        <v>0</v>
      </c>
      <c r="H86" s="120">
        <f>IF(ISERROR(MATCH(MASTER!B91,'Peoplesoft Classlist'!$B:$B,0)),MASTER!B91,0)</f>
        <v>0</v>
      </c>
    </row>
    <row r="87" spans="2:8" x14ac:dyDescent="0.25">
      <c r="B87" s="115"/>
      <c r="C87" s="114"/>
      <c r="D87" s="114"/>
      <c r="G87" s="120">
        <f>IF(ISERROR(MATCH(B87,MASTER!$B:$B,0)),B87,0)</f>
        <v>0</v>
      </c>
      <c r="H87" s="120">
        <f>IF(ISERROR(MATCH(MASTER!B92,'Peoplesoft Classlist'!$B:$B,0)),MASTER!B92,0)</f>
        <v>0</v>
      </c>
    </row>
    <row r="88" spans="2:8" x14ac:dyDescent="0.25">
      <c r="B88" s="115"/>
      <c r="C88" s="114"/>
      <c r="D88" s="114"/>
      <c r="G88" s="120">
        <f>IF(ISERROR(MATCH(B88,MASTER!$B:$B,0)),B88,0)</f>
        <v>0</v>
      </c>
      <c r="H88" s="120">
        <f>IF(ISERROR(MATCH(MASTER!B93,'Peoplesoft Classlist'!$B:$B,0)),MASTER!B93,0)</f>
        <v>0</v>
      </c>
    </row>
    <row r="89" spans="2:8" x14ac:dyDescent="0.25">
      <c r="B89" s="115"/>
      <c r="C89" s="114"/>
      <c r="D89" s="114"/>
      <c r="G89" s="120">
        <f>IF(ISERROR(MATCH(B89,MASTER!$B:$B,0)),B89,0)</f>
        <v>0</v>
      </c>
      <c r="H89" s="120">
        <f>IF(ISERROR(MATCH(MASTER!B94,'Peoplesoft Classlist'!$B:$B,0)),MASTER!B94,0)</f>
        <v>0</v>
      </c>
    </row>
    <row r="90" spans="2:8" x14ac:dyDescent="0.25">
      <c r="B90" s="115"/>
      <c r="C90" s="114"/>
      <c r="D90" s="114"/>
      <c r="G90" s="120">
        <f>IF(ISERROR(MATCH(B90,MASTER!$B:$B,0)),B90,0)</f>
        <v>0</v>
      </c>
      <c r="H90" s="120">
        <f>IF(ISERROR(MATCH(MASTER!B95,'Peoplesoft Classlist'!$B:$B,0)),MASTER!B95,0)</f>
        <v>0</v>
      </c>
    </row>
    <row r="91" spans="2:8" x14ac:dyDescent="0.25">
      <c r="B91" s="115"/>
      <c r="C91" s="114"/>
      <c r="D91" s="114"/>
      <c r="G91" s="120">
        <f>IF(ISERROR(MATCH(B91,MASTER!$B:$B,0)),B91,0)</f>
        <v>0</v>
      </c>
      <c r="H91" s="120">
        <f>IF(ISERROR(MATCH(MASTER!B96,'Peoplesoft Classlist'!$B:$B,0)),MASTER!B96,0)</f>
        <v>0</v>
      </c>
    </row>
    <row r="92" spans="2:8" x14ac:dyDescent="0.25">
      <c r="B92" s="115"/>
      <c r="C92" s="114"/>
      <c r="D92" s="114"/>
      <c r="G92" s="120">
        <f>IF(ISERROR(MATCH(B92,MASTER!$B:$B,0)),B92,0)</f>
        <v>0</v>
      </c>
      <c r="H92" s="120">
        <f>IF(ISERROR(MATCH(MASTER!B97,'Peoplesoft Classlist'!$B:$B,0)),MASTER!B97,0)</f>
        <v>0</v>
      </c>
    </row>
    <row r="93" spans="2:8" x14ac:dyDescent="0.25">
      <c r="B93" s="115"/>
      <c r="C93" s="114"/>
      <c r="D93" s="114"/>
      <c r="G93" s="120">
        <f>IF(ISERROR(MATCH(B93,MASTER!$B:$B,0)),B93,0)</f>
        <v>0</v>
      </c>
      <c r="H93" s="120">
        <f>IF(ISERROR(MATCH(MASTER!B98,'Peoplesoft Classlist'!$B:$B,0)),MASTER!B98,0)</f>
        <v>0</v>
      </c>
    </row>
    <row r="94" spans="2:8" x14ac:dyDescent="0.25">
      <c r="B94" s="115"/>
      <c r="C94" s="114"/>
      <c r="D94" s="114"/>
      <c r="G94" s="120">
        <f>IF(ISERROR(MATCH(B94,MASTER!$B:$B,0)),B94,0)</f>
        <v>0</v>
      </c>
      <c r="H94" s="120">
        <f>IF(ISERROR(MATCH(MASTER!B99,'Peoplesoft Classlist'!$B:$B,0)),MASTER!B99,0)</f>
        <v>0</v>
      </c>
    </row>
    <row r="95" spans="2:8" x14ac:dyDescent="0.25">
      <c r="B95" s="115"/>
      <c r="C95" s="114"/>
      <c r="D95" s="114"/>
      <c r="G95" s="120">
        <f>IF(ISERROR(MATCH(B95,MASTER!$B:$B,0)),B95,0)</f>
        <v>0</v>
      </c>
      <c r="H95" s="120">
        <f>IF(ISERROR(MATCH(MASTER!B100,'Peoplesoft Classlist'!$B:$B,0)),MASTER!B100,0)</f>
        <v>0</v>
      </c>
    </row>
    <row r="96" spans="2:8" x14ac:dyDescent="0.25">
      <c r="B96" s="115"/>
      <c r="C96" s="114"/>
      <c r="D96" s="114"/>
      <c r="G96" s="120">
        <f>IF(ISERROR(MATCH(B96,MASTER!$B:$B,0)),B96,0)</f>
        <v>0</v>
      </c>
      <c r="H96" s="120">
        <f>IF(ISERROR(MATCH(MASTER!B101,'Peoplesoft Classlist'!$B:$B,0)),MASTER!B101,0)</f>
        <v>0</v>
      </c>
    </row>
    <row r="97" spans="2:8" x14ac:dyDescent="0.25">
      <c r="B97" s="115"/>
      <c r="C97" s="114"/>
      <c r="D97" s="114"/>
      <c r="G97" s="120">
        <f>IF(ISERROR(MATCH(B97,MASTER!$B:$B,0)),B97,0)</f>
        <v>0</v>
      </c>
      <c r="H97" s="120">
        <f>IF(ISERROR(MATCH(MASTER!B102,'Peoplesoft Classlist'!$B:$B,0)),MASTER!B102,0)</f>
        <v>0</v>
      </c>
    </row>
    <row r="98" spans="2:8" x14ac:dyDescent="0.25">
      <c r="B98" s="115"/>
      <c r="C98" s="114"/>
      <c r="D98" s="114"/>
      <c r="G98" s="120">
        <f>IF(ISERROR(MATCH(B98,MASTER!$B:$B,0)),B98,0)</f>
        <v>0</v>
      </c>
      <c r="H98" s="120">
        <f>IF(ISERROR(MATCH(MASTER!B103,'Peoplesoft Classlist'!$B:$B,0)),MASTER!B103,0)</f>
        <v>0</v>
      </c>
    </row>
    <row r="99" spans="2:8" x14ac:dyDescent="0.25">
      <c r="B99" s="115"/>
      <c r="C99" s="114"/>
      <c r="D99" s="114"/>
      <c r="G99" s="120">
        <f>IF(ISERROR(MATCH(B99,MASTER!$B:$B,0)),B99,0)</f>
        <v>0</v>
      </c>
      <c r="H99" s="120">
        <f>IF(ISERROR(MATCH(MASTER!B104,'Peoplesoft Classlist'!$B:$B,0)),MASTER!B104,0)</f>
        <v>0</v>
      </c>
    </row>
    <row r="100" spans="2:8" x14ac:dyDescent="0.25">
      <c r="B100" s="115"/>
      <c r="C100" s="114"/>
      <c r="D100" s="114"/>
      <c r="G100" s="120">
        <f>IF(ISERROR(MATCH(B100,MASTER!$B:$B,0)),B100,0)</f>
        <v>0</v>
      </c>
      <c r="H100" s="120">
        <f>IF(ISERROR(MATCH(MASTER!B105,'Peoplesoft Classlist'!$B:$B,0)),MASTER!B105,0)</f>
        <v>0</v>
      </c>
    </row>
    <row r="101" spans="2:8" x14ac:dyDescent="0.25">
      <c r="B101" s="115"/>
      <c r="C101" s="114"/>
      <c r="D101" s="114"/>
      <c r="G101" s="120">
        <f>IF(ISERROR(MATCH(B101,MASTER!$B:$B,0)),B101,0)</f>
        <v>0</v>
      </c>
      <c r="H101" s="120">
        <f>IF(ISERROR(MATCH(MASTER!B106,'Peoplesoft Classlist'!$B:$B,0)),MASTER!B106,0)</f>
        <v>0</v>
      </c>
    </row>
    <row r="102" spans="2:8" x14ac:dyDescent="0.25">
      <c r="B102" s="115"/>
      <c r="C102" s="114"/>
      <c r="D102" s="114"/>
      <c r="G102" s="120">
        <f>IF(ISERROR(MATCH(B102,MASTER!$B:$B,0)),B102,0)</f>
        <v>0</v>
      </c>
      <c r="H102" s="120">
        <f>IF(ISERROR(MATCH(MASTER!B107,'Peoplesoft Classlist'!$B:$B,0)),MASTER!B107,0)</f>
        <v>0</v>
      </c>
    </row>
    <row r="103" spans="2:8" x14ac:dyDescent="0.25">
      <c r="B103" s="115"/>
      <c r="C103" s="114"/>
      <c r="D103" s="114"/>
      <c r="G103" s="120">
        <f>IF(ISERROR(MATCH(B103,MASTER!$B:$B,0)),B103,0)</f>
        <v>0</v>
      </c>
      <c r="H103" s="120">
        <f>IF(ISERROR(MATCH(MASTER!B108,'Peoplesoft Classlist'!$B:$B,0)),MASTER!B108,0)</f>
        <v>0</v>
      </c>
    </row>
    <row r="104" spans="2:8" x14ac:dyDescent="0.25">
      <c r="B104" s="115"/>
      <c r="C104" s="114"/>
      <c r="D104" s="114"/>
      <c r="G104" s="120">
        <f>IF(ISERROR(MATCH(B104,MASTER!$B:$B,0)),B104,0)</f>
        <v>0</v>
      </c>
      <c r="H104" s="120">
        <f>IF(ISERROR(MATCH(MASTER!B109,'Peoplesoft Classlist'!$B:$B,0)),MASTER!B109,0)</f>
        <v>0</v>
      </c>
    </row>
    <row r="105" spans="2:8" x14ac:dyDescent="0.25">
      <c r="B105" s="115"/>
      <c r="C105" s="114"/>
      <c r="D105" s="114"/>
      <c r="G105" s="120">
        <f>IF(ISERROR(MATCH(B105,MASTER!$B:$B,0)),B105,0)</f>
        <v>0</v>
      </c>
      <c r="H105" s="120">
        <f>IF(ISERROR(MATCH(MASTER!B110,'Peoplesoft Classlist'!$B:$B,0)),MASTER!B110,0)</f>
        <v>0</v>
      </c>
    </row>
    <row r="106" spans="2:8" x14ac:dyDescent="0.25">
      <c r="B106" s="115"/>
      <c r="C106" s="114"/>
      <c r="D106" s="114"/>
      <c r="G106" s="120">
        <f>IF(ISERROR(MATCH(B106,MASTER!$B:$B,0)),B106,0)</f>
        <v>0</v>
      </c>
      <c r="H106" s="120">
        <f>IF(ISERROR(MATCH(MASTER!B111,'Peoplesoft Classlist'!$B:$B,0)),MASTER!B111,0)</f>
        <v>0</v>
      </c>
    </row>
    <row r="107" spans="2:8" x14ac:dyDescent="0.25">
      <c r="B107" s="115"/>
      <c r="C107" s="114"/>
      <c r="D107" s="114"/>
      <c r="G107" s="120">
        <f>IF(ISERROR(MATCH(B107,MASTER!$B:$B,0)),B107,0)</f>
        <v>0</v>
      </c>
      <c r="H107" s="120">
        <f>IF(ISERROR(MATCH(MASTER!B112,'Peoplesoft Classlist'!$B:$B,0)),MASTER!B112,0)</f>
        <v>0</v>
      </c>
    </row>
    <row r="108" spans="2:8" x14ac:dyDescent="0.25">
      <c r="B108" s="115"/>
      <c r="C108" s="114"/>
      <c r="D108" s="114"/>
      <c r="G108" s="120">
        <f>IF(ISERROR(MATCH(B108,MASTER!$B:$B,0)),B108,0)</f>
        <v>0</v>
      </c>
      <c r="H108" s="120">
        <f>IF(ISERROR(MATCH(MASTER!B113,'Peoplesoft Classlist'!$B:$B,0)),MASTER!B113,0)</f>
        <v>0</v>
      </c>
    </row>
    <row r="109" spans="2:8" x14ac:dyDescent="0.25">
      <c r="B109" s="115"/>
      <c r="C109" s="114"/>
      <c r="D109" s="114"/>
      <c r="G109" s="120">
        <f>IF(ISERROR(MATCH(B109,MASTER!$B:$B,0)),B109,0)</f>
        <v>0</v>
      </c>
      <c r="H109" s="120">
        <f>IF(ISERROR(MATCH(MASTER!B114,'Peoplesoft Classlist'!$B:$B,0)),MASTER!B114,0)</f>
        <v>0</v>
      </c>
    </row>
    <row r="110" spans="2:8" x14ac:dyDescent="0.25">
      <c r="B110" s="115"/>
      <c r="C110" s="114"/>
      <c r="D110" s="114"/>
      <c r="G110" s="120">
        <f>IF(ISERROR(MATCH(B110,MASTER!$B:$B,0)),B110,0)</f>
        <v>0</v>
      </c>
      <c r="H110" s="120">
        <f>IF(ISERROR(MATCH(MASTER!B115,'Peoplesoft Classlist'!$B:$B,0)),MASTER!B115,0)</f>
        <v>0</v>
      </c>
    </row>
    <row r="111" spans="2:8" x14ac:dyDescent="0.25">
      <c r="B111" s="115"/>
      <c r="C111" s="114"/>
      <c r="D111" s="114"/>
      <c r="G111" s="120">
        <f>IF(ISERROR(MATCH(B111,MASTER!$B:$B,0)),B111,0)</f>
        <v>0</v>
      </c>
      <c r="H111" s="120">
        <f>IF(ISERROR(MATCH(MASTER!B116,'Peoplesoft Classlist'!$B:$B,0)),MASTER!B116,0)</f>
        <v>0</v>
      </c>
    </row>
    <row r="112" spans="2:8" x14ac:dyDescent="0.25">
      <c r="B112" s="115"/>
      <c r="C112" s="114"/>
      <c r="D112" s="114"/>
      <c r="G112" s="120">
        <f>IF(ISERROR(MATCH(B112,MASTER!$B:$B,0)),B112,0)</f>
        <v>0</v>
      </c>
      <c r="H112" s="120">
        <f>IF(ISERROR(MATCH(MASTER!B117,'Peoplesoft Classlist'!$B:$B,0)),MASTER!B117,0)</f>
        <v>0</v>
      </c>
    </row>
    <row r="113" spans="2:8" x14ac:dyDescent="0.25">
      <c r="B113" s="115"/>
      <c r="C113" s="114"/>
      <c r="D113" s="114"/>
      <c r="G113" s="120">
        <f>IF(ISERROR(MATCH(B113,MASTER!$B:$B,0)),B113,0)</f>
        <v>0</v>
      </c>
      <c r="H113" s="120">
        <f>IF(ISERROR(MATCH(MASTER!B118,'Peoplesoft Classlist'!$B:$B,0)),MASTER!B118,0)</f>
        <v>0</v>
      </c>
    </row>
    <row r="114" spans="2:8" x14ac:dyDescent="0.25">
      <c r="B114" s="115"/>
      <c r="C114" s="114"/>
      <c r="D114" s="114"/>
      <c r="G114" s="120">
        <f>IF(ISERROR(MATCH(B114,MASTER!$B:$B,0)),B114,0)</f>
        <v>0</v>
      </c>
      <c r="H114" s="120">
        <f>IF(ISERROR(MATCH(MASTER!B119,'Peoplesoft Classlist'!$B:$B,0)),MASTER!B119,0)</f>
        <v>0</v>
      </c>
    </row>
    <row r="115" spans="2:8" x14ac:dyDescent="0.25">
      <c r="B115" s="115"/>
      <c r="C115" s="114"/>
      <c r="D115" s="114"/>
      <c r="G115" s="120">
        <f>IF(ISERROR(MATCH(B115,MASTER!$B:$B,0)),B115,0)</f>
        <v>0</v>
      </c>
      <c r="H115" s="120">
        <f>IF(ISERROR(MATCH(MASTER!B120,'Peoplesoft Classlist'!$B:$B,0)),MASTER!B120,0)</f>
        <v>0</v>
      </c>
    </row>
    <row r="116" spans="2:8" x14ac:dyDescent="0.25">
      <c r="B116" s="115"/>
      <c r="C116" s="114"/>
      <c r="D116" s="114"/>
      <c r="G116" s="120">
        <f>IF(ISERROR(MATCH(B116,MASTER!$B:$B,0)),B116,0)</f>
        <v>0</v>
      </c>
      <c r="H116" s="120">
        <f>IF(ISERROR(MATCH(MASTER!B121,'Peoplesoft Classlist'!$B:$B,0)),MASTER!B121,0)</f>
        <v>0</v>
      </c>
    </row>
    <row r="117" spans="2:8" x14ac:dyDescent="0.25">
      <c r="B117" s="115"/>
      <c r="C117" s="114"/>
      <c r="D117" s="114"/>
      <c r="G117" s="120">
        <f>IF(ISERROR(MATCH(B117,MASTER!$B:$B,0)),B117,0)</f>
        <v>0</v>
      </c>
      <c r="H117" s="120">
        <f>IF(ISERROR(MATCH(MASTER!B122,'Peoplesoft Classlist'!$B:$B,0)),MASTER!B122,0)</f>
        <v>0</v>
      </c>
    </row>
    <row r="118" spans="2:8" x14ac:dyDescent="0.25">
      <c r="B118" s="115"/>
      <c r="C118" s="114"/>
      <c r="D118" s="114"/>
      <c r="G118" s="120">
        <f>IF(ISERROR(MATCH(B118,MASTER!$B:$B,0)),B118,0)</f>
        <v>0</v>
      </c>
      <c r="H118" s="120">
        <f>IF(ISERROR(MATCH(MASTER!B123,'Peoplesoft Classlist'!$B:$B,0)),MASTER!B123,0)</f>
        <v>0</v>
      </c>
    </row>
    <row r="119" spans="2:8" x14ac:dyDescent="0.25">
      <c r="B119" s="115"/>
      <c r="C119" s="114"/>
      <c r="D119" s="114"/>
      <c r="G119" s="120">
        <f>IF(ISERROR(MATCH(B119,MASTER!$B:$B,0)),B119,0)</f>
        <v>0</v>
      </c>
      <c r="H119" s="120">
        <f>IF(ISERROR(MATCH(MASTER!B124,'Peoplesoft Classlist'!$B:$B,0)),MASTER!B124,0)</f>
        <v>0</v>
      </c>
    </row>
    <row r="120" spans="2:8" x14ac:dyDescent="0.25">
      <c r="B120" s="115"/>
      <c r="C120" s="114"/>
      <c r="D120" s="114"/>
      <c r="G120" s="120">
        <f>IF(ISERROR(MATCH(B120,MASTER!$B:$B,0)),B120,0)</f>
        <v>0</v>
      </c>
      <c r="H120" s="120">
        <f>IF(ISERROR(MATCH(MASTER!B125,'Peoplesoft Classlist'!$B:$B,0)),MASTER!B125,0)</f>
        <v>0</v>
      </c>
    </row>
    <row r="121" spans="2:8" x14ac:dyDescent="0.25">
      <c r="B121" s="115"/>
      <c r="C121" s="114"/>
      <c r="D121" s="114"/>
      <c r="G121" s="120">
        <f>IF(ISERROR(MATCH(B121,MASTER!$B:$B,0)),B121,0)</f>
        <v>0</v>
      </c>
      <c r="H121" s="120">
        <f>IF(ISERROR(MATCH(MASTER!B126,'Peoplesoft Classlist'!$B:$B,0)),MASTER!B126,0)</f>
        <v>0</v>
      </c>
    </row>
    <row r="122" spans="2:8" x14ac:dyDescent="0.25">
      <c r="B122" s="115"/>
      <c r="C122" s="114"/>
      <c r="D122" s="114"/>
      <c r="G122" s="120">
        <f>IF(ISERROR(MATCH(B122,MASTER!$B:$B,0)),B122,0)</f>
        <v>0</v>
      </c>
      <c r="H122" s="120">
        <f>IF(ISERROR(MATCH(MASTER!B127,'Peoplesoft Classlist'!$B:$B,0)),MASTER!B127,0)</f>
        <v>0</v>
      </c>
    </row>
    <row r="123" spans="2:8" x14ac:dyDescent="0.25">
      <c r="B123" s="115"/>
      <c r="C123" s="114"/>
      <c r="D123" s="114"/>
      <c r="G123" s="120">
        <f>IF(ISERROR(MATCH(B123,MASTER!$B:$B,0)),B123,0)</f>
        <v>0</v>
      </c>
      <c r="H123" s="120">
        <f>IF(ISERROR(MATCH(MASTER!B128,'Peoplesoft Classlist'!$B:$B,0)),MASTER!B128,0)</f>
        <v>0</v>
      </c>
    </row>
    <row r="124" spans="2:8" x14ac:dyDescent="0.25">
      <c r="B124" s="115"/>
      <c r="C124" s="114"/>
      <c r="D124" s="114"/>
      <c r="G124" s="120">
        <f>IF(ISERROR(MATCH(B124,MASTER!$B:$B,0)),B124,0)</f>
        <v>0</v>
      </c>
      <c r="H124" s="120">
        <f>IF(ISERROR(MATCH(MASTER!B129,'Peoplesoft Classlist'!$B:$B,0)),MASTER!B129,0)</f>
        <v>0</v>
      </c>
    </row>
    <row r="125" spans="2:8" x14ac:dyDescent="0.25">
      <c r="B125" s="115"/>
      <c r="C125" s="114"/>
      <c r="D125" s="114"/>
      <c r="G125" s="120">
        <f>IF(ISERROR(MATCH(B125,MASTER!$B:$B,0)),B125,0)</f>
        <v>0</v>
      </c>
      <c r="H125" s="120">
        <f>IF(ISERROR(MATCH(MASTER!B130,'Peoplesoft Classlist'!$B:$B,0)),MASTER!B130,0)</f>
        <v>0</v>
      </c>
    </row>
    <row r="126" spans="2:8" x14ac:dyDescent="0.25">
      <c r="B126" s="115"/>
      <c r="C126" s="114"/>
      <c r="D126" s="114"/>
      <c r="G126" s="120">
        <f>IF(ISERROR(MATCH(B126,MASTER!$B:$B,0)),B126,0)</f>
        <v>0</v>
      </c>
      <c r="H126" s="120">
        <f>IF(ISERROR(MATCH(MASTER!B131,'Peoplesoft Classlist'!$B:$B,0)),MASTER!B131,0)</f>
        <v>0</v>
      </c>
    </row>
    <row r="127" spans="2:8" x14ac:dyDescent="0.25">
      <c r="B127" s="115"/>
      <c r="C127" s="114"/>
      <c r="D127" s="114"/>
      <c r="G127" s="120">
        <f>IF(ISERROR(MATCH(B127,MASTER!$B:$B,0)),B127,0)</f>
        <v>0</v>
      </c>
      <c r="H127" s="120">
        <f>IF(ISERROR(MATCH(MASTER!B132,'Peoplesoft Classlist'!$B:$B,0)),MASTER!B132,0)</f>
        <v>0</v>
      </c>
    </row>
    <row r="128" spans="2:8" x14ac:dyDescent="0.25">
      <c r="B128" s="115"/>
      <c r="C128" s="114"/>
      <c r="D128" s="114"/>
      <c r="G128" s="120">
        <f>IF(ISERROR(MATCH(B128,MASTER!$B:$B,0)),B128,0)</f>
        <v>0</v>
      </c>
      <c r="H128" s="120">
        <f>IF(ISERROR(MATCH(MASTER!B133,'Peoplesoft Classlist'!$B:$B,0)),MASTER!B133,0)</f>
        <v>0</v>
      </c>
    </row>
    <row r="129" spans="2:8" x14ac:dyDescent="0.25">
      <c r="B129" s="115"/>
      <c r="C129" s="114"/>
      <c r="D129" s="114"/>
      <c r="G129" s="120">
        <f>IF(ISERROR(MATCH(B129,MASTER!$B:$B,0)),B129,0)</f>
        <v>0</v>
      </c>
      <c r="H129" s="120">
        <f>IF(ISERROR(MATCH(MASTER!B134,'Peoplesoft Classlist'!$B:$B,0)),MASTER!B134,0)</f>
        <v>0</v>
      </c>
    </row>
    <row r="130" spans="2:8" x14ac:dyDescent="0.25">
      <c r="B130" s="115"/>
      <c r="C130" s="114"/>
      <c r="D130" s="114"/>
      <c r="G130" s="120">
        <f>IF(ISERROR(MATCH(B130,MASTER!$B:$B,0)),B130,0)</f>
        <v>0</v>
      </c>
      <c r="H130" s="120">
        <f>IF(ISERROR(MATCH(MASTER!B135,'Peoplesoft Classlist'!$B:$B,0)),MASTER!B135,0)</f>
        <v>0</v>
      </c>
    </row>
    <row r="131" spans="2:8" x14ac:dyDescent="0.25">
      <c r="B131" s="115"/>
      <c r="C131" s="114"/>
      <c r="D131" s="114"/>
      <c r="G131" s="120">
        <f>IF(ISERROR(MATCH(B131,MASTER!$B:$B,0)),B131,0)</f>
        <v>0</v>
      </c>
      <c r="H131" s="120">
        <f>IF(ISERROR(MATCH(MASTER!B136,'Peoplesoft Classlist'!$B:$B,0)),MASTER!B136,0)</f>
        <v>0</v>
      </c>
    </row>
    <row r="132" spans="2:8" x14ac:dyDescent="0.25">
      <c r="B132" s="115"/>
      <c r="C132" s="114"/>
      <c r="D132" s="114"/>
      <c r="G132" s="120">
        <f>IF(ISERROR(MATCH(B132,MASTER!$B:$B,0)),B132,0)</f>
        <v>0</v>
      </c>
      <c r="H132" s="120">
        <f>IF(ISERROR(MATCH(MASTER!B137,'Peoplesoft Classlist'!$B:$B,0)),MASTER!B137,0)</f>
        <v>0</v>
      </c>
    </row>
    <row r="133" spans="2:8" x14ac:dyDescent="0.25">
      <c r="B133" s="115"/>
      <c r="C133" s="114"/>
      <c r="D133" s="114"/>
      <c r="G133" s="120">
        <f>IF(ISERROR(MATCH(B133,MASTER!$B:$B,0)),B133,0)</f>
        <v>0</v>
      </c>
      <c r="H133" s="120">
        <f>IF(ISERROR(MATCH(MASTER!B138,'Peoplesoft Classlist'!$B:$B,0)),MASTER!B138,0)</f>
        <v>0</v>
      </c>
    </row>
    <row r="134" spans="2:8" x14ac:dyDescent="0.25">
      <c r="B134" s="115"/>
      <c r="C134" s="114"/>
      <c r="D134" s="114"/>
      <c r="G134" s="120">
        <f>IF(ISERROR(MATCH(B134,MASTER!$B:$B,0)),B134,0)</f>
        <v>0</v>
      </c>
      <c r="H134" s="120">
        <f>IF(ISERROR(MATCH(MASTER!B139,'Peoplesoft Classlist'!$B:$B,0)),MASTER!B139,0)</f>
        <v>0</v>
      </c>
    </row>
    <row r="135" spans="2:8" x14ac:dyDescent="0.25">
      <c r="B135" s="115"/>
      <c r="C135" s="114"/>
      <c r="D135" s="114"/>
      <c r="G135" s="120">
        <f>IF(ISERROR(MATCH(B135,MASTER!$B:$B,0)),B135,0)</f>
        <v>0</v>
      </c>
      <c r="H135" s="120">
        <f>IF(ISERROR(MATCH(MASTER!B140,'Peoplesoft Classlist'!$B:$B,0)),MASTER!B140,0)</f>
        <v>0</v>
      </c>
    </row>
    <row r="136" spans="2:8" x14ac:dyDescent="0.25">
      <c r="B136" s="115"/>
      <c r="C136" s="114"/>
      <c r="D136" s="114"/>
      <c r="G136" s="120">
        <f>IF(ISERROR(MATCH(B136,MASTER!$B:$B,0)),B136,0)</f>
        <v>0</v>
      </c>
      <c r="H136" s="120">
        <f>IF(ISERROR(MATCH(MASTER!B141,'Peoplesoft Classlist'!$B:$B,0)),MASTER!B141,0)</f>
        <v>0</v>
      </c>
    </row>
    <row r="137" spans="2:8" x14ac:dyDescent="0.25">
      <c r="B137" s="115"/>
      <c r="C137" s="114"/>
      <c r="D137" s="114"/>
      <c r="G137" s="120">
        <f>IF(ISERROR(MATCH(B137,MASTER!$B:$B,0)),B137,0)</f>
        <v>0</v>
      </c>
      <c r="H137" s="120">
        <f>IF(ISERROR(MATCH(MASTER!B142,'Peoplesoft Classlist'!$B:$B,0)),MASTER!B142,0)</f>
        <v>0</v>
      </c>
    </row>
    <row r="138" spans="2:8" x14ac:dyDescent="0.25">
      <c r="B138" s="115"/>
      <c r="C138" s="114"/>
      <c r="D138" s="114"/>
      <c r="G138" s="120">
        <f>IF(ISERROR(MATCH(B138,MASTER!$B:$B,0)),B138,0)</f>
        <v>0</v>
      </c>
      <c r="H138" s="120">
        <f>IF(ISERROR(MATCH(MASTER!B143,'Peoplesoft Classlist'!$B:$B,0)),MASTER!B143,0)</f>
        <v>0</v>
      </c>
    </row>
    <row r="139" spans="2:8" x14ac:dyDescent="0.25">
      <c r="B139" s="115"/>
      <c r="C139" s="114"/>
      <c r="D139" s="114"/>
      <c r="G139" s="120">
        <f>IF(ISERROR(MATCH(B139,MASTER!$B:$B,0)),B139,0)</f>
        <v>0</v>
      </c>
      <c r="H139" s="120">
        <f>IF(ISERROR(MATCH(MASTER!B144,'Peoplesoft Classlist'!$B:$B,0)),MASTER!B144,0)</f>
        <v>0</v>
      </c>
    </row>
    <row r="140" spans="2:8" x14ac:dyDescent="0.25">
      <c r="B140" s="115"/>
      <c r="C140" s="114"/>
      <c r="D140" s="114"/>
      <c r="G140" s="120">
        <f>IF(ISERROR(MATCH(B140,MASTER!$B:$B,0)),B140,0)</f>
        <v>0</v>
      </c>
      <c r="H140" s="120">
        <f>IF(ISERROR(MATCH(MASTER!B145,'Peoplesoft Classlist'!$B:$B,0)),MASTER!B145,0)</f>
        <v>0</v>
      </c>
    </row>
    <row r="141" spans="2:8" x14ac:dyDescent="0.25">
      <c r="B141" s="115"/>
      <c r="C141" s="114"/>
      <c r="D141" s="114"/>
      <c r="G141" s="120">
        <f>IF(ISERROR(MATCH(B141,MASTER!$B:$B,0)),B141,0)</f>
        <v>0</v>
      </c>
      <c r="H141" s="120">
        <f>IF(ISERROR(MATCH(MASTER!B146,'Peoplesoft Classlist'!$B:$B,0)),MASTER!B146,0)</f>
        <v>0</v>
      </c>
    </row>
    <row r="142" spans="2:8" x14ac:dyDescent="0.25">
      <c r="B142" s="115"/>
      <c r="C142" s="114"/>
      <c r="D142" s="114"/>
      <c r="G142" s="120">
        <f>IF(ISERROR(MATCH(B142,MASTER!$B:$B,0)),B142,0)</f>
        <v>0</v>
      </c>
      <c r="H142" s="120">
        <f>IF(ISERROR(MATCH(MASTER!B147,'Peoplesoft Classlist'!$B:$B,0)),MASTER!B147,0)</f>
        <v>0</v>
      </c>
    </row>
    <row r="143" spans="2:8" x14ac:dyDescent="0.25">
      <c r="B143" s="115"/>
      <c r="C143" s="114"/>
      <c r="D143" s="114"/>
      <c r="G143" s="120">
        <f>IF(ISERROR(MATCH(B143,MASTER!$B:$B,0)),B143,0)</f>
        <v>0</v>
      </c>
      <c r="H143" s="120">
        <f>IF(ISERROR(MATCH(MASTER!B148,'Peoplesoft Classlist'!$B:$B,0)),MASTER!B148,0)</f>
        <v>0</v>
      </c>
    </row>
    <row r="144" spans="2:8" x14ac:dyDescent="0.25">
      <c r="B144" s="115"/>
      <c r="C144" s="114"/>
      <c r="D144" s="114"/>
      <c r="G144" s="120">
        <f>IF(ISERROR(MATCH(B144,MASTER!$B:$B,0)),B144,0)</f>
        <v>0</v>
      </c>
      <c r="H144" s="120">
        <f>IF(ISERROR(MATCH(MASTER!B149,'Peoplesoft Classlist'!$B:$B,0)),MASTER!B149,0)</f>
        <v>0</v>
      </c>
    </row>
    <row r="145" spans="2:8" x14ac:dyDescent="0.25">
      <c r="B145" s="115"/>
      <c r="C145" s="114"/>
      <c r="D145" s="114"/>
      <c r="G145" s="120">
        <f>IF(ISERROR(MATCH(B145,MASTER!$B:$B,0)),B145,0)</f>
        <v>0</v>
      </c>
      <c r="H145" s="120">
        <f>IF(ISERROR(MATCH(MASTER!B150,'Peoplesoft Classlist'!$B:$B,0)),MASTER!B150,0)</f>
        <v>0</v>
      </c>
    </row>
    <row r="146" spans="2:8" x14ac:dyDescent="0.25">
      <c r="B146" s="115"/>
      <c r="C146" s="114"/>
      <c r="D146" s="114"/>
      <c r="G146" s="120">
        <f>IF(ISERROR(MATCH(B146,MASTER!$B:$B,0)),B146,0)</f>
        <v>0</v>
      </c>
      <c r="H146" s="120">
        <f>IF(ISERROR(MATCH(MASTER!B151,'Peoplesoft Classlist'!$B:$B,0)),MASTER!B151,0)</f>
        <v>0</v>
      </c>
    </row>
    <row r="147" spans="2:8" x14ac:dyDescent="0.25">
      <c r="B147" s="115"/>
      <c r="C147" s="114"/>
      <c r="D147" s="114"/>
      <c r="G147" s="120">
        <f>IF(ISERROR(MATCH(B147,MASTER!$B:$B,0)),B147,0)</f>
        <v>0</v>
      </c>
      <c r="H147" s="120">
        <f>IF(ISERROR(MATCH(MASTER!B152,'Peoplesoft Classlist'!$B:$B,0)),MASTER!B152,0)</f>
        <v>0</v>
      </c>
    </row>
    <row r="148" spans="2:8" x14ac:dyDescent="0.25">
      <c r="B148" s="115"/>
      <c r="C148" s="114"/>
      <c r="D148" s="114"/>
      <c r="G148" s="120">
        <f>IF(ISERROR(MATCH(B148,MASTER!$B:$B,0)),B148,0)</f>
        <v>0</v>
      </c>
      <c r="H148" s="120">
        <f>IF(ISERROR(MATCH(MASTER!B153,'Peoplesoft Classlist'!$B:$B,0)),MASTER!B153,0)</f>
        <v>0</v>
      </c>
    </row>
    <row r="149" spans="2:8" x14ac:dyDescent="0.25">
      <c r="B149" s="115"/>
      <c r="C149" s="114"/>
      <c r="D149" s="114"/>
      <c r="G149" s="120">
        <f>IF(ISERROR(MATCH(B149,MASTER!$B:$B,0)),B149,0)</f>
        <v>0</v>
      </c>
      <c r="H149" s="120">
        <f>IF(ISERROR(MATCH(MASTER!B154,'Peoplesoft Classlist'!$B:$B,0)),MASTER!B154,0)</f>
        <v>0</v>
      </c>
    </row>
    <row r="150" spans="2:8" x14ac:dyDescent="0.25">
      <c r="B150" s="115"/>
      <c r="C150" s="114"/>
      <c r="D150" s="114"/>
      <c r="G150" s="120">
        <f>IF(ISERROR(MATCH(B150,MASTER!$B:$B,0)),B150,0)</f>
        <v>0</v>
      </c>
      <c r="H150" s="120">
        <f>IF(ISERROR(MATCH(MASTER!B155,'Peoplesoft Classlist'!$B:$B,0)),MASTER!B155,0)</f>
        <v>0</v>
      </c>
    </row>
    <row r="151" spans="2:8" x14ac:dyDescent="0.25">
      <c r="B151" s="115"/>
      <c r="C151" s="114"/>
      <c r="D151" s="114"/>
      <c r="G151" s="120">
        <f>IF(ISERROR(MATCH(B151,MASTER!$B:$B,0)),B151,0)</f>
        <v>0</v>
      </c>
      <c r="H151" s="120">
        <f>IF(ISERROR(MATCH(MASTER!B156,'Peoplesoft Classlist'!$B:$B,0)),MASTER!B156,0)</f>
        <v>0</v>
      </c>
    </row>
    <row r="152" spans="2:8" x14ac:dyDescent="0.25">
      <c r="B152" s="115"/>
      <c r="C152" s="114"/>
      <c r="D152" s="114"/>
      <c r="G152" s="120">
        <f>IF(ISERROR(MATCH(B152,MASTER!$B:$B,0)),B152,0)</f>
        <v>0</v>
      </c>
      <c r="H152" s="120">
        <f>IF(ISERROR(MATCH(MASTER!B157,'Peoplesoft Classlist'!$B:$B,0)),MASTER!B157,0)</f>
        <v>0</v>
      </c>
    </row>
    <row r="153" spans="2:8" x14ac:dyDescent="0.25">
      <c r="B153" s="115"/>
      <c r="C153" s="114"/>
      <c r="D153" s="114"/>
      <c r="G153" s="120">
        <f>IF(ISERROR(MATCH(B153,MASTER!$B:$B,0)),B153,0)</f>
        <v>0</v>
      </c>
      <c r="H153" s="120">
        <f>IF(ISERROR(MATCH(MASTER!B158,'Peoplesoft Classlist'!$B:$B,0)),MASTER!B158,0)</f>
        <v>0</v>
      </c>
    </row>
    <row r="154" spans="2:8" x14ac:dyDescent="0.25">
      <c r="B154" s="115"/>
      <c r="C154" s="114"/>
      <c r="D154" s="114"/>
      <c r="G154" s="120">
        <f>IF(ISERROR(MATCH(B154,MASTER!$B:$B,0)),B154,0)</f>
        <v>0</v>
      </c>
      <c r="H154" s="120">
        <f>IF(ISERROR(MATCH(MASTER!B159,'Peoplesoft Classlist'!$B:$B,0)),MASTER!B159,0)</f>
        <v>0</v>
      </c>
    </row>
    <row r="155" spans="2:8" x14ac:dyDescent="0.25">
      <c r="B155" s="115"/>
      <c r="C155" s="114"/>
      <c r="D155" s="114"/>
      <c r="G155" s="120">
        <f>IF(ISERROR(MATCH(B155,MASTER!$B:$B,0)),B155,0)</f>
        <v>0</v>
      </c>
      <c r="H155" s="120">
        <f>IF(ISERROR(MATCH(MASTER!B160,'Peoplesoft Classlist'!$B:$B,0)),MASTER!B160,0)</f>
        <v>0</v>
      </c>
    </row>
    <row r="156" spans="2:8" x14ac:dyDescent="0.25">
      <c r="B156" s="115"/>
      <c r="C156" s="114"/>
      <c r="D156" s="114"/>
      <c r="G156" s="120">
        <f>IF(ISERROR(MATCH(B156,MASTER!$B:$B,0)),B156,0)</f>
        <v>0</v>
      </c>
      <c r="H156" s="120">
        <f>IF(ISERROR(MATCH(MASTER!B161,'Peoplesoft Classlist'!$B:$B,0)),MASTER!B161,0)</f>
        <v>0</v>
      </c>
    </row>
    <row r="157" spans="2:8" x14ac:dyDescent="0.25">
      <c r="B157" s="115"/>
      <c r="C157" s="114"/>
      <c r="D157" s="114"/>
      <c r="G157" s="120">
        <f>IF(ISERROR(MATCH(B157,MASTER!$B:$B,0)),B157,0)</f>
        <v>0</v>
      </c>
      <c r="H157" s="120">
        <f>IF(ISERROR(MATCH(MASTER!B162,'Peoplesoft Classlist'!$B:$B,0)),MASTER!B162,0)</f>
        <v>0</v>
      </c>
    </row>
    <row r="158" spans="2:8" x14ac:dyDescent="0.25">
      <c r="B158" s="115"/>
      <c r="C158" s="114"/>
      <c r="D158" s="114"/>
      <c r="G158" s="120">
        <f>IF(ISERROR(MATCH(B158,MASTER!$B:$B,0)),B158,0)</f>
        <v>0</v>
      </c>
      <c r="H158" s="120">
        <f>IF(ISERROR(MATCH(MASTER!B163,'Peoplesoft Classlist'!$B:$B,0)),MASTER!B163,0)</f>
        <v>0</v>
      </c>
    </row>
    <row r="159" spans="2:8" x14ac:dyDescent="0.25">
      <c r="B159" s="115"/>
      <c r="C159" s="114"/>
      <c r="D159" s="114"/>
      <c r="G159" s="120">
        <f>IF(ISERROR(MATCH(B159,MASTER!$B:$B,0)),B159,0)</f>
        <v>0</v>
      </c>
      <c r="H159" s="120">
        <f>IF(ISERROR(MATCH(MASTER!B164,'Peoplesoft Classlist'!$B:$B,0)),MASTER!B164,0)</f>
        <v>0</v>
      </c>
    </row>
    <row r="160" spans="2:8" x14ac:dyDescent="0.25">
      <c r="B160" s="115"/>
      <c r="C160" s="114"/>
      <c r="D160" s="114"/>
      <c r="G160" s="120">
        <f>IF(ISERROR(MATCH(B160,MASTER!$B:$B,0)),B160,0)</f>
        <v>0</v>
      </c>
      <c r="H160" s="120">
        <f>IF(ISERROR(MATCH(MASTER!B165,'Peoplesoft Classlist'!$B:$B,0)),MASTER!B165,0)</f>
        <v>0</v>
      </c>
    </row>
    <row r="161" spans="2:8" x14ac:dyDescent="0.25">
      <c r="B161" s="115"/>
      <c r="C161" s="114"/>
      <c r="D161" s="114"/>
      <c r="G161" s="120">
        <f>IF(ISERROR(MATCH(B161,MASTER!$B:$B,0)),B161,0)</f>
        <v>0</v>
      </c>
      <c r="H161" s="120">
        <f>IF(ISERROR(MATCH(MASTER!B166,'Peoplesoft Classlist'!$B:$B,0)),MASTER!B166,0)</f>
        <v>0</v>
      </c>
    </row>
    <row r="162" spans="2:8" x14ac:dyDescent="0.25">
      <c r="B162" s="115"/>
      <c r="C162" s="114"/>
      <c r="D162" s="114"/>
      <c r="G162" s="120">
        <f>IF(ISERROR(MATCH(B162,MASTER!$B:$B,0)),B162,0)</f>
        <v>0</v>
      </c>
      <c r="H162" s="120">
        <f>IF(ISERROR(MATCH(MASTER!B167,'Peoplesoft Classlist'!$B:$B,0)),MASTER!B167,0)</f>
        <v>0</v>
      </c>
    </row>
    <row r="163" spans="2:8" x14ac:dyDescent="0.25">
      <c r="B163" s="115"/>
      <c r="C163" s="114"/>
      <c r="D163" s="114"/>
      <c r="G163" s="120">
        <f>IF(ISERROR(MATCH(B163,MASTER!$B:$B,0)),B163,0)</f>
        <v>0</v>
      </c>
      <c r="H163" s="120">
        <f>IF(ISERROR(MATCH(MASTER!B168,'Peoplesoft Classlist'!$B:$B,0)),MASTER!B168,0)</f>
        <v>0</v>
      </c>
    </row>
    <row r="164" spans="2:8" x14ac:dyDescent="0.25">
      <c r="B164" s="115"/>
      <c r="C164" s="114"/>
      <c r="D164" s="114"/>
      <c r="G164" s="120">
        <f>IF(ISERROR(MATCH(B164,MASTER!$B:$B,0)),B164,0)</f>
        <v>0</v>
      </c>
      <c r="H164" s="120">
        <f>IF(ISERROR(MATCH(MASTER!B169,'Peoplesoft Classlist'!$B:$B,0)),MASTER!B169,0)</f>
        <v>0</v>
      </c>
    </row>
    <row r="165" spans="2:8" x14ac:dyDescent="0.25">
      <c r="B165" s="115"/>
      <c r="C165" s="114"/>
      <c r="D165" s="114"/>
      <c r="G165" s="120">
        <f>IF(ISERROR(MATCH(B165,MASTER!$B:$B,0)),B165,0)</f>
        <v>0</v>
      </c>
      <c r="H165" s="120">
        <f>IF(ISERROR(MATCH(MASTER!B170,'Peoplesoft Classlist'!$B:$B,0)),MASTER!B170,0)</f>
        <v>0</v>
      </c>
    </row>
    <row r="166" spans="2:8" x14ac:dyDescent="0.25">
      <c r="B166" s="115"/>
      <c r="C166" s="114"/>
      <c r="D166" s="114"/>
      <c r="G166" s="120">
        <f>IF(ISERROR(MATCH(B166,MASTER!$B:$B,0)),B166,0)</f>
        <v>0</v>
      </c>
      <c r="H166" s="120">
        <f>IF(ISERROR(MATCH(MASTER!B171,'Peoplesoft Classlist'!$B:$B,0)),MASTER!B171,0)</f>
        <v>0</v>
      </c>
    </row>
    <row r="167" spans="2:8" x14ac:dyDescent="0.25">
      <c r="B167" s="115"/>
      <c r="C167" s="114"/>
      <c r="D167" s="114"/>
      <c r="G167" s="120">
        <f>IF(ISERROR(MATCH(B167,MASTER!$B:$B,0)),B167,0)</f>
        <v>0</v>
      </c>
      <c r="H167" s="120">
        <f>IF(ISERROR(MATCH(MASTER!B172,'Peoplesoft Classlist'!$B:$B,0)),MASTER!B172,0)</f>
        <v>0</v>
      </c>
    </row>
    <row r="168" spans="2:8" x14ac:dyDescent="0.25">
      <c r="B168" s="115"/>
      <c r="C168" s="114"/>
      <c r="D168" s="114"/>
      <c r="G168" s="120">
        <f>IF(ISERROR(MATCH(B168,MASTER!$B:$B,0)),B168,0)</f>
        <v>0</v>
      </c>
      <c r="H168" s="120">
        <f>IF(ISERROR(MATCH(MASTER!B173,'Peoplesoft Classlist'!$B:$B,0)),MASTER!B173,0)</f>
        <v>0</v>
      </c>
    </row>
    <row r="169" spans="2:8" x14ac:dyDescent="0.25">
      <c r="B169" s="115"/>
      <c r="C169" s="114"/>
      <c r="D169" s="114"/>
      <c r="G169" s="120">
        <f>IF(ISERROR(MATCH(B169,MASTER!$B:$B,0)),B169,0)</f>
        <v>0</v>
      </c>
      <c r="H169" s="120">
        <f>IF(ISERROR(MATCH(MASTER!B174,'Peoplesoft Classlist'!$B:$B,0)),MASTER!B174,0)</f>
        <v>0</v>
      </c>
    </row>
    <row r="170" spans="2:8" x14ac:dyDescent="0.25">
      <c r="B170" s="115"/>
      <c r="C170" s="114"/>
      <c r="D170" s="114"/>
      <c r="G170" s="120">
        <f>IF(ISERROR(MATCH(B170,MASTER!$B:$B,0)),B170,0)</f>
        <v>0</v>
      </c>
      <c r="H170" s="120">
        <f>IF(ISERROR(MATCH(MASTER!B175,'Peoplesoft Classlist'!$B:$B,0)),MASTER!B175,0)</f>
        <v>0</v>
      </c>
    </row>
    <row r="171" spans="2:8" x14ac:dyDescent="0.25">
      <c r="B171" s="115"/>
      <c r="C171" s="114"/>
      <c r="D171" s="114"/>
      <c r="G171" s="120">
        <f>IF(ISERROR(MATCH(B171,MASTER!$B:$B,0)),B171,0)</f>
        <v>0</v>
      </c>
      <c r="H171" s="120">
        <f>IF(ISERROR(MATCH(MASTER!B176,'Peoplesoft Classlist'!$B:$B,0)),MASTER!B176,0)</f>
        <v>0</v>
      </c>
    </row>
    <row r="172" spans="2:8" x14ac:dyDescent="0.25">
      <c r="B172" s="115"/>
      <c r="C172" s="114"/>
      <c r="D172" s="114"/>
      <c r="G172" s="120">
        <f>IF(ISERROR(MATCH(B172,MASTER!$B:$B,0)),B172,0)</f>
        <v>0</v>
      </c>
      <c r="H172" s="120">
        <f>IF(ISERROR(MATCH(MASTER!B177,'Peoplesoft Classlist'!$B:$B,0)),MASTER!B177,0)</f>
        <v>0</v>
      </c>
    </row>
    <row r="173" spans="2:8" x14ac:dyDescent="0.25">
      <c r="B173" s="115"/>
      <c r="C173" s="114"/>
      <c r="D173" s="114"/>
      <c r="G173" s="120">
        <f>IF(ISERROR(MATCH(B173,MASTER!$B:$B,0)),B173,0)</f>
        <v>0</v>
      </c>
      <c r="H173" s="120">
        <f>IF(ISERROR(MATCH(MASTER!B178,'Peoplesoft Classlist'!$B:$B,0)),MASTER!B178,0)</f>
        <v>0</v>
      </c>
    </row>
    <row r="174" spans="2:8" x14ac:dyDescent="0.25">
      <c r="B174" s="115"/>
      <c r="C174" s="114"/>
      <c r="D174" s="114"/>
      <c r="G174" s="120">
        <f>IF(ISERROR(MATCH(B174,MASTER!$B:$B,0)),B174,0)</f>
        <v>0</v>
      </c>
      <c r="H174" s="120">
        <f>IF(ISERROR(MATCH(MASTER!B179,'Peoplesoft Classlist'!$B:$B,0)),MASTER!B179,0)</f>
        <v>0</v>
      </c>
    </row>
    <row r="175" spans="2:8" x14ac:dyDescent="0.25">
      <c r="B175" s="115"/>
      <c r="C175" s="114"/>
      <c r="D175" s="114"/>
      <c r="G175" s="120">
        <f>IF(ISERROR(MATCH(B175,MASTER!$B:$B,0)),B175,0)</f>
        <v>0</v>
      </c>
      <c r="H175" s="120">
        <f>IF(ISERROR(MATCH(MASTER!B180,'Peoplesoft Classlist'!$B:$B,0)),MASTER!B180,0)</f>
        <v>0</v>
      </c>
    </row>
    <row r="176" spans="2:8" x14ac:dyDescent="0.25">
      <c r="B176" s="115"/>
      <c r="C176" s="114"/>
      <c r="D176" s="114"/>
      <c r="G176" s="120">
        <f>IF(ISERROR(MATCH(B176,MASTER!$B:$B,0)),B176,0)</f>
        <v>0</v>
      </c>
      <c r="H176" s="120">
        <f>IF(ISERROR(MATCH(MASTER!B181,'Peoplesoft Classlist'!$B:$B,0)),MASTER!B181,0)</f>
        <v>0</v>
      </c>
    </row>
    <row r="177" spans="2:8" x14ac:dyDescent="0.25">
      <c r="B177" s="115"/>
      <c r="C177" s="114"/>
      <c r="D177" s="114"/>
      <c r="G177" s="120">
        <f>IF(ISERROR(MATCH(B177,MASTER!$B:$B,0)),B177,0)</f>
        <v>0</v>
      </c>
      <c r="H177" s="120">
        <f>IF(ISERROR(MATCH(MASTER!B182,'Peoplesoft Classlist'!$B:$B,0)),MASTER!B182,0)</f>
        <v>0</v>
      </c>
    </row>
    <row r="178" spans="2:8" x14ac:dyDescent="0.25">
      <c r="B178" s="115"/>
      <c r="C178" s="114"/>
      <c r="D178" s="114"/>
      <c r="G178" s="120">
        <f>IF(ISERROR(MATCH(B178,MASTER!$B:$B,0)),B178,0)</f>
        <v>0</v>
      </c>
      <c r="H178" s="120">
        <f>IF(ISERROR(MATCH(MASTER!B183,'Peoplesoft Classlist'!$B:$B,0)),MASTER!B183,0)</f>
        <v>0</v>
      </c>
    </row>
    <row r="179" spans="2:8" x14ac:dyDescent="0.25">
      <c r="B179" s="115"/>
      <c r="C179" s="114"/>
      <c r="D179" s="114"/>
      <c r="G179" s="120">
        <f>IF(ISERROR(MATCH(B179,MASTER!$B:$B,0)),B179,0)</f>
        <v>0</v>
      </c>
      <c r="H179" s="120">
        <f>IF(ISERROR(MATCH(MASTER!B184,'Peoplesoft Classlist'!$B:$B,0)),MASTER!B184,0)</f>
        <v>0</v>
      </c>
    </row>
    <row r="180" spans="2:8" x14ac:dyDescent="0.25">
      <c r="B180" s="115"/>
      <c r="C180" s="114"/>
      <c r="D180" s="114"/>
      <c r="G180" s="120">
        <f>IF(ISERROR(MATCH(B180,MASTER!$B:$B,0)),B180,0)</f>
        <v>0</v>
      </c>
      <c r="H180" s="120">
        <f>IF(ISERROR(MATCH(MASTER!B185,'Peoplesoft Classlist'!$B:$B,0)),MASTER!B185,0)</f>
        <v>0</v>
      </c>
    </row>
    <row r="181" spans="2:8" x14ac:dyDescent="0.25">
      <c r="B181" s="115"/>
      <c r="C181" s="114"/>
      <c r="D181" s="114"/>
      <c r="G181" s="120">
        <f>IF(ISERROR(MATCH(B181,MASTER!$B:$B,0)),B181,0)</f>
        <v>0</v>
      </c>
      <c r="H181" s="120">
        <f>IF(ISERROR(MATCH(MASTER!B186,'Peoplesoft Classlist'!$B:$B,0)),MASTER!B186,0)</f>
        <v>0</v>
      </c>
    </row>
    <row r="182" spans="2:8" x14ac:dyDescent="0.25">
      <c r="B182" s="115"/>
      <c r="C182" s="114"/>
      <c r="D182" s="114"/>
      <c r="G182" s="120">
        <f>IF(ISERROR(MATCH(B182,MASTER!$B:$B,0)),B182,0)</f>
        <v>0</v>
      </c>
      <c r="H182" s="120">
        <f>IF(ISERROR(MATCH(MASTER!B187,'Peoplesoft Classlist'!$B:$B,0)),MASTER!B187,0)</f>
        <v>0</v>
      </c>
    </row>
    <row r="183" spans="2:8" x14ac:dyDescent="0.25">
      <c r="B183" s="115"/>
      <c r="C183" s="114"/>
      <c r="D183" s="114"/>
      <c r="G183" s="120">
        <f>IF(ISERROR(MATCH(B183,MASTER!$B:$B,0)),B183,0)</f>
        <v>0</v>
      </c>
      <c r="H183" s="120">
        <f>IF(ISERROR(MATCH(MASTER!B188,'Peoplesoft Classlist'!$B:$B,0)),MASTER!B188,0)</f>
        <v>0</v>
      </c>
    </row>
    <row r="184" spans="2:8" x14ac:dyDescent="0.25">
      <c r="B184" s="115"/>
      <c r="C184" s="114"/>
      <c r="D184" s="114"/>
      <c r="G184" s="120">
        <f>IF(ISERROR(MATCH(B184,MASTER!$B:$B,0)),B184,0)</f>
        <v>0</v>
      </c>
      <c r="H184" s="120">
        <f>IF(ISERROR(MATCH(MASTER!B189,'Peoplesoft Classlist'!$B:$B,0)),MASTER!B189,0)</f>
        <v>0</v>
      </c>
    </row>
    <row r="185" spans="2:8" x14ac:dyDescent="0.25">
      <c r="B185" s="115"/>
      <c r="C185" s="114"/>
      <c r="D185" s="114"/>
      <c r="G185" s="120">
        <f>IF(ISERROR(MATCH(B185,MASTER!$B:$B,0)),B185,0)</f>
        <v>0</v>
      </c>
      <c r="H185" s="120">
        <f>IF(ISERROR(MATCH(MASTER!B190,'Peoplesoft Classlist'!$B:$B,0)),MASTER!B190,0)</f>
        <v>0</v>
      </c>
    </row>
    <row r="186" spans="2:8" x14ac:dyDescent="0.25">
      <c r="B186" s="115"/>
      <c r="C186" s="114"/>
      <c r="D186" s="114"/>
      <c r="G186" s="120">
        <f>IF(ISERROR(MATCH(B186,MASTER!$B:$B,0)),B186,0)</f>
        <v>0</v>
      </c>
      <c r="H186" s="120">
        <f>IF(ISERROR(MATCH(MASTER!B191,'Peoplesoft Classlist'!$B:$B,0)),MASTER!B191,0)</f>
        <v>0</v>
      </c>
    </row>
    <row r="187" spans="2:8" x14ac:dyDescent="0.25">
      <c r="B187" s="115"/>
      <c r="C187" s="114"/>
      <c r="D187" s="114"/>
      <c r="G187" s="120">
        <f>IF(ISERROR(MATCH(B187,MASTER!$B:$B,0)),B187,0)</f>
        <v>0</v>
      </c>
      <c r="H187" s="120">
        <f>IF(ISERROR(MATCH(MASTER!B192,'Peoplesoft Classlist'!$B:$B,0)),MASTER!B192,0)</f>
        <v>0</v>
      </c>
    </row>
    <row r="188" spans="2:8" x14ac:dyDescent="0.25">
      <c r="B188" s="115"/>
      <c r="C188" s="114"/>
      <c r="D188" s="114"/>
      <c r="G188" s="120">
        <f>IF(ISERROR(MATCH(B188,MASTER!$B:$B,0)),B188,0)</f>
        <v>0</v>
      </c>
      <c r="H188" s="120">
        <f>IF(ISERROR(MATCH(MASTER!B193,'Peoplesoft Classlist'!$B:$B,0)),MASTER!B193,0)</f>
        <v>0</v>
      </c>
    </row>
    <row r="189" spans="2:8" x14ac:dyDescent="0.25">
      <c r="B189" s="115"/>
      <c r="C189" s="114"/>
      <c r="D189" s="114"/>
      <c r="G189" s="120">
        <f>IF(ISERROR(MATCH(B189,MASTER!$B:$B,0)),B189,0)</f>
        <v>0</v>
      </c>
      <c r="H189" s="120">
        <f>IF(ISERROR(MATCH(MASTER!B194,'Peoplesoft Classlist'!$B:$B,0)),MASTER!B194,0)</f>
        <v>0</v>
      </c>
    </row>
    <row r="190" spans="2:8" x14ac:dyDescent="0.25">
      <c r="B190" s="115"/>
      <c r="C190" s="114"/>
      <c r="D190" s="114"/>
      <c r="G190" s="120">
        <f>IF(ISERROR(MATCH(B190,MASTER!$B:$B,0)),B190,0)</f>
        <v>0</v>
      </c>
      <c r="H190" s="120">
        <f>IF(ISERROR(MATCH(MASTER!B195,'Peoplesoft Classlist'!$B:$B,0)),MASTER!B195,0)</f>
        <v>0</v>
      </c>
    </row>
    <row r="191" spans="2:8" x14ac:dyDescent="0.25">
      <c r="B191" s="115"/>
      <c r="C191" s="114"/>
      <c r="D191" s="114"/>
      <c r="G191" s="120">
        <f>IF(ISERROR(MATCH(B191,MASTER!$B:$B,0)),B191,0)</f>
        <v>0</v>
      </c>
      <c r="H191" s="120">
        <f>IF(ISERROR(MATCH(MASTER!B196,'Peoplesoft Classlist'!$B:$B,0)),MASTER!B196,0)</f>
        <v>0</v>
      </c>
    </row>
    <row r="192" spans="2:8" x14ac:dyDescent="0.25">
      <c r="B192" s="115"/>
      <c r="C192" s="114"/>
      <c r="D192" s="114"/>
      <c r="G192" s="120">
        <f>IF(ISERROR(MATCH(B192,MASTER!$B:$B,0)),B192,0)</f>
        <v>0</v>
      </c>
      <c r="H192" s="120">
        <f>IF(ISERROR(MATCH(MASTER!B197,'Peoplesoft Classlist'!$B:$B,0)),MASTER!B197,0)</f>
        <v>0</v>
      </c>
    </row>
    <row r="193" spans="2:8" x14ac:dyDescent="0.25">
      <c r="B193" s="115"/>
      <c r="C193" s="114"/>
      <c r="D193" s="114"/>
      <c r="G193" s="120">
        <f>IF(ISERROR(MATCH(B193,MASTER!$B:$B,0)),B193,0)</f>
        <v>0</v>
      </c>
      <c r="H193" s="120">
        <f>IF(ISERROR(MATCH(MASTER!B198,'Peoplesoft Classlist'!$B:$B,0)),MASTER!B198,0)</f>
        <v>0</v>
      </c>
    </row>
    <row r="194" spans="2:8" x14ac:dyDescent="0.25">
      <c r="B194" s="115"/>
      <c r="C194" s="114"/>
      <c r="D194" s="114"/>
      <c r="G194" s="120">
        <f>IF(ISERROR(MATCH(B194,MASTER!$B:$B,0)),B194,0)</f>
        <v>0</v>
      </c>
      <c r="H194" s="120">
        <f>IF(ISERROR(MATCH(MASTER!B199,'Peoplesoft Classlist'!$B:$B,0)),MASTER!B199,0)</f>
        <v>0</v>
      </c>
    </row>
    <row r="195" spans="2:8" x14ac:dyDescent="0.25">
      <c r="B195" s="115"/>
      <c r="C195" s="114"/>
      <c r="D195" s="114"/>
      <c r="G195" s="120">
        <f>IF(ISERROR(MATCH(B195,MASTER!$B:$B,0)),B195,0)</f>
        <v>0</v>
      </c>
      <c r="H195" s="120">
        <f>IF(ISERROR(MATCH(MASTER!B200,'Peoplesoft Classlist'!$B:$B,0)),MASTER!B200,0)</f>
        <v>0</v>
      </c>
    </row>
    <row r="196" spans="2:8" x14ac:dyDescent="0.25">
      <c r="B196" s="115"/>
      <c r="C196" s="114"/>
      <c r="D196" s="114"/>
      <c r="G196" s="120">
        <f>IF(ISERROR(MATCH(B196,MASTER!$B:$B,0)),B196,0)</f>
        <v>0</v>
      </c>
      <c r="H196" s="120">
        <f>IF(ISERROR(MATCH(MASTER!B201,'Peoplesoft Classlist'!$B:$B,0)),MASTER!B201,0)</f>
        <v>0</v>
      </c>
    </row>
    <row r="197" spans="2:8" x14ac:dyDescent="0.25">
      <c r="B197" s="115"/>
      <c r="C197" s="114"/>
      <c r="D197" s="114"/>
      <c r="G197" s="120">
        <f>IF(ISERROR(MATCH(B197,MASTER!$B:$B,0)),B197,0)</f>
        <v>0</v>
      </c>
      <c r="H197" s="120">
        <f>IF(ISERROR(MATCH(MASTER!B202,'Peoplesoft Classlist'!$B:$B,0)),MASTER!B202,0)</f>
        <v>0</v>
      </c>
    </row>
    <row r="198" spans="2:8" x14ac:dyDescent="0.25">
      <c r="B198" s="115"/>
      <c r="C198" s="114"/>
      <c r="D198" s="114"/>
      <c r="G198" s="120">
        <f>IF(ISERROR(MATCH(B198,MASTER!$B:$B,0)),B198,0)</f>
        <v>0</v>
      </c>
      <c r="H198" s="120">
        <f>IF(ISERROR(MATCH(MASTER!B203,'Peoplesoft Classlist'!$B:$B,0)),MASTER!B203,0)</f>
        <v>0</v>
      </c>
    </row>
    <row r="199" spans="2:8" x14ac:dyDescent="0.25">
      <c r="B199" s="115"/>
      <c r="C199" s="114"/>
      <c r="D199" s="114"/>
      <c r="G199" s="120">
        <f>IF(ISERROR(MATCH(B199,MASTER!$B:$B,0)),B199,0)</f>
        <v>0</v>
      </c>
      <c r="H199" s="120">
        <f>IF(ISERROR(MATCH(MASTER!B204,'Peoplesoft Classlist'!$B:$B,0)),MASTER!B204,0)</f>
        <v>0</v>
      </c>
    </row>
    <row r="200" spans="2:8" x14ac:dyDescent="0.25">
      <c r="B200" s="115"/>
      <c r="C200" s="114"/>
      <c r="D200" s="114"/>
      <c r="G200" s="120">
        <f>IF(ISERROR(MATCH(B200,MASTER!$B:$B,0)),B200,0)</f>
        <v>0</v>
      </c>
      <c r="H200" s="120">
        <f>IF(ISERROR(MATCH(MASTER!B205,'Peoplesoft Classlist'!$B:$B,0)),MASTER!B205,0)</f>
        <v>0</v>
      </c>
    </row>
    <row r="201" spans="2:8" x14ac:dyDescent="0.25">
      <c r="B201" s="115"/>
      <c r="C201" s="114"/>
      <c r="D201" s="114"/>
      <c r="G201" s="120">
        <f>IF(ISERROR(MATCH(B201,MASTER!$B:$B,0)),B201,0)</f>
        <v>0</v>
      </c>
      <c r="H201" s="120">
        <f>IF(ISERROR(MATCH(MASTER!B206,'Peoplesoft Classlist'!$B:$B,0)),MASTER!B206,0)</f>
        <v>0</v>
      </c>
    </row>
    <row r="202" spans="2:8" x14ac:dyDescent="0.25">
      <c r="B202" s="115"/>
      <c r="C202" s="114"/>
      <c r="D202" s="114"/>
      <c r="G202" s="120">
        <f>IF(ISERROR(MATCH(B202,MASTER!$B:$B,0)),B202,0)</f>
        <v>0</v>
      </c>
      <c r="H202" s="120">
        <f>IF(ISERROR(MATCH(MASTER!B207,'Peoplesoft Classlist'!$B:$B,0)),MASTER!B207,0)</f>
        <v>0</v>
      </c>
    </row>
    <row r="203" spans="2:8" x14ac:dyDescent="0.25">
      <c r="B203" s="115"/>
      <c r="C203" s="114"/>
      <c r="D203" s="114"/>
      <c r="G203" s="120">
        <f>IF(ISERROR(MATCH(B203,MASTER!$B:$B,0)),B203,0)</f>
        <v>0</v>
      </c>
      <c r="H203" s="120">
        <f>IF(ISERROR(MATCH(MASTER!B208,'Peoplesoft Classlist'!$B:$B,0)),MASTER!B208,0)</f>
        <v>0</v>
      </c>
    </row>
    <row r="204" spans="2:8" x14ac:dyDescent="0.25">
      <c r="B204" s="115"/>
      <c r="C204" s="114"/>
      <c r="D204" s="114"/>
      <c r="G204" s="120">
        <f>IF(ISERROR(MATCH(B204,MASTER!$B:$B,0)),B204,0)</f>
        <v>0</v>
      </c>
      <c r="H204" s="120">
        <f>IF(ISERROR(MATCH(MASTER!B209,'Peoplesoft Classlist'!$B:$B,0)),MASTER!B209,0)</f>
        <v>0</v>
      </c>
    </row>
    <row r="205" spans="2:8" x14ac:dyDescent="0.25">
      <c r="B205" s="115"/>
      <c r="C205" s="114"/>
      <c r="D205" s="114"/>
      <c r="G205" s="120">
        <f>IF(ISERROR(MATCH(B205,MASTER!$B:$B,0)),B205,0)</f>
        <v>0</v>
      </c>
      <c r="H205" s="120">
        <f>IF(ISERROR(MATCH(MASTER!B210,'Peoplesoft Classlist'!$B:$B,0)),MASTER!B210,0)</f>
        <v>0</v>
      </c>
    </row>
    <row r="206" spans="2:8" x14ac:dyDescent="0.25">
      <c r="B206" s="115"/>
      <c r="C206" s="114"/>
      <c r="D206" s="114"/>
      <c r="G206" s="120">
        <f>IF(ISERROR(MATCH(B206,MASTER!$B:$B,0)),B206,0)</f>
        <v>0</v>
      </c>
      <c r="H206" s="120">
        <f>IF(ISERROR(MATCH(MASTER!B211,'Peoplesoft Classlist'!$B:$B,0)),MASTER!B211,0)</f>
        <v>0</v>
      </c>
    </row>
    <row r="207" spans="2:8" x14ac:dyDescent="0.25">
      <c r="B207" s="115"/>
      <c r="C207" s="114"/>
      <c r="D207" s="114"/>
      <c r="G207" s="120">
        <f>IF(ISERROR(MATCH(B207,MASTER!$B:$B,0)),B207,0)</f>
        <v>0</v>
      </c>
      <c r="H207" s="120">
        <f>IF(ISERROR(MATCH(MASTER!B212,'Peoplesoft Classlist'!$B:$B,0)),MASTER!B212,0)</f>
        <v>0</v>
      </c>
    </row>
    <row r="208" spans="2:8" x14ac:dyDescent="0.25">
      <c r="B208" s="115"/>
      <c r="C208" s="114"/>
      <c r="D208" s="114"/>
      <c r="G208" s="120">
        <f>IF(ISERROR(MATCH(B208,MASTER!$B:$B,0)),B208,0)</f>
        <v>0</v>
      </c>
      <c r="H208" s="120">
        <f>IF(ISERROR(MATCH(MASTER!B213,'Peoplesoft Classlist'!$B:$B,0)),MASTER!B213,0)</f>
        <v>0</v>
      </c>
    </row>
    <row r="209" spans="2:8" x14ac:dyDescent="0.25">
      <c r="B209" s="115"/>
      <c r="C209" s="114"/>
      <c r="D209" s="114"/>
      <c r="G209" s="120">
        <f>IF(ISERROR(MATCH(B209,MASTER!$B:$B,0)),B209,0)</f>
        <v>0</v>
      </c>
      <c r="H209" s="120">
        <f>IF(ISERROR(MATCH(MASTER!B214,'Peoplesoft Classlist'!$B:$B,0)),MASTER!B214,0)</f>
        <v>0</v>
      </c>
    </row>
    <row r="210" spans="2:8" x14ac:dyDescent="0.25">
      <c r="B210" s="115"/>
      <c r="C210" s="114"/>
      <c r="D210" s="114"/>
      <c r="G210" s="120">
        <f>IF(ISERROR(MATCH(B210,MASTER!$B:$B,0)),B210,0)</f>
        <v>0</v>
      </c>
      <c r="H210" s="120">
        <f>IF(ISERROR(MATCH(MASTER!B215,'Peoplesoft Classlist'!$B:$B,0)),MASTER!B215,0)</f>
        <v>0</v>
      </c>
    </row>
    <row r="211" spans="2:8" x14ac:dyDescent="0.25">
      <c r="B211" s="115"/>
      <c r="C211" s="114"/>
      <c r="D211" s="114"/>
      <c r="G211" s="120">
        <f>IF(ISERROR(MATCH(B211,MASTER!$B:$B,0)),B211,0)</f>
        <v>0</v>
      </c>
      <c r="H211" s="120">
        <f>IF(ISERROR(MATCH(MASTER!B216,'Peoplesoft Classlist'!$B:$B,0)),MASTER!B216,0)</f>
        <v>0</v>
      </c>
    </row>
    <row r="212" spans="2:8" x14ac:dyDescent="0.25">
      <c r="B212" s="115"/>
      <c r="C212" s="114"/>
      <c r="D212" s="114"/>
      <c r="G212" s="120">
        <f>IF(ISERROR(MATCH(B212,MASTER!$B:$B,0)),B212,0)</f>
        <v>0</v>
      </c>
      <c r="H212" s="120">
        <f>IF(ISERROR(MATCH(MASTER!B217,'Peoplesoft Classlist'!$B:$B,0)),MASTER!B217,0)</f>
        <v>0</v>
      </c>
    </row>
    <row r="213" spans="2:8" x14ac:dyDescent="0.25">
      <c r="B213" s="115"/>
      <c r="C213" s="114"/>
      <c r="D213" s="114"/>
      <c r="G213" s="120">
        <f>IF(ISERROR(MATCH(B213,MASTER!$B:$B,0)),B213,0)</f>
        <v>0</v>
      </c>
      <c r="H213" s="120">
        <f>IF(ISERROR(MATCH(MASTER!B218,'Peoplesoft Classlist'!$B:$B,0)),MASTER!B218,0)</f>
        <v>0</v>
      </c>
    </row>
    <row r="214" spans="2:8" x14ac:dyDescent="0.25">
      <c r="B214" s="115"/>
      <c r="C214" s="114"/>
      <c r="D214" s="114"/>
      <c r="G214" s="120">
        <f>IF(ISERROR(MATCH(B214,MASTER!$B:$B,0)),B214,0)</f>
        <v>0</v>
      </c>
      <c r="H214" s="120">
        <f>IF(ISERROR(MATCH(MASTER!B219,'Peoplesoft Classlist'!$B:$B,0)),MASTER!B219,0)</f>
        <v>0</v>
      </c>
    </row>
    <row r="215" spans="2:8" x14ac:dyDescent="0.25">
      <c r="B215" s="115"/>
      <c r="C215" s="114"/>
      <c r="D215" s="114"/>
      <c r="G215" s="120">
        <f>IF(ISERROR(MATCH(B215,MASTER!$B:$B,0)),B215,0)</f>
        <v>0</v>
      </c>
      <c r="H215" s="120">
        <f>IF(ISERROR(MATCH(MASTER!B220,'Peoplesoft Classlist'!$B:$B,0)),MASTER!B220,0)</f>
        <v>0</v>
      </c>
    </row>
    <row r="216" spans="2:8" x14ac:dyDescent="0.25">
      <c r="B216" s="115"/>
      <c r="C216" s="114"/>
      <c r="D216" s="114"/>
      <c r="G216" s="120">
        <f>IF(ISERROR(MATCH(B216,MASTER!$B:$B,0)),B216,0)</f>
        <v>0</v>
      </c>
      <c r="H216" s="120">
        <f>IF(ISERROR(MATCH(MASTER!B221,'Peoplesoft Classlist'!$B:$B,0)),MASTER!B221,0)</f>
        <v>0</v>
      </c>
    </row>
    <row r="217" spans="2:8" x14ac:dyDescent="0.25">
      <c r="B217" s="115"/>
      <c r="C217" s="114"/>
      <c r="D217" s="114"/>
      <c r="G217" s="120">
        <f>IF(ISERROR(MATCH(B217,MASTER!$B:$B,0)),B217,0)</f>
        <v>0</v>
      </c>
      <c r="H217" s="120">
        <f>IF(ISERROR(MATCH(MASTER!B222,'Peoplesoft Classlist'!$B:$B,0)),MASTER!B222,0)</f>
        <v>0</v>
      </c>
    </row>
    <row r="218" spans="2:8" x14ac:dyDescent="0.25">
      <c r="B218" s="115"/>
      <c r="C218" s="114"/>
      <c r="D218" s="114"/>
      <c r="G218" s="120">
        <f>IF(ISERROR(MATCH(B218,MASTER!$B:$B,0)),B218,0)</f>
        <v>0</v>
      </c>
      <c r="H218" s="120">
        <f>IF(ISERROR(MATCH(MASTER!B223,'Peoplesoft Classlist'!$B:$B,0)),MASTER!B223,0)</f>
        <v>0</v>
      </c>
    </row>
    <row r="219" spans="2:8" x14ac:dyDescent="0.25">
      <c r="B219" s="115"/>
      <c r="C219" s="114"/>
      <c r="D219" s="114"/>
      <c r="G219" s="120">
        <f>IF(ISERROR(MATCH(B219,MASTER!$B:$B,0)),B219,0)</f>
        <v>0</v>
      </c>
      <c r="H219" s="120">
        <f>IF(ISERROR(MATCH(MASTER!B224,'Peoplesoft Classlist'!$B:$B,0)),MASTER!B224,0)</f>
        <v>0</v>
      </c>
    </row>
    <row r="220" spans="2:8" x14ac:dyDescent="0.25">
      <c r="B220" s="115"/>
      <c r="C220" s="114"/>
      <c r="D220" s="114"/>
      <c r="G220" s="120">
        <f>IF(ISERROR(MATCH(B220,MASTER!$B:$B,0)),B220,0)</f>
        <v>0</v>
      </c>
      <c r="H220" s="120">
        <f>IF(ISERROR(MATCH(MASTER!B225,'Peoplesoft Classlist'!$B:$B,0)),MASTER!B225,0)</f>
        <v>0</v>
      </c>
    </row>
    <row r="221" spans="2:8" x14ac:dyDescent="0.25">
      <c r="B221" s="115"/>
      <c r="C221" s="114"/>
      <c r="D221" s="114"/>
      <c r="G221" s="120">
        <f>IF(ISERROR(MATCH(B221,MASTER!$B:$B,0)),B221,0)</f>
        <v>0</v>
      </c>
      <c r="H221" s="120">
        <f>IF(ISERROR(MATCH(MASTER!B226,'Peoplesoft Classlist'!$B:$B,0)),MASTER!B226,0)</f>
        <v>0</v>
      </c>
    </row>
    <row r="222" spans="2:8" x14ac:dyDescent="0.25">
      <c r="B222" s="115"/>
      <c r="C222" s="114"/>
      <c r="D222" s="114"/>
      <c r="G222" s="120">
        <f>IF(ISERROR(MATCH(B222,MASTER!$B:$B,0)),B222,0)</f>
        <v>0</v>
      </c>
      <c r="H222" s="120">
        <f>IF(ISERROR(MATCH(MASTER!B227,'Peoplesoft Classlist'!$B:$B,0)),MASTER!B227,0)</f>
        <v>0</v>
      </c>
    </row>
    <row r="223" spans="2:8" x14ac:dyDescent="0.25">
      <c r="B223" s="115"/>
      <c r="C223" s="114"/>
      <c r="D223" s="114"/>
      <c r="G223" s="120">
        <f>IF(ISERROR(MATCH(B223,MASTER!$B:$B,0)),B223,0)</f>
        <v>0</v>
      </c>
      <c r="H223" s="120">
        <f>IF(ISERROR(MATCH(MASTER!B228,'Peoplesoft Classlist'!$B:$B,0)),MASTER!B228,0)</f>
        <v>0</v>
      </c>
    </row>
    <row r="224" spans="2:8" x14ac:dyDescent="0.25">
      <c r="B224" s="115"/>
      <c r="C224" s="114"/>
      <c r="D224" s="114"/>
      <c r="G224" s="120">
        <f>IF(ISERROR(MATCH(B224,MASTER!$B:$B,0)),B224,0)</f>
        <v>0</v>
      </c>
      <c r="H224" s="120">
        <f>IF(ISERROR(MATCH(MASTER!B229,'Peoplesoft Classlist'!$B:$B,0)),MASTER!B229,0)</f>
        <v>0</v>
      </c>
    </row>
    <row r="225" spans="2:8" x14ac:dyDescent="0.25">
      <c r="B225" s="115"/>
      <c r="C225" s="114"/>
      <c r="D225" s="114"/>
      <c r="G225" s="120">
        <f>IF(ISERROR(MATCH(B225,MASTER!$B:$B,0)),B225,0)</f>
        <v>0</v>
      </c>
      <c r="H225" s="120">
        <f>IF(ISERROR(MATCH(MASTER!B230,'Peoplesoft Classlist'!$B:$B,0)),MASTER!B230,0)</f>
        <v>0</v>
      </c>
    </row>
    <row r="226" spans="2:8" x14ac:dyDescent="0.25">
      <c r="B226" s="115"/>
      <c r="C226" s="114"/>
      <c r="D226" s="114"/>
      <c r="G226" s="120">
        <f>IF(ISERROR(MATCH(B226,MASTER!$B:$B,0)),B226,0)</f>
        <v>0</v>
      </c>
      <c r="H226" s="120">
        <f>IF(ISERROR(MATCH(MASTER!B231,'Peoplesoft Classlist'!$B:$B,0)),MASTER!B231,0)</f>
        <v>0</v>
      </c>
    </row>
    <row r="227" spans="2:8" x14ac:dyDescent="0.25">
      <c r="B227" s="115"/>
      <c r="C227" s="114"/>
      <c r="D227" s="114"/>
      <c r="G227" s="120">
        <f>IF(ISERROR(MATCH(B227,MASTER!$B:$B,0)),B227,0)</f>
        <v>0</v>
      </c>
      <c r="H227" s="120">
        <f>IF(ISERROR(MATCH(MASTER!B232,'Peoplesoft Classlist'!$B:$B,0)),MASTER!B232,0)</f>
        <v>0</v>
      </c>
    </row>
    <row r="228" spans="2:8" x14ac:dyDescent="0.25">
      <c r="B228" s="115"/>
      <c r="C228" s="114"/>
      <c r="D228" s="114"/>
      <c r="G228" s="120">
        <f>IF(ISERROR(MATCH(B228,MASTER!$B:$B,0)),B228,0)</f>
        <v>0</v>
      </c>
      <c r="H228" s="120">
        <f>IF(ISERROR(MATCH(MASTER!B233,'Peoplesoft Classlist'!$B:$B,0)),MASTER!B233,0)</f>
        <v>0</v>
      </c>
    </row>
    <row r="229" spans="2:8" x14ac:dyDescent="0.25">
      <c r="B229" s="115"/>
      <c r="C229" s="114"/>
      <c r="D229" s="114"/>
      <c r="G229" s="120">
        <f>IF(ISERROR(MATCH(B229,MASTER!$B:$B,0)),B229,0)</f>
        <v>0</v>
      </c>
      <c r="H229" s="120">
        <f>IF(ISERROR(MATCH(MASTER!B234,'Peoplesoft Classlist'!$B:$B,0)),MASTER!B234,0)</f>
        <v>0</v>
      </c>
    </row>
    <row r="230" spans="2:8" x14ac:dyDescent="0.25">
      <c r="B230" s="115"/>
      <c r="C230" s="114"/>
      <c r="D230" s="114"/>
      <c r="G230" s="120">
        <f>IF(ISERROR(MATCH(B230,MASTER!$B:$B,0)),B230,0)</f>
        <v>0</v>
      </c>
      <c r="H230" s="120">
        <f>IF(ISERROR(MATCH(MASTER!B235,'Peoplesoft Classlist'!$B:$B,0)),MASTER!B235,0)</f>
        <v>0</v>
      </c>
    </row>
    <row r="231" spans="2:8" x14ac:dyDescent="0.25">
      <c r="B231" s="115"/>
      <c r="C231" s="114"/>
      <c r="D231" s="114"/>
      <c r="G231" s="120">
        <f>IF(ISERROR(MATCH(B231,MASTER!$B:$B,0)),B231,0)</f>
        <v>0</v>
      </c>
      <c r="H231" s="120">
        <f>IF(ISERROR(MATCH(MASTER!B236,'Peoplesoft Classlist'!$B:$B,0)),MASTER!B236,0)</f>
        <v>0</v>
      </c>
    </row>
    <row r="232" spans="2:8" x14ac:dyDescent="0.25">
      <c r="B232" s="115"/>
      <c r="C232" s="114"/>
      <c r="D232" s="114"/>
      <c r="G232" s="120">
        <f>IF(ISERROR(MATCH(B232,MASTER!$B:$B,0)),B232,0)</f>
        <v>0</v>
      </c>
      <c r="H232" s="120">
        <f>IF(ISERROR(MATCH(MASTER!B237,'Peoplesoft Classlist'!$B:$B,0)),MASTER!B237,0)</f>
        <v>0</v>
      </c>
    </row>
    <row r="233" spans="2:8" x14ac:dyDescent="0.25">
      <c r="B233" s="115"/>
      <c r="C233" s="114"/>
      <c r="D233" s="114"/>
      <c r="G233" s="120">
        <f>IF(ISERROR(MATCH(B233,MASTER!$B:$B,0)),B233,0)</f>
        <v>0</v>
      </c>
      <c r="H233" s="120">
        <f>IF(ISERROR(MATCH(MASTER!B238,'Peoplesoft Classlist'!$B:$B,0)),MASTER!B238,0)</f>
        <v>0</v>
      </c>
    </row>
    <row r="234" spans="2:8" x14ac:dyDescent="0.25">
      <c r="B234" s="115"/>
      <c r="C234" s="114"/>
      <c r="D234" s="114"/>
      <c r="G234" s="120">
        <f>IF(ISERROR(MATCH(B234,MASTER!$B:$B,0)),B234,0)</f>
        <v>0</v>
      </c>
      <c r="H234" s="120">
        <f>IF(ISERROR(MATCH(MASTER!B239,'Peoplesoft Classlist'!$B:$B,0)),MASTER!B239,0)</f>
        <v>0</v>
      </c>
    </row>
    <row r="235" spans="2:8" x14ac:dyDescent="0.25">
      <c r="B235" s="115"/>
      <c r="C235" s="114"/>
      <c r="D235" s="114"/>
      <c r="G235" s="120">
        <f>IF(ISERROR(MATCH(B235,MASTER!$B:$B,0)),B235,0)</f>
        <v>0</v>
      </c>
      <c r="H235" s="120">
        <f>IF(ISERROR(MATCH(MASTER!B240,'Peoplesoft Classlist'!$B:$B,0)),MASTER!B240,0)</f>
        <v>0</v>
      </c>
    </row>
    <row r="236" spans="2:8" x14ac:dyDescent="0.25">
      <c r="B236" s="115"/>
      <c r="C236" s="114"/>
      <c r="D236" s="114"/>
      <c r="G236" s="120">
        <f>IF(ISERROR(MATCH(B236,MASTER!$B:$B,0)),B236,0)</f>
        <v>0</v>
      </c>
      <c r="H236" s="120">
        <f>IF(ISERROR(MATCH(MASTER!B241,'Peoplesoft Classlist'!$B:$B,0)),MASTER!B241,0)</f>
        <v>0</v>
      </c>
    </row>
    <row r="237" spans="2:8" x14ac:dyDescent="0.25">
      <c r="B237" s="115"/>
      <c r="C237" s="114"/>
      <c r="D237" s="114"/>
      <c r="G237" s="120">
        <f>IF(ISERROR(MATCH(B237,MASTER!$B:$B,0)),B237,0)</f>
        <v>0</v>
      </c>
      <c r="H237" s="120">
        <f>IF(ISERROR(MATCH(MASTER!B242,'Peoplesoft Classlist'!$B:$B,0)),MASTER!B242,0)</f>
        <v>0</v>
      </c>
    </row>
    <row r="238" spans="2:8" x14ac:dyDescent="0.25">
      <c r="B238" s="115"/>
      <c r="C238" s="114"/>
      <c r="D238" s="114"/>
      <c r="G238" s="120">
        <f>IF(ISERROR(MATCH(B238,MASTER!$B:$B,0)),B238,0)</f>
        <v>0</v>
      </c>
      <c r="H238" s="120">
        <f>IF(ISERROR(MATCH(MASTER!B243,'Peoplesoft Classlist'!$B:$B,0)),MASTER!B243,0)</f>
        <v>0</v>
      </c>
    </row>
    <row r="239" spans="2:8" x14ac:dyDescent="0.25">
      <c r="B239" s="115"/>
      <c r="C239" s="114"/>
      <c r="D239" s="114"/>
      <c r="G239" s="120">
        <f>IF(ISERROR(MATCH(B239,MASTER!$B:$B,0)),B239,0)</f>
        <v>0</v>
      </c>
      <c r="H239" s="120">
        <f>IF(ISERROR(MATCH(MASTER!B244,'Peoplesoft Classlist'!$B:$B,0)),MASTER!B244,0)</f>
        <v>0</v>
      </c>
    </row>
    <row r="240" spans="2:8" x14ac:dyDescent="0.25">
      <c r="B240" s="115"/>
      <c r="C240" s="114"/>
      <c r="D240" s="114"/>
      <c r="G240" s="120">
        <f>IF(ISERROR(MATCH(B240,MASTER!$B:$B,0)),B240,0)</f>
        <v>0</v>
      </c>
      <c r="H240" s="120">
        <f>IF(ISERROR(MATCH(MASTER!B245,'Peoplesoft Classlist'!$B:$B,0)),MASTER!B245,0)</f>
        <v>0</v>
      </c>
    </row>
    <row r="241" spans="2:8" x14ac:dyDescent="0.25">
      <c r="B241" s="115"/>
      <c r="C241" s="114"/>
      <c r="D241" s="114"/>
      <c r="G241" s="120">
        <f>IF(ISERROR(MATCH(B241,MASTER!$B:$B,0)),B241,0)</f>
        <v>0</v>
      </c>
      <c r="H241" s="120">
        <f>IF(ISERROR(MATCH(MASTER!B246,'Peoplesoft Classlist'!$B:$B,0)),MASTER!B246,0)</f>
        <v>0</v>
      </c>
    </row>
    <row r="242" spans="2:8" x14ac:dyDescent="0.25">
      <c r="B242" s="115"/>
      <c r="C242" s="114"/>
      <c r="D242" s="114"/>
      <c r="G242" s="120">
        <f>IF(ISERROR(MATCH(B242,MASTER!$B:$B,0)),B242,0)</f>
        <v>0</v>
      </c>
      <c r="H242" s="120">
        <f>IF(ISERROR(MATCH(MASTER!B247,'Peoplesoft Classlist'!$B:$B,0)),MASTER!B247,0)</f>
        <v>0</v>
      </c>
    </row>
    <row r="243" spans="2:8" x14ac:dyDescent="0.25">
      <c r="B243" s="115"/>
      <c r="C243" s="114"/>
      <c r="D243" s="114"/>
      <c r="G243" s="120">
        <f>IF(ISERROR(MATCH(B243,MASTER!$B:$B,0)),B243,0)</f>
        <v>0</v>
      </c>
      <c r="H243" s="120">
        <f>IF(ISERROR(MATCH(MASTER!B248,'Peoplesoft Classlist'!$B:$B,0)),MASTER!B248,0)</f>
        <v>0</v>
      </c>
    </row>
    <row r="244" spans="2:8" x14ac:dyDescent="0.25">
      <c r="B244" s="115"/>
      <c r="C244" s="114"/>
      <c r="D244" s="114"/>
      <c r="G244" s="120">
        <f>IF(ISERROR(MATCH(B244,MASTER!$B:$B,0)),B244,0)</f>
        <v>0</v>
      </c>
      <c r="H244" s="120">
        <f>IF(ISERROR(MATCH(MASTER!B249,'Peoplesoft Classlist'!$B:$B,0)),MASTER!B249,0)</f>
        <v>0</v>
      </c>
    </row>
    <row r="245" spans="2:8" x14ac:dyDescent="0.25">
      <c r="B245" s="115"/>
      <c r="C245" s="114"/>
      <c r="D245" s="114"/>
      <c r="G245" s="120">
        <f>IF(ISERROR(MATCH(B245,MASTER!$B:$B,0)),B245,0)</f>
        <v>0</v>
      </c>
      <c r="H245" s="120">
        <f>IF(ISERROR(MATCH(MASTER!B250,'Peoplesoft Classlist'!$B:$B,0)),MASTER!B250,0)</f>
        <v>0</v>
      </c>
    </row>
    <row r="246" spans="2:8" x14ac:dyDescent="0.25">
      <c r="B246" s="115"/>
      <c r="C246" s="114"/>
      <c r="D246" s="114"/>
      <c r="G246" s="120">
        <f>IF(ISERROR(MATCH(B246,MASTER!$B:$B,0)),B246,0)</f>
        <v>0</v>
      </c>
      <c r="H246" s="120">
        <f>IF(ISERROR(MATCH(MASTER!B251,'Peoplesoft Classlist'!$B:$B,0)),MASTER!B251,0)</f>
        <v>0</v>
      </c>
    </row>
    <row r="247" spans="2:8" x14ac:dyDescent="0.25">
      <c r="B247" s="115"/>
      <c r="C247" s="114"/>
      <c r="D247" s="114"/>
      <c r="G247" s="120">
        <f>IF(ISERROR(MATCH(B247,MASTER!$B:$B,0)),B247,0)</f>
        <v>0</v>
      </c>
      <c r="H247" s="120">
        <f>IF(ISERROR(MATCH(MASTER!B252,'Peoplesoft Classlist'!$B:$B,0)),MASTER!B252,0)</f>
        <v>0</v>
      </c>
    </row>
    <row r="248" spans="2:8" x14ac:dyDescent="0.25">
      <c r="B248" s="115"/>
      <c r="C248" s="114"/>
      <c r="D248" s="114"/>
      <c r="G248" s="120">
        <f>IF(ISERROR(MATCH(B248,MASTER!$B:$B,0)),B248,0)</f>
        <v>0</v>
      </c>
      <c r="H248" s="120">
        <f>IF(ISERROR(MATCH(MASTER!B253,'Peoplesoft Classlist'!$B:$B,0)),MASTER!B253,0)</f>
        <v>0</v>
      </c>
    </row>
    <row r="249" spans="2:8" x14ac:dyDescent="0.25">
      <c r="B249" s="115"/>
      <c r="C249" s="114"/>
      <c r="D249" s="114"/>
      <c r="G249" s="120">
        <f>IF(ISERROR(MATCH(B249,MASTER!$B:$B,0)),B249,0)</f>
        <v>0</v>
      </c>
      <c r="H249" s="120">
        <f>IF(ISERROR(MATCH(MASTER!B254,'Peoplesoft Classlist'!$B:$B,0)),MASTER!B254,0)</f>
        <v>0</v>
      </c>
    </row>
    <row r="250" spans="2:8" x14ac:dyDescent="0.25">
      <c r="B250" s="115"/>
      <c r="C250" s="114"/>
      <c r="D250" s="114"/>
      <c r="G250" s="120">
        <f>IF(ISERROR(MATCH(B250,MASTER!$B:$B,0)),B250,0)</f>
        <v>0</v>
      </c>
      <c r="H250" s="120">
        <f>IF(ISERROR(MATCH(MASTER!B255,'Peoplesoft Classlist'!$B:$B,0)),MASTER!B255,0)</f>
        <v>0</v>
      </c>
    </row>
    <row r="251" spans="2:8" x14ac:dyDescent="0.25">
      <c r="B251" s="115"/>
      <c r="C251" s="114"/>
      <c r="D251" s="114"/>
      <c r="G251" s="120">
        <f>IF(ISERROR(MATCH(B251,MASTER!$B:$B,0)),B251,0)</f>
        <v>0</v>
      </c>
      <c r="H251" s="120">
        <f>IF(ISERROR(MATCH(MASTER!B256,'Peoplesoft Classlist'!$B:$B,0)),MASTER!B256,0)</f>
        <v>0</v>
      </c>
    </row>
    <row r="252" spans="2:8" x14ac:dyDescent="0.25">
      <c r="B252" s="115"/>
      <c r="C252" s="114"/>
      <c r="D252" s="114"/>
      <c r="G252" s="120">
        <f>IF(ISERROR(MATCH(B252,MASTER!$B:$B,0)),B252,0)</f>
        <v>0</v>
      </c>
      <c r="H252" s="120">
        <f>IF(ISERROR(MATCH(MASTER!B257,'Peoplesoft Classlist'!$B:$B,0)),MASTER!B257,0)</f>
        <v>0</v>
      </c>
    </row>
    <row r="253" spans="2:8" x14ac:dyDescent="0.25">
      <c r="B253" s="115"/>
      <c r="C253" s="114"/>
      <c r="D253" s="114"/>
      <c r="G253" s="120">
        <f>IF(ISERROR(MATCH(B253,MASTER!$B:$B,0)),B253,0)</f>
        <v>0</v>
      </c>
      <c r="H253" s="120">
        <f>IF(ISERROR(MATCH(MASTER!B258,'Peoplesoft Classlist'!$B:$B,0)),MASTER!B258,0)</f>
        <v>0</v>
      </c>
    </row>
    <row r="254" spans="2:8" x14ac:dyDescent="0.25">
      <c r="B254" s="115"/>
      <c r="C254" s="114"/>
      <c r="D254" s="114"/>
      <c r="G254" s="120">
        <f>IF(ISERROR(MATCH(B254,MASTER!$B:$B,0)),B254,0)</f>
        <v>0</v>
      </c>
      <c r="H254" s="120">
        <f>IF(ISERROR(MATCH(MASTER!B259,'Peoplesoft Classlist'!$B:$B,0)),MASTER!B259,0)</f>
        <v>0</v>
      </c>
    </row>
    <row r="255" spans="2:8" x14ac:dyDescent="0.25">
      <c r="B255" s="115"/>
      <c r="C255" s="114"/>
      <c r="D255" s="114"/>
      <c r="G255" s="120">
        <f>IF(ISERROR(MATCH(B255,MASTER!$B:$B,0)),B255,0)</f>
        <v>0</v>
      </c>
      <c r="H255" s="120">
        <f>IF(ISERROR(MATCH(MASTER!B260,'Peoplesoft Classlist'!$B:$B,0)),MASTER!B260,0)</f>
        <v>0</v>
      </c>
    </row>
    <row r="256" spans="2:8" x14ac:dyDescent="0.25">
      <c r="B256" s="115"/>
      <c r="C256" s="114"/>
      <c r="D256" s="114"/>
      <c r="G256" s="120">
        <f>IF(ISERROR(MATCH(B256,MASTER!$B:$B,0)),B256,0)</f>
        <v>0</v>
      </c>
      <c r="H256" s="120">
        <f>IF(ISERROR(MATCH(MASTER!B261,'Peoplesoft Classlist'!$B:$B,0)),MASTER!B261,0)</f>
        <v>0</v>
      </c>
    </row>
    <row r="257" spans="2:8" x14ac:dyDescent="0.25">
      <c r="B257" s="115"/>
      <c r="C257" s="114"/>
      <c r="D257" s="114"/>
      <c r="G257" s="120">
        <f>IF(ISERROR(MATCH(B257,MASTER!$B:$B,0)),B257,0)</f>
        <v>0</v>
      </c>
      <c r="H257" s="120">
        <f>IF(ISERROR(MATCH(MASTER!B262,'Peoplesoft Classlist'!$B:$B,0)),MASTER!B262,0)</f>
        <v>0</v>
      </c>
    </row>
    <row r="258" spans="2:8" x14ac:dyDescent="0.25">
      <c r="B258" s="115"/>
      <c r="C258" s="114"/>
      <c r="D258" s="114"/>
      <c r="G258" s="120">
        <f>IF(ISERROR(MATCH(B258,MASTER!$B:$B,0)),B258,0)</f>
        <v>0</v>
      </c>
      <c r="H258" s="120">
        <f>IF(ISERROR(MATCH(MASTER!B263,'Peoplesoft Classlist'!$B:$B,0)),MASTER!B263,0)</f>
        <v>0</v>
      </c>
    </row>
    <row r="259" spans="2:8" x14ac:dyDescent="0.25">
      <c r="B259" s="115"/>
      <c r="C259" s="114"/>
      <c r="D259" s="114"/>
      <c r="G259" s="120">
        <f>IF(ISERROR(MATCH(B259,MASTER!$B:$B,0)),B259,0)</f>
        <v>0</v>
      </c>
      <c r="H259" s="120">
        <f>IF(ISERROR(MATCH(MASTER!B264,'Peoplesoft Classlist'!$B:$B,0)),MASTER!B264,0)</f>
        <v>0</v>
      </c>
    </row>
    <row r="260" spans="2:8" x14ac:dyDescent="0.25">
      <c r="B260" s="115"/>
      <c r="C260" s="114"/>
      <c r="D260" s="114"/>
      <c r="G260" s="120">
        <f>IF(ISERROR(MATCH(B260,MASTER!$B:$B,0)),B260,0)</f>
        <v>0</v>
      </c>
      <c r="H260" s="120">
        <f>IF(ISERROR(MATCH(MASTER!B265,'Peoplesoft Classlist'!$B:$B,0)),MASTER!B265,0)</f>
        <v>0</v>
      </c>
    </row>
    <row r="261" spans="2:8" x14ac:dyDescent="0.25">
      <c r="B261" s="115"/>
      <c r="C261" s="114"/>
      <c r="D261" s="114"/>
      <c r="G261" s="120">
        <f>IF(ISERROR(MATCH(B261,MASTER!$B:$B,0)),B261,0)</f>
        <v>0</v>
      </c>
      <c r="H261" s="120">
        <f>IF(ISERROR(MATCH(MASTER!B266,'Peoplesoft Classlist'!$B:$B,0)),MASTER!B266,0)</f>
        <v>0</v>
      </c>
    </row>
    <row r="262" spans="2:8" x14ac:dyDescent="0.25">
      <c r="B262" s="115"/>
      <c r="C262" s="114"/>
      <c r="D262" s="114"/>
      <c r="G262" s="120">
        <f>IF(ISERROR(MATCH(B262,MASTER!$B:$B,0)),B262,0)</f>
        <v>0</v>
      </c>
      <c r="H262" s="120">
        <f>IF(ISERROR(MATCH(MASTER!B267,'Peoplesoft Classlist'!$B:$B,0)),MASTER!B267,0)</f>
        <v>0</v>
      </c>
    </row>
    <row r="263" spans="2:8" x14ac:dyDescent="0.25">
      <c r="B263" s="115"/>
      <c r="C263" s="114"/>
      <c r="D263" s="114"/>
      <c r="G263" s="120">
        <f>IF(ISERROR(MATCH(B263,MASTER!$B:$B,0)),B263,0)</f>
        <v>0</v>
      </c>
      <c r="H263" s="120">
        <f>IF(ISERROR(MATCH(MASTER!B268,'Peoplesoft Classlist'!$B:$B,0)),MASTER!B268,0)</f>
        <v>0</v>
      </c>
    </row>
    <row r="264" spans="2:8" x14ac:dyDescent="0.25">
      <c r="B264" s="115"/>
      <c r="C264" s="114"/>
      <c r="D264" s="114"/>
      <c r="G264" s="120">
        <f>IF(ISERROR(MATCH(B264,MASTER!$B:$B,0)),B264,0)</f>
        <v>0</v>
      </c>
      <c r="H264" s="120">
        <f>IF(ISERROR(MATCH(MASTER!B269,'Peoplesoft Classlist'!$B:$B,0)),MASTER!B269,0)</f>
        <v>0</v>
      </c>
    </row>
    <row r="265" spans="2:8" x14ac:dyDescent="0.25">
      <c r="B265" s="115"/>
      <c r="C265" s="114"/>
      <c r="D265" s="114"/>
      <c r="G265" s="120">
        <f>IF(ISERROR(MATCH(B265,MASTER!$B:$B,0)),B265,0)</f>
        <v>0</v>
      </c>
      <c r="H265" s="120">
        <f>IF(ISERROR(MATCH(MASTER!B270,'Peoplesoft Classlist'!$B:$B,0)),MASTER!B270,0)</f>
        <v>0</v>
      </c>
    </row>
    <row r="266" spans="2:8" x14ac:dyDescent="0.25">
      <c r="B266" s="115"/>
      <c r="C266" s="114"/>
      <c r="D266" s="114"/>
      <c r="G266" s="120">
        <f>IF(ISERROR(MATCH(B266,MASTER!$B:$B,0)),B266,0)</f>
        <v>0</v>
      </c>
      <c r="H266" s="120">
        <f>IF(ISERROR(MATCH(MASTER!B271,'Peoplesoft Classlist'!$B:$B,0)),MASTER!B271,0)</f>
        <v>0</v>
      </c>
    </row>
    <row r="267" spans="2:8" x14ac:dyDescent="0.25">
      <c r="B267" s="115"/>
      <c r="C267" s="114"/>
      <c r="D267" s="114"/>
      <c r="G267" s="120">
        <f>IF(ISERROR(MATCH(B267,MASTER!$B:$B,0)),B267,0)</f>
        <v>0</v>
      </c>
      <c r="H267" s="120">
        <f>IF(ISERROR(MATCH(MASTER!B272,'Peoplesoft Classlist'!$B:$B,0)),MASTER!B272,0)</f>
        <v>0</v>
      </c>
    </row>
    <row r="268" spans="2:8" x14ac:dyDescent="0.25">
      <c r="B268" s="115"/>
      <c r="C268" s="114"/>
      <c r="D268" s="114"/>
      <c r="G268" s="120">
        <f>IF(ISERROR(MATCH(B268,MASTER!$B:$B,0)),B268,0)</f>
        <v>0</v>
      </c>
      <c r="H268" s="120">
        <f>IF(ISERROR(MATCH(MASTER!B273,'Peoplesoft Classlist'!$B:$B,0)),MASTER!B273,0)</f>
        <v>0</v>
      </c>
    </row>
    <row r="269" spans="2:8" x14ac:dyDescent="0.25">
      <c r="B269" s="115"/>
      <c r="C269" s="114"/>
      <c r="D269" s="114"/>
      <c r="G269" s="120">
        <f>IF(ISERROR(MATCH(B269,MASTER!$B:$B,0)),B269,0)</f>
        <v>0</v>
      </c>
      <c r="H269" s="120">
        <f>IF(ISERROR(MATCH(MASTER!B274,'Peoplesoft Classlist'!$B:$B,0)),MASTER!B274,0)</f>
        <v>0</v>
      </c>
    </row>
    <row r="270" spans="2:8" x14ac:dyDescent="0.25">
      <c r="B270" s="115"/>
      <c r="C270" s="114"/>
      <c r="D270" s="114"/>
      <c r="G270" s="120">
        <f>IF(ISERROR(MATCH(B270,MASTER!$B:$B,0)),B270,0)</f>
        <v>0</v>
      </c>
      <c r="H270" s="120">
        <f>IF(ISERROR(MATCH(MASTER!B275,'Peoplesoft Classlist'!$B:$B,0)),MASTER!B275,0)</f>
        <v>0</v>
      </c>
    </row>
    <row r="271" spans="2:8" x14ac:dyDescent="0.25">
      <c r="B271" s="115"/>
      <c r="C271" s="114"/>
      <c r="D271" s="114"/>
      <c r="G271" s="120">
        <f>IF(ISERROR(MATCH(B271,MASTER!$B:$B,0)),B271,0)</f>
        <v>0</v>
      </c>
      <c r="H271" s="120">
        <f>IF(ISERROR(MATCH(MASTER!B276,'Peoplesoft Classlist'!$B:$B,0)),MASTER!B276,0)</f>
        <v>0</v>
      </c>
    </row>
    <row r="272" spans="2:8" x14ac:dyDescent="0.25">
      <c r="B272" s="115"/>
      <c r="C272" s="114"/>
      <c r="D272" s="114"/>
      <c r="G272" s="120">
        <f>IF(ISERROR(MATCH(B272,MASTER!$B:$B,0)),B272,0)</f>
        <v>0</v>
      </c>
      <c r="H272" s="120">
        <f>IF(ISERROR(MATCH(MASTER!B277,'Peoplesoft Classlist'!$B:$B,0)),MASTER!B277,0)</f>
        <v>0</v>
      </c>
    </row>
    <row r="273" spans="2:8" x14ac:dyDescent="0.25">
      <c r="B273" s="115"/>
      <c r="C273" s="114"/>
      <c r="D273" s="114"/>
      <c r="G273" s="120">
        <f>IF(ISERROR(MATCH(B273,MASTER!$B:$B,0)),B273,0)</f>
        <v>0</v>
      </c>
      <c r="H273" s="120">
        <f>IF(ISERROR(MATCH(MASTER!B278,'Peoplesoft Classlist'!$B:$B,0)),MASTER!B278,0)</f>
        <v>0</v>
      </c>
    </row>
    <row r="274" spans="2:8" x14ac:dyDescent="0.25">
      <c r="B274" s="115"/>
      <c r="C274" s="114"/>
      <c r="D274" s="114"/>
      <c r="G274" s="120">
        <f>IF(ISERROR(MATCH(B274,MASTER!$B:$B,0)),B274,0)</f>
        <v>0</v>
      </c>
      <c r="H274" s="120">
        <f>IF(ISERROR(MATCH(MASTER!B279,'Peoplesoft Classlist'!$B:$B,0)),MASTER!B279,0)</f>
        <v>0</v>
      </c>
    </row>
    <row r="275" spans="2:8" x14ac:dyDescent="0.25">
      <c r="B275" s="115"/>
      <c r="C275" s="114"/>
      <c r="D275" s="114"/>
      <c r="G275" s="120">
        <f>IF(ISERROR(MATCH(B275,MASTER!$B:$B,0)),B275,0)</f>
        <v>0</v>
      </c>
      <c r="H275" s="120">
        <f>IF(ISERROR(MATCH(MASTER!B280,'Peoplesoft Classlist'!$B:$B,0)),MASTER!B280,0)</f>
        <v>0</v>
      </c>
    </row>
    <row r="276" spans="2:8" x14ac:dyDescent="0.25">
      <c r="B276" s="115"/>
      <c r="C276" s="114"/>
      <c r="D276" s="114"/>
      <c r="G276" s="120">
        <f>IF(ISERROR(MATCH(B276,MASTER!$B:$B,0)),B276,0)</f>
        <v>0</v>
      </c>
      <c r="H276" s="120">
        <f>IF(ISERROR(MATCH(MASTER!B281,'Peoplesoft Classlist'!$B:$B,0)),MASTER!B281,0)</f>
        <v>0</v>
      </c>
    </row>
    <row r="277" spans="2:8" x14ac:dyDescent="0.25">
      <c r="B277" s="115"/>
      <c r="C277" s="114"/>
      <c r="D277" s="114"/>
      <c r="G277" s="120">
        <f>IF(ISERROR(MATCH(B277,MASTER!$B:$B,0)),B277,0)</f>
        <v>0</v>
      </c>
      <c r="H277" s="120">
        <f>IF(ISERROR(MATCH(MASTER!B282,'Peoplesoft Classlist'!$B:$B,0)),MASTER!B282,0)</f>
        <v>0</v>
      </c>
    </row>
    <row r="278" spans="2:8" x14ac:dyDescent="0.25">
      <c r="B278" s="115"/>
      <c r="C278" s="114"/>
      <c r="D278" s="114"/>
      <c r="G278" s="120">
        <f>IF(ISERROR(MATCH(B278,MASTER!$B:$B,0)),B278,0)</f>
        <v>0</v>
      </c>
      <c r="H278" s="120">
        <f>IF(ISERROR(MATCH(MASTER!B283,'Peoplesoft Classlist'!$B:$B,0)),MASTER!B283,0)</f>
        <v>0</v>
      </c>
    </row>
    <row r="279" spans="2:8" x14ac:dyDescent="0.25">
      <c r="B279" s="115"/>
      <c r="C279" s="114"/>
      <c r="D279" s="114"/>
      <c r="G279" s="120">
        <f>IF(ISERROR(MATCH(B279,MASTER!$B:$B,0)),B279,0)</f>
        <v>0</v>
      </c>
      <c r="H279" s="120">
        <f>IF(ISERROR(MATCH(MASTER!B284,'Peoplesoft Classlist'!$B:$B,0)),MASTER!B284,0)</f>
        <v>0</v>
      </c>
    </row>
    <row r="280" spans="2:8" x14ac:dyDescent="0.25">
      <c r="B280" s="115"/>
      <c r="C280" s="114"/>
      <c r="D280" s="114"/>
      <c r="G280" s="120">
        <f>IF(ISERROR(MATCH(B280,MASTER!$B:$B,0)),B280,0)</f>
        <v>0</v>
      </c>
      <c r="H280" s="120">
        <f>IF(ISERROR(MATCH(MASTER!B285,'Peoplesoft Classlist'!$B:$B,0)),MASTER!B285,0)</f>
        <v>0</v>
      </c>
    </row>
    <row r="281" spans="2:8" x14ac:dyDescent="0.25">
      <c r="B281" s="115"/>
      <c r="C281" s="114"/>
      <c r="D281" s="114"/>
      <c r="G281" s="120">
        <f>IF(ISERROR(MATCH(B281,MASTER!$B:$B,0)),B281,0)</f>
        <v>0</v>
      </c>
      <c r="H281" s="120">
        <f>IF(ISERROR(MATCH(MASTER!B286,'Peoplesoft Classlist'!$B:$B,0)),MASTER!B286,0)</f>
        <v>0</v>
      </c>
    </row>
    <row r="282" spans="2:8" x14ac:dyDescent="0.25">
      <c r="B282" s="115"/>
      <c r="C282" s="114"/>
      <c r="D282" s="114"/>
      <c r="G282" s="120">
        <f>IF(ISERROR(MATCH(B282,MASTER!$B:$B,0)),B282,0)</f>
        <v>0</v>
      </c>
      <c r="H282" s="120">
        <f>IF(ISERROR(MATCH(MASTER!B287,'Peoplesoft Classlist'!$B:$B,0)),MASTER!B287,0)</f>
        <v>0</v>
      </c>
    </row>
    <row r="283" spans="2:8" x14ac:dyDescent="0.25">
      <c r="B283" s="115"/>
      <c r="C283" s="114"/>
      <c r="D283" s="114"/>
      <c r="G283" s="120">
        <f>IF(ISERROR(MATCH(B283,MASTER!$B:$B,0)),B283,0)</f>
        <v>0</v>
      </c>
      <c r="H283" s="120">
        <f>IF(ISERROR(MATCH(MASTER!B288,'Peoplesoft Classlist'!$B:$B,0)),MASTER!B288,0)</f>
        <v>0</v>
      </c>
    </row>
    <row r="284" spans="2:8" x14ac:dyDescent="0.25">
      <c r="B284" s="115"/>
      <c r="C284" s="114"/>
      <c r="D284" s="114"/>
      <c r="G284" s="120">
        <f>IF(ISERROR(MATCH(B284,MASTER!$B:$B,0)),B284,0)</f>
        <v>0</v>
      </c>
      <c r="H284" s="120">
        <f>IF(ISERROR(MATCH(MASTER!B289,'Peoplesoft Classlist'!$B:$B,0)),MASTER!B289,0)</f>
        <v>0</v>
      </c>
    </row>
    <row r="285" spans="2:8" x14ac:dyDescent="0.25">
      <c r="B285" s="115"/>
      <c r="C285" s="114"/>
      <c r="D285" s="114"/>
      <c r="G285" s="120">
        <f>IF(ISERROR(MATCH(B285,MASTER!$B:$B,0)),B285,0)</f>
        <v>0</v>
      </c>
      <c r="H285" s="120">
        <f>IF(ISERROR(MATCH(MASTER!B290,'Peoplesoft Classlist'!$B:$B,0)),MASTER!B290,0)</f>
        <v>0</v>
      </c>
    </row>
    <row r="286" spans="2:8" x14ac:dyDescent="0.25">
      <c r="B286" s="115"/>
      <c r="C286" s="114"/>
      <c r="D286" s="114"/>
      <c r="G286" s="120">
        <f>IF(ISERROR(MATCH(B286,MASTER!$B:$B,0)),B286,0)</f>
        <v>0</v>
      </c>
      <c r="H286" s="120">
        <f>IF(ISERROR(MATCH(MASTER!B291,'Peoplesoft Classlist'!$B:$B,0)),MASTER!B291,0)</f>
        <v>0</v>
      </c>
    </row>
    <row r="287" spans="2:8" x14ac:dyDescent="0.25">
      <c r="B287" s="115"/>
      <c r="C287" s="114"/>
      <c r="D287" s="114"/>
      <c r="G287" s="120">
        <f>IF(ISERROR(MATCH(B287,MASTER!$B:$B,0)),B287,0)</f>
        <v>0</v>
      </c>
      <c r="H287" s="120">
        <f>IF(ISERROR(MATCH(MASTER!B292,'Peoplesoft Classlist'!$B:$B,0)),MASTER!B292,0)</f>
        <v>0</v>
      </c>
    </row>
    <row r="288" spans="2:8" x14ac:dyDescent="0.25">
      <c r="B288" s="115"/>
      <c r="C288" s="114"/>
      <c r="D288" s="114"/>
      <c r="G288" s="120">
        <f>IF(ISERROR(MATCH(B288,MASTER!$B:$B,0)),B288,0)</f>
        <v>0</v>
      </c>
      <c r="H288" s="120">
        <f>IF(ISERROR(MATCH(MASTER!B293,'Peoplesoft Classlist'!$B:$B,0)),MASTER!B293,0)</f>
        <v>0</v>
      </c>
    </row>
    <row r="289" spans="2:8" x14ac:dyDescent="0.25">
      <c r="B289" s="115"/>
      <c r="C289" s="114"/>
      <c r="D289" s="114"/>
      <c r="G289" s="120">
        <f>IF(ISERROR(MATCH(B289,MASTER!$B:$B,0)),B289,0)</f>
        <v>0</v>
      </c>
      <c r="H289" s="120">
        <f>IF(ISERROR(MATCH(MASTER!B294,'Peoplesoft Classlist'!$B:$B,0)),MASTER!B294,0)</f>
        <v>0</v>
      </c>
    </row>
    <row r="290" spans="2:8" x14ac:dyDescent="0.25">
      <c r="B290" s="115"/>
      <c r="C290" s="114"/>
      <c r="D290" s="114"/>
      <c r="G290" s="120">
        <f>IF(ISERROR(MATCH(B290,MASTER!$B:$B,0)),B290,0)</f>
        <v>0</v>
      </c>
      <c r="H290" s="120">
        <f>IF(ISERROR(MATCH(MASTER!B295,'Peoplesoft Classlist'!$B:$B,0)),MASTER!B295,0)</f>
        <v>0</v>
      </c>
    </row>
    <row r="291" spans="2:8" x14ac:dyDescent="0.25">
      <c r="B291" s="115"/>
      <c r="C291" s="114"/>
      <c r="D291" s="114"/>
      <c r="G291" s="120">
        <f>IF(ISERROR(MATCH(B291,MASTER!$B:$B,0)),B291,0)</f>
        <v>0</v>
      </c>
      <c r="H291" s="120">
        <f>IF(ISERROR(MATCH(MASTER!B296,'Peoplesoft Classlist'!$B:$B,0)),MASTER!B296,0)</f>
        <v>0</v>
      </c>
    </row>
    <row r="292" spans="2:8" x14ac:dyDescent="0.25">
      <c r="B292" s="115"/>
      <c r="C292" s="114"/>
      <c r="D292" s="114"/>
      <c r="G292" s="120">
        <f>IF(ISERROR(MATCH(B292,MASTER!$B:$B,0)),B292,0)</f>
        <v>0</v>
      </c>
      <c r="H292" s="120">
        <f>IF(ISERROR(MATCH(MASTER!B297,'Peoplesoft Classlist'!$B:$B,0)),MASTER!B297,0)</f>
        <v>0</v>
      </c>
    </row>
    <row r="293" spans="2:8" x14ac:dyDescent="0.25">
      <c r="B293" s="115"/>
      <c r="C293" s="114"/>
      <c r="D293" s="114"/>
      <c r="G293" s="120">
        <f>IF(ISERROR(MATCH(B293,MASTER!$B:$B,0)),B293,0)</f>
        <v>0</v>
      </c>
      <c r="H293" s="120">
        <f>IF(ISERROR(MATCH(MASTER!B298,'Peoplesoft Classlist'!$B:$B,0)),MASTER!B298,0)</f>
        <v>0</v>
      </c>
    </row>
    <row r="294" spans="2:8" x14ac:dyDescent="0.25">
      <c r="B294" s="115"/>
      <c r="C294" s="114"/>
      <c r="D294" s="114"/>
      <c r="G294" s="120">
        <f>IF(ISERROR(MATCH(B294,MASTER!$B:$B,0)),B294,0)</f>
        <v>0</v>
      </c>
      <c r="H294" s="120">
        <f>IF(ISERROR(MATCH(MASTER!B299,'Peoplesoft Classlist'!$B:$B,0)),MASTER!B299,0)</f>
        <v>0</v>
      </c>
    </row>
    <row r="295" spans="2:8" x14ac:dyDescent="0.25">
      <c r="B295" s="115"/>
      <c r="C295" s="114"/>
      <c r="D295" s="114"/>
      <c r="G295" s="120">
        <f>IF(ISERROR(MATCH(B295,MASTER!$B:$B,0)),B295,0)</f>
        <v>0</v>
      </c>
      <c r="H295" s="120">
        <f>IF(ISERROR(MATCH(MASTER!B300,'Peoplesoft Classlist'!$B:$B,0)),MASTER!B300,0)</f>
        <v>0</v>
      </c>
    </row>
    <row r="296" spans="2:8" x14ac:dyDescent="0.25">
      <c r="B296" s="115"/>
      <c r="C296" s="114"/>
      <c r="D296" s="114"/>
      <c r="G296" s="120">
        <f>IF(ISERROR(MATCH(B296,MASTER!$B:$B,0)),B296,0)</f>
        <v>0</v>
      </c>
      <c r="H296" s="120">
        <f>IF(ISERROR(MATCH(MASTER!B301,'Peoplesoft Classlist'!$B:$B,0)),MASTER!B301,0)</f>
        <v>0</v>
      </c>
    </row>
    <row r="297" spans="2:8" x14ac:dyDescent="0.25">
      <c r="B297" s="115"/>
      <c r="C297" s="114"/>
      <c r="D297" s="114"/>
      <c r="G297" s="120">
        <f>IF(ISERROR(MATCH(B297,MASTER!$B:$B,0)),B297,0)</f>
        <v>0</v>
      </c>
      <c r="H297" s="120">
        <f>IF(ISERROR(MATCH(MASTER!B302,'Peoplesoft Classlist'!$B:$B,0)),MASTER!B302,0)</f>
        <v>0</v>
      </c>
    </row>
    <row r="298" spans="2:8" x14ac:dyDescent="0.25">
      <c r="B298" s="115"/>
      <c r="C298" s="114"/>
      <c r="D298" s="114"/>
      <c r="G298" s="120">
        <f>IF(ISERROR(MATCH(B298,MASTER!$B:$B,0)),B298,0)</f>
        <v>0</v>
      </c>
      <c r="H298" s="120">
        <f>IF(ISERROR(MATCH(MASTER!B303,'Peoplesoft Classlist'!$B:$B,0)),MASTER!B303,0)</f>
        <v>0</v>
      </c>
    </row>
    <row r="299" spans="2:8" x14ac:dyDescent="0.25">
      <c r="B299" s="115"/>
      <c r="C299" s="114"/>
      <c r="D299" s="114"/>
      <c r="G299" s="120">
        <f>IF(ISERROR(MATCH(B299,MASTER!$B:$B,0)),B299,0)</f>
        <v>0</v>
      </c>
      <c r="H299" s="120">
        <f>IF(ISERROR(MATCH(MASTER!B304,'Peoplesoft Classlist'!$B:$B,0)),MASTER!B304,0)</f>
        <v>0</v>
      </c>
    </row>
    <row r="300" spans="2:8" x14ac:dyDescent="0.25">
      <c r="B300" s="115"/>
      <c r="C300" s="114"/>
      <c r="D300" s="114"/>
      <c r="G300" s="120">
        <f>IF(ISERROR(MATCH(B300,MASTER!$B:$B,0)),B300,0)</f>
        <v>0</v>
      </c>
      <c r="H300" s="120">
        <f>IF(ISERROR(MATCH(MASTER!B305,'Peoplesoft Classlist'!$B:$B,0)),MASTER!B305,0)</f>
        <v>0</v>
      </c>
    </row>
    <row r="301" spans="2:8" x14ac:dyDescent="0.25">
      <c r="B301" s="115"/>
      <c r="C301" s="114"/>
      <c r="D301" s="114"/>
      <c r="G301" s="120">
        <f>IF(ISERROR(MATCH(B301,MASTER!$B:$B,0)),B301,0)</f>
        <v>0</v>
      </c>
      <c r="H301" s="120">
        <f>IF(ISERROR(MATCH(MASTER!B306,'Peoplesoft Classlist'!$B:$B,0)),MASTER!B306,0)</f>
        <v>0</v>
      </c>
    </row>
    <row r="302" spans="2:8" x14ac:dyDescent="0.25">
      <c r="B302" s="115"/>
      <c r="C302" s="114"/>
      <c r="D302" s="114"/>
      <c r="G302" s="120">
        <f>IF(ISERROR(MATCH(B302,MASTER!$B:$B,0)),B302,0)</f>
        <v>0</v>
      </c>
      <c r="H302" s="120">
        <f>IF(ISERROR(MATCH(MASTER!B307,'Peoplesoft Classlist'!$B:$B,0)),MASTER!B307,0)</f>
        <v>0</v>
      </c>
    </row>
    <row r="303" spans="2:8" x14ac:dyDescent="0.25">
      <c r="B303" s="115"/>
      <c r="C303" s="114"/>
      <c r="D303" s="114"/>
      <c r="G303" s="120">
        <f>IF(ISERROR(MATCH(B303,MASTER!$B:$B,0)),B303,0)</f>
        <v>0</v>
      </c>
      <c r="H303" s="120">
        <f>IF(ISERROR(MATCH(MASTER!B308,'Peoplesoft Classlist'!$B:$B,0)),MASTER!B308,0)</f>
        <v>0</v>
      </c>
    </row>
    <row r="304" spans="2:8" x14ac:dyDescent="0.25">
      <c r="B304" s="115"/>
      <c r="C304" s="114"/>
      <c r="D304" s="114"/>
      <c r="G304" s="120">
        <f>IF(ISERROR(MATCH(B304,MASTER!$B:$B,0)),B304,0)</f>
        <v>0</v>
      </c>
      <c r="H304" s="120">
        <f>IF(ISERROR(MATCH(MASTER!B309,'Peoplesoft Classlist'!$B:$B,0)),MASTER!B309,0)</f>
        <v>0</v>
      </c>
    </row>
    <row r="305" spans="2:8" x14ac:dyDescent="0.25">
      <c r="B305" s="115"/>
      <c r="C305" s="114"/>
      <c r="D305" s="114"/>
      <c r="G305" s="120">
        <f>IF(ISERROR(MATCH(B305,MASTER!$B:$B,0)),B305,0)</f>
        <v>0</v>
      </c>
      <c r="H305" s="120">
        <f>IF(ISERROR(MATCH(MASTER!B310,'Peoplesoft Classlist'!$B:$B,0)),MASTER!B310,0)</f>
        <v>0</v>
      </c>
    </row>
    <row r="306" spans="2:8" x14ac:dyDescent="0.25">
      <c r="B306" s="115"/>
      <c r="C306" s="114"/>
      <c r="D306" s="114"/>
      <c r="G306" s="120">
        <f>IF(ISERROR(MATCH(B306,MASTER!$B:$B,0)),B306,0)</f>
        <v>0</v>
      </c>
      <c r="H306" s="120">
        <f>IF(ISERROR(MATCH(MASTER!B311,'Peoplesoft Classlist'!$B:$B,0)),MASTER!B311,0)</f>
        <v>0</v>
      </c>
    </row>
    <row r="307" spans="2:8" x14ac:dyDescent="0.25">
      <c r="B307" s="115"/>
      <c r="C307" s="114"/>
      <c r="D307" s="114"/>
      <c r="G307" s="120">
        <f>IF(ISERROR(MATCH(B307,MASTER!$B:$B,0)),B307,0)</f>
        <v>0</v>
      </c>
      <c r="H307" s="120">
        <f>IF(ISERROR(MATCH(MASTER!B312,'Peoplesoft Classlist'!$B:$B,0)),MASTER!B312,0)</f>
        <v>0</v>
      </c>
    </row>
    <row r="308" spans="2:8" x14ac:dyDescent="0.25">
      <c r="B308" s="115"/>
      <c r="C308" s="114"/>
      <c r="D308" s="114"/>
      <c r="G308" s="120">
        <f>IF(ISERROR(MATCH(B308,MASTER!$B:$B,0)),B308,0)</f>
        <v>0</v>
      </c>
      <c r="H308" s="120">
        <f>IF(ISERROR(MATCH(MASTER!B313,'Peoplesoft Classlist'!$B:$B,0)),MASTER!B313,0)</f>
        <v>0</v>
      </c>
    </row>
    <row r="309" spans="2:8" x14ac:dyDescent="0.25">
      <c r="B309" s="115"/>
      <c r="C309" s="114"/>
      <c r="D309" s="114"/>
      <c r="G309" s="120">
        <f>IF(ISERROR(MATCH(B309,MASTER!$B:$B,0)),B309,0)</f>
        <v>0</v>
      </c>
      <c r="H309" s="120">
        <f>IF(ISERROR(MATCH(MASTER!B314,'Peoplesoft Classlist'!$B:$B,0)),MASTER!B314,0)</f>
        <v>0</v>
      </c>
    </row>
    <row r="310" spans="2:8" x14ac:dyDescent="0.25">
      <c r="B310" s="115"/>
      <c r="C310" s="114"/>
      <c r="D310" s="114"/>
      <c r="G310" s="120">
        <f>IF(ISERROR(MATCH(B310,MASTER!$B:$B,0)),B310,0)</f>
        <v>0</v>
      </c>
      <c r="H310" s="120">
        <f>IF(ISERROR(MATCH(MASTER!B315,'Peoplesoft Classlist'!$B:$B,0)),MASTER!B315,0)</f>
        <v>0</v>
      </c>
    </row>
    <row r="311" spans="2:8" x14ac:dyDescent="0.25">
      <c r="B311" s="115"/>
      <c r="C311" s="114"/>
      <c r="D311" s="114"/>
      <c r="G311" s="120">
        <f>IF(ISERROR(MATCH(B311,MASTER!$B:$B,0)),B311,0)</f>
        <v>0</v>
      </c>
      <c r="H311" s="120">
        <f>IF(ISERROR(MATCH(MASTER!B316,'Peoplesoft Classlist'!$B:$B,0)),MASTER!B316,0)</f>
        <v>0</v>
      </c>
    </row>
    <row r="312" spans="2:8" x14ac:dyDescent="0.25">
      <c r="B312" s="115"/>
      <c r="C312" s="114"/>
      <c r="D312" s="114"/>
      <c r="G312" s="120">
        <f>IF(ISERROR(MATCH(B312,MASTER!$B:$B,0)),B312,0)</f>
        <v>0</v>
      </c>
      <c r="H312" s="120">
        <f>IF(ISERROR(MATCH(MASTER!B317,'Peoplesoft Classlist'!$B:$B,0)),MASTER!B317,0)</f>
        <v>0</v>
      </c>
    </row>
    <row r="313" spans="2:8" x14ac:dyDescent="0.25">
      <c r="B313" s="115"/>
      <c r="C313" s="114"/>
      <c r="D313" s="114"/>
      <c r="G313" s="120">
        <f>IF(ISERROR(MATCH(B313,MASTER!$B:$B,0)),B313,0)</f>
        <v>0</v>
      </c>
      <c r="H313" s="120">
        <f>IF(ISERROR(MATCH(MASTER!B318,'Peoplesoft Classlist'!$B:$B,0)),MASTER!B318,0)</f>
        <v>0</v>
      </c>
    </row>
    <row r="314" spans="2:8" x14ac:dyDescent="0.25">
      <c r="B314" s="115"/>
      <c r="C314" s="114"/>
      <c r="D314" s="114"/>
      <c r="G314" s="120">
        <f>IF(ISERROR(MATCH(B314,MASTER!$B:$B,0)),B314,0)</f>
        <v>0</v>
      </c>
      <c r="H314" s="120">
        <f>IF(ISERROR(MATCH(MASTER!B319,'Peoplesoft Classlist'!$B:$B,0)),MASTER!B319,0)</f>
        <v>0</v>
      </c>
    </row>
    <row r="315" spans="2:8" x14ac:dyDescent="0.25">
      <c r="B315" s="115"/>
      <c r="C315" s="114"/>
      <c r="D315" s="114"/>
      <c r="G315" s="120">
        <f>IF(ISERROR(MATCH(B315,MASTER!$B:$B,0)),B315,0)</f>
        <v>0</v>
      </c>
      <c r="H315" s="120">
        <f>IF(ISERROR(MATCH(MASTER!B320,'Peoplesoft Classlist'!$B:$B,0)),MASTER!B320,0)</f>
        <v>0</v>
      </c>
    </row>
    <row r="316" spans="2:8" x14ac:dyDescent="0.25">
      <c r="B316" s="115"/>
      <c r="C316" s="114"/>
      <c r="D316" s="114"/>
      <c r="G316" s="120">
        <f>IF(ISERROR(MATCH(B316,MASTER!$B:$B,0)),B316,0)</f>
        <v>0</v>
      </c>
      <c r="H316" s="120">
        <f>IF(ISERROR(MATCH(MASTER!B321,'Peoplesoft Classlist'!$B:$B,0)),MASTER!B321,0)</f>
        <v>0</v>
      </c>
    </row>
    <row r="317" spans="2:8" x14ac:dyDescent="0.25">
      <c r="B317" s="115"/>
      <c r="C317" s="114"/>
      <c r="D317" s="114"/>
      <c r="G317" s="120">
        <f>IF(ISERROR(MATCH(B317,MASTER!$B:$B,0)),B317,0)</f>
        <v>0</v>
      </c>
      <c r="H317" s="120">
        <f>IF(ISERROR(MATCH(MASTER!B322,'Peoplesoft Classlist'!$B:$B,0)),MASTER!B322,0)</f>
        <v>0</v>
      </c>
    </row>
    <row r="318" spans="2:8" x14ac:dyDescent="0.25">
      <c r="B318" s="115"/>
      <c r="C318" s="114"/>
      <c r="D318" s="114"/>
      <c r="G318" s="120">
        <f>IF(ISERROR(MATCH(B318,MASTER!$B:$B,0)),B318,0)</f>
        <v>0</v>
      </c>
      <c r="H318" s="120">
        <f>IF(ISERROR(MATCH(MASTER!B323,'Peoplesoft Classlist'!$B:$B,0)),MASTER!B323,0)</f>
        <v>0</v>
      </c>
    </row>
    <row r="319" spans="2:8" x14ac:dyDescent="0.25">
      <c r="B319" s="115"/>
      <c r="C319" s="114"/>
      <c r="D319" s="114"/>
      <c r="G319" s="120">
        <f>IF(ISERROR(MATCH(B319,MASTER!$B:$B,0)),B319,0)</f>
        <v>0</v>
      </c>
      <c r="H319" s="120">
        <f>IF(ISERROR(MATCH(MASTER!B324,'Peoplesoft Classlist'!$B:$B,0)),MASTER!B324,0)</f>
        <v>0</v>
      </c>
    </row>
    <row r="320" spans="2:8" x14ac:dyDescent="0.25">
      <c r="B320" s="115"/>
      <c r="C320" s="114"/>
      <c r="D320" s="114"/>
      <c r="G320" s="120">
        <f>IF(ISERROR(MATCH(B320,MASTER!$B:$B,0)),B320,0)</f>
        <v>0</v>
      </c>
      <c r="H320" s="120">
        <f>IF(ISERROR(MATCH(MASTER!B325,'Peoplesoft Classlist'!$B:$B,0)),MASTER!B325,0)</f>
        <v>0</v>
      </c>
    </row>
    <row r="321" spans="2:8" x14ac:dyDescent="0.25">
      <c r="B321" s="115"/>
      <c r="C321" s="114"/>
      <c r="D321" s="114"/>
      <c r="G321" s="120">
        <f>IF(ISERROR(MATCH(B321,MASTER!$B:$B,0)),B321,0)</f>
        <v>0</v>
      </c>
      <c r="H321" s="120">
        <f>IF(ISERROR(MATCH(MASTER!B326,'Peoplesoft Classlist'!$B:$B,0)),MASTER!B326,0)</f>
        <v>0</v>
      </c>
    </row>
    <row r="322" spans="2:8" x14ac:dyDescent="0.25">
      <c r="B322" s="115"/>
      <c r="C322" s="114"/>
      <c r="D322" s="114"/>
      <c r="G322" s="120">
        <f>IF(ISERROR(MATCH(B322,MASTER!$B:$B,0)),B322,0)</f>
        <v>0</v>
      </c>
      <c r="H322" s="120">
        <f>IF(ISERROR(MATCH(MASTER!B327,'Peoplesoft Classlist'!$B:$B,0)),MASTER!B327,0)</f>
        <v>0</v>
      </c>
    </row>
    <row r="323" spans="2:8" x14ac:dyDescent="0.25">
      <c r="B323" s="115"/>
      <c r="C323" s="114"/>
      <c r="D323" s="114"/>
      <c r="G323" s="120">
        <f>IF(ISERROR(MATCH(B323,MASTER!$B:$B,0)),B323,0)</f>
        <v>0</v>
      </c>
      <c r="H323" s="120">
        <f>IF(ISERROR(MATCH(MASTER!B328,'Peoplesoft Classlist'!$B:$B,0)),MASTER!B328,0)</f>
        <v>0</v>
      </c>
    </row>
    <row r="324" spans="2:8" x14ac:dyDescent="0.25">
      <c r="B324" s="115"/>
      <c r="C324" s="114"/>
      <c r="D324" s="114"/>
      <c r="G324" s="120">
        <f>IF(ISERROR(MATCH(B324,MASTER!$B:$B,0)),B324,0)</f>
        <v>0</v>
      </c>
      <c r="H324" s="120">
        <f>IF(ISERROR(MATCH(MASTER!B329,'Peoplesoft Classlist'!$B:$B,0)),MASTER!B329,0)</f>
        <v>0</v>
      </c>
    </row>
    <row r="325" spans="2:8" x14ac:dyDescent="0.25">
      <c r="B325" s="115"/>
      <c r="C325" s="114"/>
      <c r="D325" s="114"/>
      <c r="G325" s="120">
        <f>IF(ISERROR(MATCH(B325,MASTER!$B:$B,0)),B325,0)</f>
        <v>0</v>
      </c>
      <c r="H325" s="120">
        <f>IF(ISERROR(MATCH(MASTER!B330,'Peoplesoft Classlist'!$B:$B,0)),MASTER!B330,0)</f>
        <v>0</v>
      </c>
    </row>
    <row r="326" spans="2:8" x14ac:dyDescent="0.25">
      <c r="B326" s="115"/>
      <c r="C326" s="114"/>
      <c r="D326" s="114"/>
      <c r="G326" s="120">
        <f>IF(ISERROR(MATCH(B326,MASTER!$B:$B,0)),B326,0)</f>
        <v>0</v>
      </c>
      <c r="H326" s="120">
        <f>IF(ISERROR(MATCH(MASTER!B331,'Peoplesoft Classlist'!$B:$B,0)),MASTER!B331,0)</f>
        <v>0</v>
      </c>
    </row>
    <row r="327" spans="2:8" x14ac:dyDescent="0.25">
      <c r="B327" s="115"/>
      <c r="C327" s="114"/>
      <c r="D327" s="114"/>
      <c r="G327" s="120">
        <f>IF(ISERROR(MATCH(B327,MASTER!$B:$B,0)),B327,0)</f>
        <v>0</v>
      </c>
      <c r="H327" s="120">
        <f>IF(ISERROR(MATCH(MASTER!B332,'Peoplesoft Classlist'!$B:$B,0)),MASTER!B332,0)</f>
        <v>0</v>
      </c>
    </row>
    <row r="328" spans="2:8" x14ac:dyDescent="0.25">
      <c r="B328" s="115"/>
      <c r="C328" s="114"/>
      <c r="D328" s="114"/>
      <c r="G328" s="120">
        <f>IF(ISERROR(MATCH(B328,MASTER!$B:$B,0)),B328,0)</f>
        <v>0</v>
      </c>
      <c r="H328" s="120">
        <f>IF(ISERROR(MATCH(MASTER!B333,'Peoplesoft Classlist'!$B:$B,0)),MASTER!B333,0)</f>
        <v>0</v>
      </c>
    </row>
    <row r="329" spans="2:8" x14ac:dyDescent="0.25">
      <c r="B329" s="115"/>
      <c r="C329" s="114"/>
      <c r="D329" s="114"/>
      <c r="G329" s="120">
        <f>IF(ISERROR(MATCH(B329,MASTER!$B:$B,0)),B329,0)</f>
        <v>0</v>
      </c>
      <c r="H329" s="120">
        <f>IF(ISERROR(MATCH(MASTER!B334,'Peoplesoft Classlist'!$B:$B,0)),MASTER!B334,0)</f>
        <v>0</v>
      </c>
    </row>
    <row r="330" spans="2:8" x14ac:dyDescent="0.25">
      <c r="B330" s="115"/>
      <c r="C330" s="114"/>
      <c r="D330" s="114"/>
      <c r="G330" s="120">
        <f>IF(ISERROR(MATCH(B330,MASTER!$B:$B,0)),B330,0)</f>
        <v>0</v>
      </c>
      <c r="H330" s="120">
        <f>IF(ISERROR(MATCH(MASTER!B335,'Peoplesoft Classlist'!$B:$B,0)),MASTER!B335,0)</f>
        <v>0</v>
      </c>
    </row>
    <row r="331" spans="2:8" x14ac:dyDescent="0.25">
      <c r="B331" s="115"/>
      <c r="C331" s="114"/>
      <c r="D331" s="114"/>
      <c r="G331" s="120">
        <f>IF(ISERROR(MATCH(B331,MASTER!$B:$B,0)),B331,0)</f>
        <v>0</v>
      </c>
      <c r="H331" s="120">
        <f>IF(ISERROR(MATCH(MASTER!B336,'Peoplesoft Classlist'!$B:$B,0)),MASTER!B336,0)</f>
        <v>0</v>
      </c>
    </row>
    <row r="332" spans="2:8" x14ac:dyDescent="0.25">
      <c r="B332" s="115"/>
      <c r="C332" s="114"/>
      <c r="D332" s="114"/>
      <c r="G332" s="120">
        <f>IF(ISERROR(MATCH(B332,MASTER!$B:$B,0)),B332,0)</f>
        <v>0</v>
      </c>
      <c r="H332" s="120">
        <f>IF(ISERROR(MATCH(MASTER!B337,'Peoplesoft Classlist'!$B:$B,0)),MASTER!B337,0)</f>
        <v>0</v>
      </c>
    </row>
    <row r="333" spans="2:8" x14ac:dyDescent="0.25">
      <c r="B333" s="115"/>
      <c r="C333" s="114"/>
      <c r="D333" s="114"/>
      <c r="G333" s="120">
        <f>IF(ISERROR(MATCH(B333,MASTER!$B:$B,0)),B333,0)</f>
        <v>0</v>
      </c>
      <c r="H333" s="120">
        <f>IF(ISERROR(MATCH(MASTER!B338,'Peoplesoft Classlist'!$B:$B,0)),MASTER!B338,0)</f>
        <v>0</v>
      </c>
    </row>
    <row r="334" spans="2:8" x14ac:dyDescent="0.25">
      <c r="B334" s="115"/>
      <c r="C334" s="114"/>
      <c r="D334" s="114"/>
      <c r="G334" s="120">
        <f>IF(ISERROR(MATCH(B334,MASTER!$B:$B,0)),B334,0)</f>
        <v>0</v>
      </c>
      <c r="H334" s="120">
        <f>IF(ISERROR(MATCH(MASTER!B339,'Peoplesoft Classlist'!$B:$B,0)),MASTER!B339,0)</f>
        <v>0</v>
      </c>
    </row>
    <row r="335" spans="2:8" x14ac:dyDescent="0.25">
      <c r="B335" s="115"/>
      <c r="C335" s="114"/>
      <c r="D335" s="114"/>
      <c r="G335" s="120">
        <f>IF(ISERROR(MATCH(B335,MASTER!$B:$B,0)),B335,0)</f>
        <v>0</v>
      </c>
      <c r="H335" s="120">
        <f>IF(ISERROR(MATCH(MASTER!B340,'Peoplesoft Classlist'!$B:$B,0)),MASTER!B340,0)</f>
        <v>0</v>
      </c>
    </row>
    <row r="336" spans="2:8" x14ac:dyDescent="0.25">
      <c r="B336" s="115"/>
      <c r="C336" s="114"/>
      <c r="D336" s="114"/>
      <c r="G336" s="120">
        <f>IF(ISERROR(MATCH(B336,MASTER!$B:$B,0)),B336,0)</f>
        <v>0</v>
      </c>
      <c r="H336" s="120">
        <f>IF(ISERROR(MATCH(MASTER!B341,'Peoplesoft Classlist'!$B:$B,0)),MASTER!B341,0)</f>
        <v>0</v>
      </c>
    </row>
    <row r="337" spans="2:8" x14ac:dyDescent="0.25">
      <c r="B337" s="115"/>
      <c r="C337" s="114"/>
      <c r="D337" s="114"/>
      <c r="G337" s="120">
        <f>IF(ISERROR(MATCH(B337,MASTER!$B:$B,0)),B337,0)</f>
        <v>0</v>
      </c>
      <c r="H337" s="120">
        <f>IF(ISERROR(MATCH(MASTER!B342,'Peoplesoft Classlist'!$B:$B,0)),MASTER!B342,0)</f>
        <v>0</v>
      </c>
    </row>
    <row r="338" spans="2:8" x14ac:dyDescent="0.25">
      <c r="B338" s="115"/>
      <c r="C338" s="114"/>
      <c r="D338" s="114"/>
      <c r="G338" s="120">
        <f>IF(ISERROR(MATCH(B338,MASTER!$B:$B,0)),B338,0)</f>
        <v>0</v>
      </c>
      <c r="H338" s="120">
        <f>IF(ISERROR(MATCH(MASTER!B343,'Peoplesoft Classlist'!$B:$B,0)),MASTER!B343,0)</f>
        <v>0</v>
      </c>
    </row>
    <row r="339" spans="2:8" x14ac:dyDescent="0.25">
      <c r="B339" s="115"/>
      <c r="C339" s="114"/>
      <c r="D339" s="114"/>
      <c r="G339" s="120">
        <f>IF(ISERROR(MATCH(B339,MASTER!$B:$B,0)),B339,0)</f>
        <v>0</v>
      </c>
      <c r="H339" s="120">
        <f>IF(ISERROR(MATCH(MASTER!B344,'Peoplesoft Classlist'!$B:$B,0)),MASTER!B344,0)</f>
        <v>0</v>
      </c>
    </row>
    <row r="340" spans="2:8" x14ac:dyDescent="0.25">
      <c r="B340" s="115"/>
      <c r="C340" s="114"/>
      <c r="D340" s="114"/>
      <c r="G340" s="120">
        <f>IF(ISERROR(MATCH(B340,MASTER!$B:$B,0)),B340,0)</f>
        <v>0</v>
      </c>
      <c r="H340" s="120">
        <f>IF(ISERROR(MATCH(MASTER!B345,'Peoplesoft Classlist'!$B:$B,0)),MASTER!B345,0)</f>
        <v>0</v>
      </c>
    </row>
    <row r="341" spans="2:8" x14ac:dyDescent="0.25">
      <c r="B341" s="115"/>
      <c r="C341" s="114"/>
      <c r="D341" s="114"/>
      <c r="G341" s="120">
        <f>IF(ISERROR(MATCH(B341,MASTER!$B:$B,0)),B341,0)</f>
        <v>0</v>
      </c>
      <c r="H341" s="120">
        <f>IF(ISERROR(MATCH(MASTER!B346,'Peoplesoft Classlist'!$B:$B,0)),MASTER!B346,0)</f>
        <v>0</v>
      </c>
    </row>
    <row r="342" spans="2:8" x14ac:dyDescent="0.25">
      <c r="B342" s="115"/>
      <c r="C342" s="114"/>
      <c r="D342" s="114"/>
      <c r="G342" s="120">
        <f>IF(ISERROR(MATCH(B342,MASTER!$B:$B,0)),B342,0)</f>
        <v>0</v>
      </c>
      <c r="H342" s="120">
        <f>IF(ISERROR(MATCH(MASTER!B347,'Peoplesoft Classlist'!$B:$B,0)),MASTER!B347,0)</f>
        <v>0</v>
      </c>
    </row>
    <row r="343" spans="2:8" x14ac:dyDescent="0.25">
      <c r="B343" s="115"/>
      <c r="C343" s="114"/>
      <c r="D343" s="114"/>
      <c r="G343" s="120">
        <f>IF(ISERROR(MATCH(B343,MASTER!$B:$B,0)),B343,0)</f>
        <v>0</v>
      </c>
      <c r="H343" s="120">
        <f>IF(ISERROR(MATCH(MASTER!B348,'Peoplesoft Classlist'!$B:$B,0)),MASTER!B348,0)</f>
        <v>0</v>
      </c>
    </row>
    <row r="344" spans="2:8" x14ac:dyDescent="0.25">
      <c r="B344" s="115"/>
      <c r="C344" s="114"/>
      <c r="D344" s="114"/>
      <c r="G344" s="120">
        <f>IF(ISERROR(MATCH(B344,MASTER!$B:$B,0)),B344,0)</f>
        <v>0</v>
      </c>
      <c r="H344" s="120">
        <f>IF(ISERROR(MATCH(MASTER!B349,'Peoplesoft Classlist'!$B:$B,0)),MASTER!B349,0)</f>
        <v>0</v>
      </c>
    </row>
    <row r="345" spans="2:8" x14ac:dyDescent="0.25">
      <c r="B345" s="115"/>
      <c r="C345" s="114"/>
      <c r="D345" s="114"/>
      <c r="G345" s="120">
        <f>IF(ISERROR(MATCH(B345,MASTER!$B:$B,0)),B345,0)</f>
        <v>0</v>
      </c>
      <c r="H345" s="120">
        <f>IF(ISERROR(MATCH(MASTER!B350,'Peoplesoft Classlist'!$B:$B,0)),MASTER!B350,0)</f>
        <v>0</v>
      </c>
    </row>
    <row r="346" spans="2:8" x14ac:dyDescent="0.25">
      <c r="B346" s="115"/>
      <c r="C346" s="114"/>
      <c r="D346" s="114"/>
      <c r="G346" s="120">
        <f>IF(ISERROR(MATCH(B346,MASTER!$B:$B,0)),B346,0)</f>
        <v>0</v>
      </c>
      <c r="H346" s="120">
        <f>IF(ISERROR(MATCH(MASTER!B351,'Peoplesoft Classlist'!$B:$B,0)),MASTER!B351,0)</f>
        <v>0</v>
      </c>
    </row>
    <row r="347" spans="2:8" x14ac:dyDescent="0.25">
      <c r="B347" s="115"/>
      <c r="C347" s="114"/>
      <c r="D347" s="114"/>
      <c r="G347" s="120">
        <f>IF(ISERROR(MATCH(B347,MASTER!$B:$B,0)),B347,0)</f>
        <v>0</v>
      </c>
      <c r="H347" s="120">
        <f>IF(ISERROR(MATCH(MASTER!B352,'Peoplesoft Classlist'!$B:$B,0)),MASTER!B352,0)</f>
        <v>0</v>
      </c>
    </row>
    <row r="348" spans="2:8" x14ac:dyDescent="0.25">
      <c r="B348" s="115"/>
      <c r="C348" s="114"/>
      <c r="D348" s="114"/>
      <c r="G348" s="120">
        <f>IF(ISERROR(MATCH(B348,MASTER!$B:$B,0)),B348,0)</f>
        <v>0</v>
      </c>
      <c r="H348" s="120">
        <f>IF(ISERROR(MATCH(MASTER!B353,'Peoplesoft Classlist'!$B:$B,0)),MASTER!B353,0)</f>
        <v>0</v>
      </c>
    </row>
    <row r="349" spans="2:8" x14ac:dyDescent="0.25">
      <c r="B349" s="115"/>
      <c r="C349" s="114"/>
      <c r="D349" s="114"/>
      <c r="G349" s="120">
        <f>IF(ISERROR(MATCH(B349,MASTER!$B:$B,0)),B349,0)</f>
        <v>0</v>
      </c>
      <c r="H349" s="120">
        <f>IF(ISERROR(MATCH(MASTER!B354,'Peoplesoft Classlist'!$B:$B,0)),MASTER!B354,0)</f>
        <v>0</v>
      </c>
    </row>
    <row r="350" spans="2:8" x14ac:dyDescent="0.25">
      <c r="B350" s="115"/>
      <c r="C350" s="114"/>
      <c r="D350" s="114"/>
      <c r="G350" s="120">
        <f>IF(ISERROR(MATCH(B350,MASTER!$B:$B,0)),B350,0)</f>
        <v>0</v>
      </c>
      <c r="H350" s="120">
        <f>IF(ISERROR(MATCH(MASTER!B355,'Peoplesoft Classlist'!$B:$B,0)),MASTER!B355,0)</f>
        <v>0</v>
      </c>
    </row>
    <row r="351" spans="2:8" x14ac:dyDescent="0.25">
      <c r="B351" s="115"/>
      <c r="C351" s="114"/>
      <c r="D351" s="114"/>
      <c r="G351" s="120">
        <f>IF(ISERROR(MATCH(B351,MASTER!$B:$B,0)),B351,0)</f>
        <v>0</v>
      </c>
      <c r="H351" s="120">
        <f>IF(ISERROR(MATCH(MASTER!B356,'Peoplesoft Classlist'!$B:$B,0)),MASTER!B356,0)</f>
        <v>0</v>
      </c>
    </row>
    <row r="352" spans="2:8" x14ac:dyDescent="0.25">
      <c r="B352" s="115"/>
      <c r="C352" s="114"/>
      <c r="D352" s="114"/>
      <c r="G352" s="120">
        <f>IF(ISERROR(MATCH(B352,MASTER!$B:$B,0)),B352,0)</f>
        <v>0</v>
      </c>
      <c r="H352" s="120">
        <f>IF(ISERROR(MATCH(MASTER!B357,'Peoplesoft Classlist'!$B:$B,0)),MASTER!B357,0)</f>
        <v>0</v>
      </c>
    </row>
    <row r="353" spans="2:8" x14ac:dyDescent="0.25">
      <c r="B353" s="115"/>
      <c r="C353" s="114"/>
      <c r="D353" s="114"/>
      <c r="G353" s="120">
        <f>IF(ISERROR(MATCH(B353,MASTER!$B:$B,0)),B353,0)</f>
        <v>0</v>
      </c>
      <c r="H353" s="120">
        <f>IF(ISERROR(MATCH(MASTER!B358,'Peoplesoft Classlist'!$B:$B,0)),MASTER!B358,0)</f>
        <v>0</v>
      </c>
    </row>
    <row r="354" spans="2:8" x14ac:dyDescent="0.25">
      <c r="B354" s="115"/>
      <c r="C354" s="114"/>
      <c r="D354" s="114"/>
      <c r="G354" s="120">
        <f>IF(ISERROR(MATCH(B354,MASTER!$B:$B,0)),B354,0)</f>
        <v>0</v>
      </c>
      <c r="H354" s="120">
        <f>IF(ISERROR(MATCH(MASTER!B359,'Peoplesoft Classlist'!$B:$B,0)),MASTER!B359,0)</f>
        <v>0</v>
      </c>
    </row>
    <row r="355" spans="2:8" x14ac:dyDescent="0.25">
      <c r="B355" s="115"/>
      <c r="C355" s="114"/>
      <c r="D355" s="114"/>
      <c r="G355" s="120">
        <f>IF(ISERROR(MATCH(B355,MASTER!$B:$B,0)),B355,0)</f>
        <v>0</v>
      </c>
      <c r="H355" s="120">
        <f>IF(ISERROR(MATCH(MASTER!B360,'Peoplesoft Classlist'!$B:$B,0)),MASTER!B360,0)</f>
        <v>0</v>
      </c>
    </row>
    <row r="356" spans="2:8" x14ac:dyDescent="0.25">
      <c r="B356" s="115"/>
      <c r="C356" s="114"/>
      <c r="D356" s="114"/>
      <c r="G356" s="120">
        <f>IF(ISERROR(MATCH(B356,MASTER!$B:$B,0)),B356,0)</f>
        <v>0</v>
      </c>
      <c r="H356" s="120">
        <f>IF(ISERROR(MATCH(MASTER!B361,'Peoplesoft Classlist'!$B:$B,0)),MASTER!B361,0)</f>
        <v>0</v>
      </c>
    </row>
    <row r="357" spans="2:8" x14ac:dyDescent="0.25">
      <c r="B357" s="115"/>
      <c r="C357" s="114"/>
      <c r="D357" s="114"/>
      <c r="G357" s="120">
        <f>IF(ISERROR(MATCH(B357,MASTER!$B:$B,0)),B357,0)</f>
        <v>0</v>
      </c>
      <c r="H357" s="120">
        <f>IF(ISERROR(MATCH(MASTER!B362,'Peoplesoft Classlist'!$B:$B,0)),MASTER!B362,0)</f>
        <v>0</v>
      </c>
    </row>
    <row r="358" spans="2:8" x14ac:dyDescent="0.25">
      <c r="B358" s="115"/>
      <c r="C358" s="114"/>
      <c r="D358" s="114"/>
      <c r="G358" s="120">
        <f>IF(ISERROR(MATCH(B358,MASTER!$B:$B,0)),B358,0)</f>
        <v>0</v>
      </c>
      <c r="H358" s="120">
        <f>IF(ISERROR(MATCH(MASTER!B363,'Peoplesoft Classlist'!$B:$B,0)),MASTER!B363,0)</f>
        <v>0</v>
      </c>
    </row>
    <row r="359" spans="2:8" x14ac:dyDescent="0.25">
      <c r="B359" s="115"/>
      <c r="C359" s="114"/>
      <c r="D359" s="114"/>
      <c r="G359" s="120">
        <f>IF(ISERROR(MATCH(B359,MASTER!$B:$B,0)),B359,0)</f>
        <v>0</v>
      </c>
      <c r="H359" s="120">
        <f>IF(ISERROR(MATCH(MASTER!B364,'Peoplesoft Classlist'!$B:$B,0)),MASTER!B364,0)</f>
        <v>0</v>
      </c>
    </row>
    <row r="360" spans="2:8" x14ac:dyDescent="0.25">
      <c r="B360" s="115"/>
      <c r="C360" s="114"/>
      <c r="D360" s="114"/>
      <c r="G360" s="120">
        <f>IF(ISERROR(MATCH(B360,MASTER!$B:$B,0)),B360,0)</f>
        <v>0</v>
      </c>
      <c r="H360" s="120">
        <f>IF(ISERROR(MATCH(MASTER!B365,'Peoplesoft Classlist'!$B:$B,0)),MASTER!B365,0)</f>
        <v>0</v>
      </c>
    </row>
    <row r="361" spans="2:8" x14ac:dyDescent="0.25">
      <c r="B361" s="115"/>
      <c r="C361" s="114"/>
      <c r="D361" s="114"/>
      <c r="G361" s="120">
        <f>IF(ISERROR(MATCH(B361,MASTER!$B:$B,0)),B361,0)</f>
        <v>0</v>
      </c>
      <c r="H361" s="120">
        <f>IF(ISERROR(MATCH(MASTER!B366,'Peoplesoft Classlist'!$B:$B,0)),MASTER!B366,0)</f>
        <v>0</v>
      </c>
    </row>
    <row r="362" spans="2:8" x14ac:dyDescent="0.25">
      <c r="B362" s="115"/>
      <c r="C362" s="114"/>
      <c r="D362" s="114"/>
      <c r="G362" s="120">
        <f>IF(ISERROR(MATCH(B362,MASTER!$B:$B,0)),B362,0)</f>
        <v>0</v>
      </c>
      <c r="H362" s="120">
        <f>IF(ISERROR(MATCH(MASTER!B367,'Peoplesoft Classlist'!$B:$B,0)),MASTER!B367,0)</f>
        <v>0</v>
      </c>
    </row>
    <row r="363" spans="2:8" x14ac:dyDescent="0.25">
      <c r="B363" s="114"/>
      <c r="C363" s="114"/>
      <c r="D363" s="114"/>
      <c r="G363" s="120">
        <f>IF(ISERROR(MATCH(B363,MASTER!$B:$B,0)),B363,0)</f>
        <v>0</v>
      </c>
      <c r="H363" s="120">
        <f>IF(ISERROR(MATCH(MASTER!B368,'Peoplesoft Classlist'!$B:$B,0)),MASTER!B368,0)</f>
        <v>0</v>
      </c>
    </row>
    <row r="364" spans="2:8" x14ac:dyDescent="0.25">
      <c r="B364" s="114"/>
      <c r="C364" s="114"/>
      <c r="D364" s="114"/>
      <c r="G364" s="120">
        <f>IF(ISERROR(MATCH(B364,MASTER!$B:$B,0)),B364,0)</f>
        <v>0</v>
      </c>
      <c r="H364" s="120">
        <f>IF(ISERROR(MATCH(MASTER!B369,'Peoplesoft Classlist'!$B:$B,0)),MASTER!B369,0)</f>
        <v>0</v>
      </c>
    </row>
    <row r="365" spans="2:8" x14ac:dyDescent="0.25">
      <c r="B365" s="114"/>
      <c r="C365" s="114"/>
      <c r="D365" s="114"/>
      <c r="G365" s="120">
        <f>IF(ISERROR(MATCH(B365,MASTER!$B:$B,0)),B365,0)</f>
        <v>0</v>
      </c>
      <c r="H365" s="120">
        <f>IF(ISERROR(MATCH(MASTER!B370,'Peoplesoft Classlist'!$B:$B,0)),MASTER!B370,0)</f>
        <v>0</v>
      </c>
    </row>
    <row r="366" spans="2:8" x14ac:dyDescent="0.25">
      <c r="B366" s="114"/>
      <c r="C366" s="114"/>
      <c r="D366" s="114"/>
      <c r="G366" s="120">
        <f>IF(ISERROR(MATCH(B366,MASTER!$B:$B,0)),B366,0)</f>
        <v>0</v>
      </c>
      <c r="H366" s="120">
        <f>IF(ISERROR(MATCH(MASTER!B371,'Peoplesoft Classlist'!$B:$B,0)),MASTER!B371,0)</f>
        <v>0</v>
      </c>
    </row>
    <row r="367" spans="2:8" x14ac:dyDescent="0.25">
      <c r="B367" s="114"/>
      <c r="C367" s="114"/>
      <c r="D367" s="114"/>
      <c r="G367" s="120">
        <f>IF(ISERROR(MATCH(B367,MASTER!$B:$B,0)),B367,0)</f>
        <v>0</v>
      </c>
      <c r="H367" s="120">
        <f>IF(ISERROR(MATCH(MASTER!B372,'Peoplesoft Classlist'!$B:$B,0)),MASTER!B372,0)</f>
        <v>0</v>
      </c>
    </row>
    <row r="368" spans="2:8" x14ac:dyDescent="0.25">
      <c r="B368" s="114"/>
      <c r="C368" s="114"/>
      <c r="D368" s="114"/>
      <c r="G368" s="120">
        <f>IF(ISERROR(MATCH(B368,MASTER!$B:$B,0)),B368,0)</f>
        <v>0</v>
      </c>
      <c r="H368" s="120">
        <f>IF(ISERROR(MATCH(MASTER!B373,'Peoplesoft Classlist'!$B:$B,0)),MASTER!B373,0)</f>
        <v>0</v>
      </c>
    </row>
    <row r="369" spans="2:8" x14ac:dyDescent="0.25">
      <c r="B369" s="114"/>
      <c r="C369" s="114"/>
      <c r="D369" s="114"/>
      <c r="G369" s="120">
        <f>IF(ISERROR(MATCH(B369,MASTER!$B:$B,0)),B369,0)</f>
        <v>0</v>
      </c>
      <c r="H369" s="120">
        <f>IF(ISERROR(MATCH(MASTER!B374,'Peoplesoft Classlist'!$B:$B,0)),MASTER!B374,0)</f>
        <v>0</v>
      </c>
    </row>
    <row r="370" spans="2:8" x14ac:dyDescent="0.25">
      <c r="B370" s="114"/>
      <c r="C370" s="114"/>
      <c r="D370" s="114"/>
      <c r="G370" s="120">
        <f>IF(ISERROR(MATCH(B370,MASTER!$B:$B,0)),B370,0)</f>
        <v>0</v>
      </c>
      <c r="H370" s="120">
        <f>IF(ISERROR(MATCH(MASTER!B375,'Peoplesoft Classlist'!$B:$B,0)),MASTER!B375,0)</f>
        <v>0</v>
      </c>
    </row>
    <row r="371" spans="2:8" x14ac:dyDescent="0.25">
      <c r="B371" s="114"/>
      <c r="C371" s="114"/>
      <c r="D371" s="114"/>
      <c r="G371" s="120">
        <f>IF(ISERROR(MATCH(B371,MASTER!$B:$B,0)),B371,0)</f>
        <v>0</v>
      </c>
      <c r="H371" s="120">
        <f>IF(ISERROR(MATCH(MASTER!B376,'Peoplesoft Classlist'!$B:$B,0)),MASTER!B376,0)</f>
        <v>0</v>
      </c>
    </row>
    <row r="372" spans="2:8" x14ac:dyDescent="0.25">
      <c r="B372" s="114"/>
      <c r="C372" s="114"/>
      <c r="D372" s="114"/>
      <c r="G372" s="120">
        <f>IF(ISERROR(MATCH(B372,MASTER!$B:$B,0)),B372,0)</f>
        <v>0</v>
      </c>
      <c r="H372" s="120">
        <f>IF(ISERROR(MATCH(MASTER!B377,'Peoplesoft Classlist'!$B:$B,0)),MASTER!B377,0)</f>
        <v>0</v>
      </c>
    </row>
    <row r="373" spans="2:8" x14ac:dyDescent="0.25">
      <c r="B373" s="114"/>
      <c r="C373" s="114"/>
      <c r="D373" s="114"/>
      <c r="G373" s="120">
        <f>IF(ISERROR(MATCH(B373,MASTER!$B:$B,0)),B373,0)</f>
        <v>0</v>
      </c>
      <c r="H373" s="120">
        <f>IF(ISERROR(MATCH(MASTER!B378,'Peoplesoft Classlist'!$B:$B,0)),MASTER!B378,0)</f>
        <v>0</v>
      </c>
    </row>
    <row r="374" spans="2:8" x14ac:dyDescent="0.25">
      <c r="B374" s="114"/>
      <c r="C374" s="114"/>
      <c r="D374" s="114"/>
      <c r="G374" s="120">
        <f>IF(ISERROR(MATCH(B374,MASTER!$B:$B,0)),B374,0)</f>
        <v>0</v>
      </c>
      <c r="H374" s="120">
        <f>IF(ISERROR(MATCH(MASTER!B379,'Peoplesoft Classlist'!$B:$B,0)),MASTER!B379,0)</f>
        <v>0</v>
      </c>
    </row>
    <row r="375" spans="2:8" x14ac:dyDescent="0.25">
      <c r="B375" s="114"/>
      <c r="C375" s="114"/>
      <c r="D375" s="114"/>
      <c r="G375" s="120">
        <f>IF(ISERROR(MATCH(B375,MASTER!$B:$B,0)),B375,0)</f>
        <v>0</v>
      </c>
      <c r="H375" s="120">
        <f>IF(ISERROR(MATCH(MASTER!B380,'Peoplesoft Classlist'!$B:$B,0)),MASTER!B380,0)</f>
        <v>0</v>
      </c>
    </row>
    <row r="376" spans="2:8" x14ac:dyDescent="0.25">
      <c r="B376" s="114"/>
      <c r="C376" s="114"/>
      <c r="D376" s="114"/>
      <c r="G376" s="120">
        <f>IF(ISERROR(MATCH(B376,MASTER!$B:$B,0)),B376,0)</f>
        <v>0</v>
      </c>
      <c r="H376" s="120">
        <f>IF(ISERROR(MATCH(MASTER!B381,'Peoplesoft Classlist'!$B:$B,0)),MASTER!B381,0)</f>
        <v>0</v>
      </c>
    </row>
    <row r="377" spans="2:8" x14ac:dyDescent="0.25">
      <c r="B377" s="114"/>
      <c r="C377" s="114"/>
      <c r="D377" s="114"/>
      <c r="G377" s="120">
        <f>IF(ISERROR(MATCH(B377,MASTER!$B:$B,0)),B377,0)</f>
        <v>0</v>
      </c>
      <c r="H377" s="120">
        <f>IF(ISERROR(MATCH(MASTER!B382,'Peoplesoft Classlist'!$B:$B,0)),MASTER!B382,0)</f>
        <v>0</v>
      </c>
    </row>
    <row r="378" spans="2:8" x14ac:dyDescent="0.25">
      <c r="B378" s="114"/>
      <c r="C378" s="114"/>
      <c r="D378" s="114"/>
      <c r="G378" s="120">
        <f>IF(ISERROR(MATCH(B378,MASTER!$B:$B,0)),B378,0)</f>
        <v>0</v>
      </c>
      <c r="H378" s="120">
        <f>IF(ISERROR(MATCH(MASTER!B383,'Peoplesoft Classlist'!$B:$B,0)),MASTER!B383,0)</f>
        <v>0</v>
      </c>
    </row>
    <row r="379" spans="2:8" x14ac:dyDescent="0.25">
      <c r="B379" s="114"/>
      <c r="C379" s="114"/>
      <c r="D379" s="114"/>
      <c r="G379" s="120">
        <f>IF(ISERROR(MATCH(B379,MASTER!$B:$B,0)),B379,0)</f>
        <v>0</v>
      </c>
      <c r="H379" s="120">
        <f>IF(ISERROR(MATCH(MASTER!B384,'Peoplesoft Classlist'!$B:$B,0)),MASTER!B384,0)</f>
        <v>0</v>
      </c>
    </row>
    <row r="380" spans="2:8" x14ac:dyDescent="0.25">
      <c r="B380" s="114"/>
      <c r="C380" s="114"/>
      <c r="D380" s="114"/>
      <c r="G380" s="120">
        <f>IF(ISERROR(MATCH(B380,MASTER!$B:$B,0)),B380,0)</f>
        <v>0</v>
      </c>
      <c r="H380" s="120">
        <f>IF(ISERROR(MATCH(MASTER!B385,'Peoplesoft Classlist'!$B:$B,0)),MASTER!B385,0)</f>
        <v>0</v>
      </c>
    </row>
    <row r="381" spans="2:8" x14ac:dyDescent="0.25">
      <c r="B381" s="114"/>
      <c r="C381" s="114"/>
      <c r="D381" s="114"/>
      <c r="G381" s="120">
        <f>IF(ISERROR(MATCH(B381,MASTER!$B:$B,0)),B381,0)</f>
        <v>0</v>
      </c>
      <c r="H381" s="120">
        <f>IF(ISERROR(MATCH(MASTER!B386,'Peoplesoft Classlist'!$B:$B,0)),MASTER!B386,0)</f>
        <v>0</v>
      </c>
    </row>
    <row r="382" spans="2:8" x14ac:dyDescent="0.25">
      <c r="B382" s="114"/>
      <c r="C382" s="114"/>
      <c r="D382" s="114"/>
      <c r="G382" s="120">
        <f>IF(ISERROR(MATCH(B382,MASTER!$B:$B,0)),B382,0)</f>
        <v>0</v>
      </c>
      <c r="H382" s="120">
        <f>IF(ISERROR(MATCH(MASTER!B387,'Peoplesoft Classlist'!$B:$B,0)),MASTER!B387,0)</f>
        <v>0</v>
      </c>
    </row>
    <row r="383" spans="2:8" x14ac:dyDescent="0.25">
      <c r="B383" s="114"/>
      <c r="C383" s="114"/>
      <c r="D383" s="114"/>
      <c r="G383" s="120">
        <f>IF(ISERROR(MATCH(B383,MASTER!$B:$B,0)),B383,0)</f>
        <v>0</v>
      </c>
      <c r="H383" s="120">
        <f>IF(ISERROR(MATCH(MASTER!B388,'Peoplesoft Classlist'!$B:$B,0)),MASTER!B388,0)</f>
        <v>0</v>
      </c>
    </row>
    <row r="384" spans="2:8" x14ac:dyDescent="0.25">
      <c r="B384" s="114"/>
      <c r="C384" s="114"/>
      <c r="D384" s="114"/>
      <c r="G384" s="120">
        <f>IF(ISERROR(MATCH(B384,MASTER!$B:$B,0)),B384,0)</f>
        <v>0</v>
      </c>
      <c r="H384" s="120">
        <f>IF(ISERROR(MATCH(MASTER!B389,'Peoplesoft Classlist'!$B:$B,0)),MASTER!B389,0)</f>
        <v>0</v>
      </c>
    </row>
    <row r="385" spans="2:8" x14ac:dyDescent="0.25">
      <c r="B385" s="114"/>
      <c r="C385" s="114"/>
      <c r="D385" s="114"/>
      <c r="G385" s="120">
        <f>IF(ISERROR(MATCH(B385,MASTER!$B:$B,0)),B385,0)</f>
        <v>0</v>
      </c>
      <c r="H385" s="120">
        <f>IF(ISERROR(MATCH(MASTER!B390,'Peoplesoft Classlist'!$B:$B,0)),MASTER!B390,0)</f>
        <v>0</v>
      </c>
    </row>
    <row r="386" spans="2:8" x14ac:dyDescent="0.25">
      <c r="B386" s="114"/>
      <c r="C386" s="114"/>
      <c r="D386" s="114"/>
      <c r="G386" s="120">
        <f>IF(ISERROR(MATCH(B386,MASTER!$B:$B,0)),B386,0)</f>
        <v>0</v>
      </c>
      <c r="H386" s="120">
        <f>IF(ISERROR(MATCH(MASTER!B391,'Peoplesoft Classlist'!$B:$B,0)),MASTER!B391,0)</f>
        <v>0</v>
      </c>
    </row>
    <row r="387" spans="2:8" x14ac:dyDescent="0.25">
      <c r="B387" s="114"/>
      <c r="C387" s="114"/>
      <c r="D387" s="114"/>
      <c r="G387" s="120">
        <f>IF(ISERROR(MATCH(B387,MASTER!$B:$B,0)),B387,0)</f>
        <v>0</v>
      </c>
      <c r="H387" s="120">
        <f>IF(ISERROR(MATCH(MASTER!B392,'Peoplesoft Classlist'!$B:$B,0)),MASTER!B392,0)</f>
        <v>0</v>
      </c>
    </row>
    <row r="388" spans="2:8" x14ac:dyDescent="0.25">
      <c r="B388" s="114"/>
      <c r="C388" s="114"/>
      <c r="D388" s="114"/>
      <c r="G388" s="120">
        <f>IF(ISERROR(MATCH(B388,MASTER!$B:$B,0)),B388,0)</f>
        <v>0</v>
      </c>
      <c r="H388" s="120">
        <f>IF(ISERROR(MATCH(MASTER!B393,'Peoplesoft Classlist'!$B:$B,0)),MASTER!B393,0)</f>
        <v>0</v>
      </c>
    </row>
    <row r="389" spans="2:8" x14ac:dyDescent="0.25">
      <c r="B389" s="114"/>
      <c r="C389" s="114"/>
      <c r="D389" s="114"/>
      <c r="G389" s="120">
        <f>IF(ISERROR(MATCH(B389,MASTER!$B:$B,0)),B389,0)</f>
        <v>0</v>
      </c>
      <c r="H389" s="120">
        <f>IF(ISERROR(MATCH(MASTER!B394,'Peoplesoft Classlist'!$B:$B,0)),MASTER!B394,0)</f>
        <v>0</v>
      </c>
    </row>
    <row r="390" spans="2:8" x14ac:dyDescent="0.25">
      <c r="B390" s="114"/>
      <c r="C390" s="114"/>
      <c r="D390" s="114"/>
      <c r="G390" s="120">
        <f>IF(ISERROR(MATCH(B390,MASTER!$B:$B,0)),B390,0)</f>
        <v>0</v>
      </c>
      <c r="H390" s="120">
        <f>IF(ISERROR(MATCH(MASTER!B395,'Peoplesoft Classlist'!$B:$B,0)),MASTER!B395,0)</f>
        <v>0</v>
      </c>
    </row>
    <row r="391" spans="2:8" x14ac:dyDescent="0.25">
      <c r="B391" s="114"/>
      <c r="C391" s="114"/>
      <c r="D391" s="114"/>
      <c r="G391" s="120">
        <f>IF(ISERROR(MATCH(B391,MASTER!$B:$B,0)),B391,0)</f>
        <v>0</v>
      </c>
      <c r="H391" s="120">
        <f>IF(ISERROR(MATCH(MASTER!B396,'Peoplesoft Classlist'!$B:$B,0)),MASTER!B396,0)</f>
        <v>0</v>
      </c>
    </row>
    <row r="392" spans="2:8" x14ac:dyDescent="0.25">
      <c r="B392" s="114"/>
      <c r="C392" s="114"/>
      <c r="D392" s="114"/>
      <c r="G392" s="120">
        <f>IF(ISERROR(MATCH(B392,MASTER!$B:$B,0)),B392,0)</f>
        <v>0</v>
      </c>
      <c r="H392" s="120">
        <f>IF(ISERROR(MATCH(MASTER!B397,'Peoplesoft Classlist'!$B:$B,0)),MASTER!B397,0)</f>
        <v>0</v>
      </c>
    </row>
    <row r="393" spans="2:8" x14ac:dyDescent="0.25">
      <c r="B393" s="114"/>
      <c r="C393" s="114"/>
      <c r="D393" s="114"/>
      <c r="G393" s="120">
        <f>IF(ISERROR(MATCH(B393,MASTER!$B:$B,0)),B393,0)</f>
        <v>0</v>
      </c>
      <c r="H393" s="120">
        <f>IF(ISERROR(MATCH(MASTER!B398,'Peoplesoft Classlist'!$B:$B,0)),MASTER!B398,0)</f>
        <v>0</v>
      </c>
    </row>
    <row r="394" spans="2:8" x14ac:dyDescent="0.25">
      <c r="B394" s="114"/>
      <c r="C394" s="114"/>
      <c r="D394" s="114"/>
      <c r="G394" s="120">
        <f>IF(ISERROR(MATCH(B394,MASTER!$B:$B,0)),B394,0)</f>
        <v>0</v>
      </c>
      <c r="H394" s="120">
        <f>IF(ISERROR(MATCH(MASTER!B399,'Peoplesoft Classlist'!$B:$B,0)),MASTER!B399,0)</f>
        <v>0</v>
      </c>
    </row>
    <row r="395" spans="2:8" x14ac:dyDescent="0.25">
      <c r="B395" s="114"/>
      <c r="C395" s="114"/>
      <c r="D395" s="114"/>
      <c r="G395" s="120">
        <f>IF(ISERROR(MATCH(B395,MASTER!$B:$B,0)),B395,0)</f>
        <v>0</v>
      </c>
      <c r="H395" s="120">
        <f>IF(ISERROR(MATCH(MASTER!B400,'Peoplesoft Classlist'!$B:$B,0)),MASTER!B400,0)</f>
        <v>0</v>
      </c>
    </row>
    <row r="396" spans="2:8" x14ac:dyDescent="0.25">
      <c r="B396" s="114"/>
      <c r="C396" s="114"/>
      <c r="D396" s="114"/>
      <c r="G396" s="120">
        <f>IF(ISERROR(MATCH(B396,MASTER!$B:$B,0)),B396,0)</f>
        <v>0</v>
      </c>
      <c r="H396" s="120">
        <f>IF(ISERROR(MATCH(MASTER!B401,'Peoplesoft Classlist'!$B:$B,0)),MASTER!B401,0)</f>
        <v>0</v>
      </c>
    </row>
    <row r="397" spans="2:8" x14ac:dyDescent="0.25">
      <c r="B397" s="114"/>
      <c r="C397" s="114"/>
      <c r="D397" s="114"/>
      <c r="G397" s="120">
        <f>IF(ISERROR(MATCH(B397,MASTER!$B:$B,0)),B397,0)</f>
        <v>0</v>
      </c>
      <c r="H397" s="120">
        <f>IF(ISERROR(MATCH(MASTER!B402,'Peoplesoft Classlist'!$B:$B,0)),MASTER!B402,0)</f>
        <v>0</v>
      </c>
    </row>
    <row r="398" spans="2:8" x14ac:dyDescent="0.25">
      <c r="B398" s="114"/>
      <c r="C398" s="114"/>
      <c r="D398" s="114"/>
      <c r="G398" s="120">
        <f>IF(ISERROR(MATCH(B398,MASTER!$B:$B,0)),B398,0)</f>
        <v>0</v>
      </c>
      <c r="H398" s="120">
        <f>IF(ISERROR(MATCH(MASTER!B403,'Peoplesoft Classlist'!$B:$B,0)),MASTER!B403,0)</f>
        <v>0</v>
      </c>
    </row>
    <row r="399" spans="2:8" x14ac:dyDescent="0.25">
      <c r="B399" s="114"/>
      <c r="C399" s="114"/>
      <c r="D399" s="114"/>
      <c r="G399" s="120">
        <f>IF(ISERROR(MATCH(B399,MASTER!$B:$B,0)),B399,0)</f>
        <v>0</v>
      </c>
      <c r="H399" s="120">
        <f>IF(ISERROR(MATCH(MASTER!B404,'Peoplesoft Classlist'!$B:$B,0)),MASTER!B404,0)</f>
        <v>0</v>
      </c>
    </row>
    <row r="400" spans="2:8" x14ac:dyDescent="0.25">
      <c r="B400" s="114"/>
      <c r="C400" s="114"/>
      <c r="D400" s="114"/>
      <c r="G400" s="120">
        <f>IF(ISERROR(MATCH(B400,MASTER!$B:$B,0)),B400,0)</f>
        <v>0</v>
      </c>
      <c r="H400" s="120">
        <f>IF(ISERROR(MATCH(MASTER!B405,'Peoplesoft Classlist'!$B:$B,0)),MASTER!B405,0)</f>
        <v>0</v>
      </c>
    </row>
    <row r="401" spans="2:8" x14ac:dyDescent="0.25">
      <c r="B401" s="114"/>
      <c r="C401" s="114"/>
      <c r="D401" s="114"/>
      <c r="G401" s="120">
        <f>IF(ISERROR(MATCH(B401,MASTER!$B:$B,0)),B401,0)</f>
        <v>0</v>
      </c>
      <c r="H401" s="120">
        <f>IF(ISERROR(MATCH(MASTER!B406,'Peoplesoft Classlist'!$B:$B,0)),MASTER!B406,0)</f>
        <v>0</v>
      </c>
    </row>
    <row r="402" spans="2:8" x14ac:dyDescent="0.25">
      <c r="B402" s="114"/>
      <c r="C402" s="114"/>
      <c r="D402" s="114"/>
      <c r="G402" s="120">
        <f>IF(ISERROR(MATCH(B402,MASTER!$B:$B,0)),B402,0)</f>
        <v>0</v>
      </c>
      <c r="H402" s="120">
        <f>IF(ISERROR(MATCH(MASTER!B407,'Peoplesoft Classlist'!$B:$B,0)),MASTER!B407,0)</f>
        <v>0</v>
      </c>
    </row>
    <row r="403" spans="2:8" x14ac:dyDescent="0.25">
      <c r="B403" s="114"/>
      <c r="C403" s="114"/>
      <c r="D403" s="114"/>
      <c r="G403" s="120">
        <f>IF(ISERROR(MATCH(B403,MASTER!$B:$B,0)),B403,0)</f>
        <v>0</v>
      </c>
      <c r="H403" s="120">
        <f>IF(ISERROR(MATCH(MASTER!B408,'Peoplesoft Classlist'!$B:$B,0)),MASTER!B408,0)</f>
        <v>0</v>
      </c>
    </row>
    <row r="404" spans="2:8" x14ac:dyDescent="0.25">
      <c r="B404" s="114"/>
      <c r="C404" s="114"/>
      <c r="D404" s="114"/>
      <c r="G404" s="120">
        <f>IF(ISERROR(MATCH(B404,MASTER!$B:$B,0)),B404,0)</f>
        <v>0</v>
      </c>
      <c r="H404" s="120">
        <f>IF(ISERROR(MATCH(MASTER!B409,'Peoplesoft Classlist'!$B:$B,0)),MASTER!B409,0)</f>
        <v>0</v>
      </c>
    </row>
    <row r="405" spans="2:8" x14ac:dyDescent="0.25">
      <c r="B405" s="114"/>
      <c r="C405" s="114"/>
      <c r="D405" s="114"/>
      <c r="G405" s="120">
        <f>IF(ISERROR(MATCH(B405,MASTER!$B:$B,0)),B405,0)</f>
        <v>0</v>
      </c>
      <c r="H405" s="120">
        <f>IF(ISERROR(MATCH(MASTER!B410,'Peoplesoft Classlist'!$B:$B,0)),MASTER!B410,0)</f>
        <v>0</v>
      </c>
    </row>
    <row r="406" spans="2:8" x14ac:dyDescent="0.25">
      <c r="B406" s="114"/>
      <c r="C406" s="114"/>
      <c r="D406" s="114"/>
      <c r="G406" s="120">
        <f>IF(ISERROR(MATCH(B406,MASTER!$B:$B,0)),B406,0)</f>
        <v>0</v>
      </c>
      <c r="H406" s="120">
        <f>IF(ISERROR(MATCH(MASTER!B411,'Peoplesoft Classlist'!$B:$B,0)),MASTER!B411,0)</f>
        <v>0</v>
      </c>
    </row>
    <row r="407" spans="2:8" x14ac:dyDescent="0.25">
      <c r="B407" s="114"/>
      <c r="C407" s="114"/>
      <c r="D407" s="114"/>
      <c r="G407" s="120">
        <f>IF(ISERROR(MATCH(B407,MASTER!$B:$B,0)),B407,0)</f>
        <v>0</v>
      </c>
      <c r="H407" s="120">
        <f>IF(ISERROR(MATCH(MASTER!B412,'Peoplesoft Classlist'!$B:$B,0)),MASTER!B412,0)</f>
        <v>0</v>
      </c>
    </row>
    <row r="408" spans="2:8" x14ac:dyDescent="0.25">
      <c r="B408" s="114"/>
      <c r="C408" s="114"/>
      <c r="D408" s="114"/>
      <c r="G408" s="120">
        <f>IF(ISERROR(MATCH(B408,MASTER!$B:$B,0)),B408,0)</f>
        <v>0</v>
      </c>
      <c r="H408" s="120">
        <f>IF(ISERROR(MATCH(MASTER!B413,'Peoplesoft Classlist'!$B:$B,0)),MASTER!B413,0)</f>
        <v>0</v>
      </c>
    </row>
    <row r="409" spans="2:8" x14ac:dyDescent="0.25">
      <c r="B409" s="114"/>
      <c r="C409" s="114"/>
      <c r="D409" s="114"/>
      <c r="G409" s="120">
        <f>IF(ISERROR(MATCH(B409,MASTER!$B:$B,0)),B409,0)</f>
        <v>0</v>
      </c>
      <c r="H409" s="120">
        <f>IF(ISERROR(MATCH(MASTER!B414,'Peoplesoft Classlist'!$B:$B,0)),MASTER!B414,0)</f>
        <v>0</v>
      </c>
    </row>
    <row r="410" spans="2:8" x14ac:dyDescent="0.25">
      <c r="B410" s="114"/>
      <c r="C410" s="114"/>
      <c r="D410" s="114"/>
      <c r="G410" s="120">
        <f>IF(ISERROR(MATCH(B410,MASTER!$B:$B,0)),B410,0)</f>
        <v>0</v>
      </c>
      <c r="H410" s="120">
        <f>IF(ISERROR(MATCH(MASTER!B415,'Peoplesoft Classlist'!$B:$B,0)),MASTER!B415,0)</f>
        <v>0</v>
      </c>
    </row>
    <row r="411" spans="2:8" x14ac:dyDescent="0.25">
      <c r="B411" s="114"/>
      <c r="C411" s="114"/>
      <c r="D411" s="114"/>
      <c r="G411" s="120">
        <f>IF(ISERROR(MATCH(B411,MASTER!$B:$B,0)),B411,0)</f>
        <v>0</v>
      </c>
      <c r="H411" s="120">
        <f>IF(ISERROR(MATCH(MASTER!B416,'Peoplesoft Classlist'!$B:$B,0)),MASTER!B416,0)</f>
        <v>0</v>
      </c>
    </row>
    <row r="412" spans="2:8" x14ac:dyDescent="0.25">
      <c r="B412" s="114"/>
      <c r="C412" s="114"/>
      <c r="D412" s="114"/>
      <c r="G412" s="120">
        <f>IF(ISERROR(MATCH(B412,MASTER!$B:$B,0)),B412,0)</f>
        <v>0</v>
      </c>
      <c r="H412" s="120">
        <f>IF(ISERROR(MATCH(MASTER!B417,'Peoplesoft Classlist'!$B:$B,0)),MASTER!B417,0)</f>
        <v>0</v>
      </c>
    </row>
    <row r="413" spans="2:8" x14ac:dyDescent="0.25">
      <c r="B413" s="114"/>
      <c r="C413" s="114"/>
      <c r="D413" s="114"/>
      <c r="G413" s="120">
        <f>IF(ISERROR(MATCH(B413,MASTER!$B:$B,0)),B413,0)</f>
        <v>0</v>
      </c>
      <c r="H413" s="120">
        <f>IF(ISERROR(MATCH(MASTER!B418,'Peoplesoft Classlist'!$B:$B,0)),MASTER!B418,0)</f>
        <v>0</v>
      </c>
    </row>
    <row r="414" spans="2:8" x14ac:dyDescent="0.25">
      <c r="B414" s="114"/>
      <c r="C414" s="114"/>
      <c r="D414" s="114"/>
      <c r="G414" s="120">
        <f>IF(ISERROR(MATCH(B414,MASTER!$B:$B,0)),B414,0)</f>
        <v>0</v>
      </c>
      <c r="H414" s="120">
        <f>IF(ISERROR(MATCH(MASTER!B419,'Peoplesoft Classlist'!$B:$B,0)),MASTER!B419,0)</f>
        <v>0</v>
      </c>
    </row>
    <row r="415" spans="2:8" x14ac:dyDescent="0.25">
      <c r="B415" s="114"/>
      <c r="C415" s="114"/>
      <c r="D415" s="114"/>
      <c r="G415" s="120">
        <f>IF(ISERROR(MATCH(B415,MASTER!$B:$B,0)),B415,0)</f>
        <v>0</v>
      </c>
      <c r="H415" s="120">
        <f>IF(ISERROR(MATCH(MASTER!B420,'Peoplesoft Classlist'!$B:$B,0)),MASTER!B420,0)</f>
        <v>0</v>
      </c>
    </row>
    <row r="416" spans="2:8" x14ac:dyDescent="0.25">
      <c r="B416" s="114"/>
      <c r="C416" s="114"/>
      <c r="D416" s="114"/>
      <c r="G416" s="120">
        <f>IF(ISERROR(MATCH(B416,MASTER!$B:$B,0)),B416,0)</f>
        <v>0</v>
      </c>
      <c r="H416" s="120">
        <f>IF(ISERROR(MATCH(MASTER!B421,'Peoplesoft Classlist'!$B:$B,0)),MASTER!B421,0)</f>
        <v>0</v>
      </c>
    </row>
    <row r="417" spans="2:8" x14ac:dyDescent="0.25">
      <c r="B417" s="114"/>
      <c r="C417" s="114"/>
      <c r="D417" s="114"/>
      <c r="G417" s="120">
        <f>IF(ISERROR(MATCH(B417,MASTER!$B:$B,0)),B417,0)</f>
        <v>0</v>
      </c>
      <c r="H417" s="120">
        <f>IF(ISERROR(MATCH(MASTER!B422,'Peoplesoft Classlist'!$B:$B,0)),MASTER!B422,0)</f>
        <v>0</v>
      </c>
    </row>
    <row r="418" spans="2:8" x14ac:dyDescent="0.25">
      <c r="B418" s="114"/>
      <c r="C418" s="114"/>
      <c r="D418" s="114"/>
      <c r="G418" s="120">
        <f>IF(ISERROR(MATCH(B418,MASTER!$B:$B,0)),B418,0)</f>
        <v>0</v>
      </c>
      <c r="H418" s="120">
        <f>IF(ISERROR(MATCH(MASTER!B423,'Peoplesoft Classlist'!$B:$B,0)),MASTER!B423,0)</f>
        <v>0</v>
      </c>
    </row>
    <row r="419" spans="2:8" x14ac:dyDescent="0.25">
      <c r="B419" s="114"/>
      <c r="C419" s="114"/>
      <c r="D419" s="114"/>
      <c r="G419" s="120">
        <f>IF(ISERROR(MATCH(B419,MASTER!$B:$B,0)),B419,0)</f>
        <v>0</v>
      </c>
      <c r="H419" s="120">
        <f>IF(ISERROR(MATCH(MASTER!B424,'Peoplesoft Classlist'!$B:$B,0)),MASTER!B424,0)</f>
        <v>0</v>
      </c>
    </row>
    <row r="420" spans="2:8" x14ac:dyDescent="0.25">
      <c r="B420" s="114"/>
      <c r="C420" s="114"/>
      <c r="D420" s="114"/>
      <c r="G420" s="120">
        <f>IF(ISERROR(MATCH(B420,MASTER!$B:$B,0)),B420,0)</f>
        <v>0</v>
      </c>
      <c r="H420" s="120">
        <f>IF(ISERROR(MATCH(MASTER!B425,'Peoplesoft Classlist'!$B:$B,0)),MASTER!B425,0)</f>
        <v>0</v>
      </c>
    </row>
    <row r="421" spans="2:8" x14ac:dyDescent="0.25">
      <c r="B421" s="114"/>
      <c r="C421" s="114"/>
      <c r="D421" s="114"/>
      <c r="G421" s="120">
        <f>IF(ISERROR(MATCH(B421,MASTER!$B:$B,0)),B421,0)</f>
        <v>0</v>
      </c>
      <c r="H421" s="120">
        <f>IF(ISERROR(MATCH(MASTER!B426,'Peoplesoft Classlist'!$B:$B,0)),MASTER!B426,0)</f>
        <v>0</v>
      </c>
    </row>
    <row r="422" spans="2:8" x14ac:dyDescent="0.25">
      <c r="B422" s="114"/>
      <c r="C422" s="114"/>
      <c r="D422" s="114"/>
      <c r="G422" s="120">
        <f>IF(ISERROR(MATCH(B422,MASTER!$B:$B,0)),B422,0)</f>
        <v>0</v>
      </c>
      <c r="H422" s="120">
        <f>IF(ISERROR(MATCH(MASTER!B427,'Peoplesoft Classlist'!$B:$B,0)),MASTER!B427,0)</f>
        <v>0</v>
      </c>
    </row>
    <row r="423" spans="2:8" x14ac:dyDescent="0.25">
      <c r="B423" s="114"/>
      <c r="C423" s="114"/>
      <c r="D423" s="114"/>
      <c r="G423" s="120">
        <f>IF(ISERROR(MATCH(B423,MASTER!$B:$B,0)),B423,0)</f>
        <v>0</v>
      </c>
      <c r="H423" s="120">
        <f>IF(ISERROR(MATCH(MASTER!B428,'Peoplesoft Classlist'!$B:$B,0)),MASTER!B428,0)</f>
        <v>0</v>
      </c>
    </row>
    <row r="424" spans="2:8" x14ac:dyDescent="0.25">
      <c r="B424" s="114"/>
      <c r="C424" s="114"/>
      <c r="D424" s="114"/>
      <c r="G424" s="120">
        <f>IF(ISERROR(MATCH(B424,MASTER!$B:$B,0)),B424,0)</f>
        <v>0</v>
      </c>
      <c r="H424" s="120">
        <f>IF(ISERROR(MATCH(MASTER!B429,'Peoplesoft Classlist'!$B:$B,0)),MASTER!B429,0)</f>
        <v>0</v>
      </c>
    </row>
    <row r="425" spans="2:8" x14ac:dyDescent="0.25">
      <c r="B425" s="114"/>
      <c r="C425" s="114"/>
      <c r="D425" s="114"/>
      <c r="G425" s="120">
        <f>IF(ISERROR(MATCH(B425,MASTER!$B:$B,0)),B425,0)</f>
        <v>0</v>
      </c>
      <c r="H425" s="120">
        <f>IF(ISERROR(MATCH(MASTER!B430,'Peoplesoft Classlist'!$B:$B,0)),MASTER!B430,0)</f>
        <v>0</v>
      </c>
    </row>
    <row r="426" spans="2:8" x14ac:dyDescent="0.25">
      <c r="B426" s="114"/>
      <c r="C426" s="114"/>
      <c r="D426" s="114"/>
      <c r="G426" s="120">
        <f>IF(ISERROR(MATCH(B426,MASTER!$B:$B,0)),B426,0)</f>
        <v>0</v>
      </c>
      <c r="H426" s="120">
        <f>IF(ISERROR(MATCH(MASTER!B431,'Peoplesoft Classlist'!$B:$B,0)),MASTER!B431,0)</f>
        <v>0</v>
      </c>
    </row>
    <row r="427" spans="2:8" x14ac:dyDescent="0.25">
      <c r="B427" s="114"/>
      <c r="C427" s="114"/>
      <c r="D427" s="114"/>
      <c r="G427" s="120">
        <f>IF(ISERROR(MATCH(B427,MASTER!$B:$B,0)),B427,0)</f>
        <v>0</v>
      </c>
      <c r="H427" s="120">
        <f>IF(ISERROR(MATCH(MASTER!B432,'Peoplesoft Classlist'!$B:$B,0)),MASTER!B432,0)</f>
        <v>0</v>
      </c>
    </row>
    <row r="428" spans="2:8" x14ac:dyDescent="0.25">
      <c r="B428" s="114"/>
      <c r="C428" s="114"/>
      <c r="D428" s="114"/>
      <c r="G428" s="120">
        <f>IF(ISERROR(MATCH(B428,MASTER!$B:$B,0)),B428,0)</f>
        <v>0</v>
      </c>
      <c r="H428" s="120">
        <f>IF(ISERROR(MATCH(MASTER!B433,'Peoplesoft Classlist'!$B:$B,0)),MASTER!B433,0)</f>
        <v>0</v>
      </c>
    </row>
    <row r="429" spans="2:8" x14ac:dyDescent="0.25">
      <c r="B429" s="114"/>
      <c r="C429" s="114"/>
      <c r="D429" s="114"/>
      <c r="G429" s="120">
        <f>IF(ISERROR(MATCH(B429,MASTER!$B:$B,0)),B429,0)</f>
        <v>0</v>
      </c>
      <c r="H429" s="120">
        <f>IF(ISERROR(MATCH(MASTER!B434,'Peoplesoft Classlist'!$B:$B,0)),MASTER!B434,0)</f>
        <v>0</v>
      </c>
    </row>
    <row r="430" spans="2:8" x14ac:dyDescent="0.25">
      <c r="B430" s="114"/>
      <c r="C430" s="114"/>
      <c r="D430" s="114"/>
      <c r="G430" s="120">
        <f>IF(ISERROR(MATCH(B430,MASTER!$B:$B,0)),B430,0)</f>
        <v>0</v>
      </c>
      <c r="H430" s="120">
        <f>IF(ISERROR(MATCH(MASTER!B435,'Peoplesoft Classlist'!$B:$B,0)),MASTER!B435,0)</f>
        <v>0</v>
      </c>
    </row>
    <row r="431" spans="2:8" x14ac:dyDescent="0.25">
      <c r="B431" s="114"/>
      <c r="C431" s="114"/>
      <c r="D431" s="114"/>
      <c r="G431" s="120">
        <f>IF(ISERROR(MATCH(B431,MASTER!$B:$B,0)),B431,0)</f>
        <v>0</v>
      </c>
      <c r="H431" s="120">
        <f>IF(ISERROR(MATCH(MASTER!B436,'Peoplesoft Classlist'!$B:$B,0)),MASTER!B436,0)</f>
        <v>0</v>
      </c>
    </row>
    <row r="432" spans="2:8" x14ac:dyDescent="0.25">
      <c r="B432" s="114"/>
      <c r="C432" s="114"/>
      <c r="D432" s="114"/>
      <c r="G432" s="120">
        <f>IF(ISERROR(MATCH(B432,MASTER!$B:$B,0)),B432,0)</f>
        <v>0</v>
      </c>
      <c r="H432" s="120">
        <f>IF(ISERROR(MATCH(MASTER!B437,'Peoplesoft Classlist'!$B:$B,0)),MASTER!B437,0)</f>
        <v>0</v>
      </c>
    </row>
    <row r="433" spans="2:8" x14ac:dyDescent="0.25">
      <c r="B433" s="114"/>
      <c r="C433" s="114"/>
      <c r="D433" s="114"/>
      <c r="G433" s="120">
        <f>IF(ISERROR(MATCH(B433,MASTER!$B:$B,0)),B433,0)</f>
        <v>0</v>
      </c>
      <c r="H433" s="120">
        <f>IF(ISERROR(MATCH(MASTER!B438,'Peoplesoft Classlist'!$B:$B,0)),MASTER!B438,0)</f>
        <v>0</v>
      </c>
    </row>
    <row r="434" spans="2:8" x14ac:dyDescent="0.25">
      <c r="B434" s="114"/>
      <c r="C434" s="114"/>
      <c r="D434" s="114"/>
      <c r="G434" s="120">
        <f>IF(ISERROR(MATCH(B434,MASTER!$B:$B,0)),B434,0)</f>
        <v>0</v>
      </c>
      <c r="H434" s="120">
        <f>IF(ISERROR(MATCH(MASTER!B439,'Peoplesoft Classlist'!$B:$B,0)),MASTER!B439,0)</f>
        <v>0</v>
      </c>
    </row>
    <row r="435" spans="2:8" x14ac:dyDescent="0.25">
      <c r="B435" s="114"/>
      <c r="C435" s="114"/>
      <c r="D435" s="114"/>
      <c r="G435" s="120">
        <f>IF(ISERROR(MATCH(B435,MASTER!$B:$B,0)),B435,0)</f>
        <v>0</v>
      </c>
      <c r="H435" s="120">
        <f>IF(ISERROR(MATCH(MASTER!B440,'Peoplesoft Classlist'!$B:$B,0)),MASTER!B440,0)</f>
        <v>0</v>
      </c>
    </row>
    <row r="436" spans="2:8" x14ac:dyDescent="0.25">
      <c r="B436" s="114"/>
      <c r="C436" s="114"/>
      <c r="D436" s="114"/>
      <c r="G436" s="120">
        <f>IF(ISERROR(MATCH(B436,MASTER!$B:$B,0)),B436,0)</f>
        <v>0</v>
      </c>
      <c r="H436" s="120">
        <f>IF(ISERROR(MATCH(MASTER!B441,'Peoplesoft Classlist'!$B:$B,0)),MASTER!B441,0)</f>
        <v>0</v>
      </c>
    </row>
    <row r="437" spans="2:8" x14ac:dyDescent="0.25">
      <c r="B437" s="114"/>
      <c r="C437" s="114"/>
      <c r="D437" s="114"/>
      <c r="G437" s="120">
        <f>IF(ISERROR(MATCH(B437,MASTER!$B:$B,0)),B437,0)</f>
        <v>0</v>
      </c>
      <c r="H437" s="120">
        <f>IF(ISERROR(MATCH(MASTER!B442,'Peoplesoft Classlist'!$B:$B,0)),MASTER!B442,0)</f>
        <v>0</v>
      </c>
    </row>
    <row r="438" spans="2:8" x14ac:dyDescent="0.25">
      <c r="B438" s="114"/>
      <c r="C438" s="114"/>
      <c r="D438" s="114"/>
      <c r="G438" s="120">
        <f>IF(ISERROR(MATCH(B438,MASTER!$B:$B,0)),B438,0)</f>
        <v>0</v>
      </c>
      <c r="H438" s="120">
        <f>IF(ISERROR(MATCH(MASTER!B443,'Peoplesoft Classlist'!$B:$B,0)),MASTER!B443,0)</f>
        <v>0</v>
      </c>
    </row>
    <row r="439" spans="2:8" x14ac:dyDescent="0.25">
      <c r="B439" s="114"/>
      <c r="C439" s="114"/>
      <c r="D439" s="114"/>
      <c r="G439" s="120">
        <f>IF(ISERROR(MATCH(B439,MASTER!$B:$B,0)),B439,0)</f>
        <v>0</v>
      </c>
      <c r="H439" s="120">
        <f>IF(ISERROR(MATCH(MASTER!B444,'Peoplesoft Classlist'!$B:$B,0)),MASTER!B444,0)</f>
        <v>0</v>
      </c>
    </row>
    <row r="440" spans="2:8" x14ac:dyDescent="0.25">
      <c r="B440" s="114"/>
      <c r="C440" s="114"/>
      <c r="D440" s="114"/>
      <c r="G440" s="120">
        <f>IF(ISERROR(MATCH(B440,MASTER!$B:$B,0)),B440,0)</f>
        <v>0</v>
      </c>
      <c r="H440" s="120">
        <f>IF(ISERROR(MATCH(MASTER!B445,'Peoplesoft Classlist'!$B:$B,0)),MASTER!B445,0)</f>
        <v>0</v>
      </c>
    </row>
    <row r="441" spans="2:8" x14ac:dyDescent="0.25">
      <c r="B441" s="114"/>
      <c r="C441" s="114"/>
      <c r="D441" s="114"/>
      <c r="G441" s="120">
        <f>IF(ISERROR(MATCH(B441,MASTER!$B:$B,0)),B441,0)</f>
        <v>0</v>
      </c>
      <c r="H441" s="120">
        <f>IF(ISERROR(MATCH(MASTER!B446,'Peoplesoft Classlist'!$B:$B,0)),MASTER!B446,0)</f>
        <v>0</v>
      </c>
    </row>
    <row r="442" spans="2:8" x14ac:dyDescent="0.25">
      <c r="B442" s="114"/>
      <c r="C442" s="114"/>
      <c r="D442" s="114"/>
      <c r="G442" s="120">
        <f>IF(ISERROR(MATCH(B442,MASTER!$B:$B,0)),B442,0)</f>
        <v>0</v>
      </c>
      <c r="H442" s="120">
        <f>IF(ISERROR(MATCH(MASTER!B447,'Peoplesoft Classlist'!$B:$B,0)),MASTER!B447,0)</f>
        <v>0</v>
      </c>
    </row>
    <row r="443" spans="2:8" x14ac:dyDescent="0.25">
      <c r="B443" s="114"/>
      <c r="C443" s="114"/>
      <c r="D443" s="114"/>
      <c r="G443" s="120">
        <f>IF(ISERROR(MATCH(B443,MASTER!$B:$B,0)),B443,0)</f>
        <v>0</v>
      </c>
      <c r="H443" s="120">
        <f>IF(ISERROR(MATCH(MASTER!B448,'Peoplesoft Classlist'!$B:$B,0)),MASTER!B448,0)</f>
        <v>0</v>
      </c>
    </row>
    <row r="444" spans="2:8" x14ac:dyDescent="0.25">
      <c r="B444" s="114"/>
      <c r="C444" s="114"/>
      <c r="D444" s="114"/>
      <c r="G444" s="120">
        <f>IF(ISERROR(MATCH(B444,MASTER!$B:$B,0)),B444,0)</f>
        <v>0</v>
      </c>
      <c r="H444" s="120">
        <f>IF(ISERROR(MATCH(MASTER!B449,'Peoplesoft Classlist'!$B:$B,0)),MASTER!B449,0)</f>
        <v>0</v>
      </c>
    </row>
    <row r="445" spans="2:8" x14ac:dyDescent="0.25">
      <c r="B445" s="114"/>
      <c r="C445" s="114"/>
      <c r="D445" s="114"/>
      <c r="G445" s="120">
        <f>IF(ISERROR(MATCH(B445,MASTER!$B:$B,0)),B445,0)</f>
        <v>0</v>
      </c>
      <c r="H445" s="120">
        <f>IF(ISERROR(MATCH(MASTER!B450,'Peoplesoft Classlist'!$B:$B,0)),MASTER!B450,0)</f>
        <v>0</v>
      </c>
    </row>
    <row r="446" spans="2:8" x14ac:dyDescent="0.25">
      <c r="B446" s="114"/>
      <c r="C446" s="114"/>
      <c r="D446" s="114"/>
      <c r="G446" s="120">
        <f>IF(ISERROR(MATCH(B446,MASTER!$B:$B,0)),B446,0)</f>
        <v>0</v>
      </c>
      <c r="H446" s="120">
        <f>IF(ISERROR(MATCH(MASTER!B451,'Peoplesoft Classlist'!$B:$B,0)),MASTER!B451,0)</f>
        <v>0</v>
      </c>
    </row>
    <row r="447" spans="2:8" x14ac:dyDescent="0.25">
      <c r="B447" s="114"/>
      <c r="C447" s="114"/>
      <c r="D447" s="114"/>
      <c r="G447" s="120">
        <f>IF(ISERROR(MATCH(B447,MASTER!$B:$B,0)),B447,0)</f>
        <v>0</v>
      </c>
      <c r="H447" s="120">
        <f>IF(ISERROR(MATCH(MASTER!B452,'Peoplesoft Classlist'!$B:$B,0)),MASTER!B452,0)</f>
        <v>0</v>
      </c>
    </row>
    <row r="448" spans="2:8" x14ac:dyDescent="0.25">
      <c r="B448" s="114"/>
      <c r="C448" s="114"/>
      <c r="D448" s="114"/>
      <c r="G448" s="120">
        <f>IF(ISERROR(MATCH(B448,MASTER!$B:$B,0)),B448,0)</f>
        <v>0</v>
      </c>
      <c r="H448" s="120">
        <f>IF(ISERROR(MATCH(MASTER!B453,'Peoplesoft Classlist'!$B:$B,0)),MASTER!B453,0)</f>
        <v>0</v>
      </c>
    </row>
    <row r="449" spans="2:8" x14ac:dyDescent="0.25">
      <c r="B449" s="114"/>
      <c r="C449" s="114"/>
      <c r="D449" s="114"/>
      <c r="G449" s="120">
        <f>IF(ISERROR(MATCH(B449,MASTER!$B:$B,0)),B449,0)</f>
        <v>0</v>
      </c>
      <c r="H449" s="120">
        <f>IF(ISERROR(MATCH(MASTER!B454,'Peoplesoft Classlist'!$B:$B,0)),MASTER!B454,0)</f>
        <v>0</v>
      </c>
    </row>
    <row r="450" spans="2:8" x14ac:dyDescent="0.25">
      <c r="B450" s="114"/>
      <c r="C450" s="114"/>
      <c r="D450" s="114"/>
      <c r="G450" s="120">
        <f>IF(ISERROR(MATCH(B450,MASTER!$B:$B,0)),B450,0)</f>
        <v>0</v>
      </c>
      <c r="H450" s="120">
        <f>IF(ISERROR(MATCH(MASTER!B455,'Peoplesoft Classlist'!$B:$B,0)),MASTER!B455,0)</f>
        <v>0</v>
      </c>
    </row>
    <row r="451" spans="2:8" x14ac:dyDescent="0.25">
      <c r="B451" s="114"/>
      <c r="C451" s="114"/>
      <c r="D451" s="114"/>
      <c r="G451" s="120">
        <f>IF(ISERROR(MATCH(B451,MASTER!$B:$B,0)),B451,0)</f>
        <v>0</v>
      </c>
      <c r="H451" s="120">
        <f>IF(ISERROR(MATCH(MASTER!B456,'Peoplesoft Classlist'!$B:$B,0)),MASTER!B456,0)</f>
        <v>0</v>
      </c>
    </row>
    <row r="452" spans="2:8" x14ac:dyDescent="0.25">
      <c r="B452" s="114"/>
      <c r="C452" s="114"/>
      <c r="D452" s="114"/>
      <c r="G452" s="120">
        <f>IF(ISERROR(MATCH(B452,MASTER!$B:$B,0)),B452,0)</f>
        <v>0</v>
      </c>
      <c r="H452" s="120">
        <f>IF(ISERROR(MATCH(MASTER!B457,'Peoplesoft Classlist'!$B:$B,0)),MASTER!B457,0)</f>
        <v>0</v>
      </c>
    </row>
    <row r="453" spans="2:8" x14ac:dyDescent="0.25">
      <c r="B453" s="114"/>
      <c r="C453" s="114"/>
      <c r="D453" s="114"/>
      <c r="G453" s="120">
        <f>IF(ISERROR(MATCH(B453,MASTER!$B:$B,0)),B453,0)</f>
        <v>0</v>
      </c>
      <c r="H453" s="120">
        <f>IF(ISERROR(MATCH(MASTER!B458,'Peoplesoft Classlist'!$B:$B,0)),MASTER!B458,0)</f>
        <v>0</v>
      </c>
    </row>
    <row r="454" spans="2:8" x14ac:dyDescent="0.25">
      <c r="B454" s="114"/>
      <c r="C454" s="114"/>
      <c r="D454" s="114"/>
      <c r="G454" s="120">
        <f>IF(ISERROR(MATCH(B454,MASTER!$B:$B,0)),B454,0)</f>
        <v>0</v>
      </c>
      <c r="H454" s="120">
        <f>IF(ISERROR(MATCH(MASTER!B459,'Peoplesoft Classlist'!$B:$B,0)),MASTER!B459,0)</f>
        <v>0</v>
      </c>
    </row>
    <row r="455" spans="2:8" x14ac:dyDescent="0.25">
      <c r="B455" s="114"/>
      <c r="C455" s="114"/>
      <c r="D455" s="114"/>
      <c r="G455" s="120">
        <f>IF(ISERROR(MATCH(B455,MASTER!$B:$B,0)),B455,0)</f>
        <v>0</v>
      </c>
      <c r="H455" s="120">
        <f>IF(ISERROR(MATCH(MASTER!B460,'Peoplesoft Classlist'!$B:$B,0)),MASTER!B460,0)</f>
        <v>0</v>
      </c>
    </row>
    <row r="456" spans="2:8" x14ac:dyDescent="0.25">
      <c r="B456" s="114"/>
      <c r="C456" s="114"/>
      <c r="D456" s="114"/>
      <c r="G456" s="120">
        <f>IF(ISERROR(MATCH(B456,MASTER!$B:$B,0)),B456,0)</f>
        <v>0</v>
      </c>
      <c r="H456" s="120">
        <f>IF(ISERROR(MATCH(MASTER!B461,'Peoplesoft Classlist'!$B:$B,0)),MASTER!B461,0)</f>
        <v>0</v>
      </c>
    </row>
    <row r="457" spans="2:8" x14ac:dyDescent="0.25">
      <c r="B457" s="114"/>
      <c r="C457" s="114"/>
      <c r="D457" s="114"/>
      <c r="G457" s="120">
        <f>IF(ISERROR(MATCH(B457,MASTER!$B:$B,0)),B457,0)</f>
        <v>0</v>
      </c>
      <c r="H457" s="120">
        <f>IF(ISERROR(MATCH(MASTER!B462,'Peoplesoft Classlist'!$B:$B,0)),MASTER!B462,0)</f>
        <v>0</v>
      </c>
    </row>
    <row r="458" spans="2:8" x14ac:dyDescent="0.25">
      <c r="B458" s="114"/>
      <c r="C458" s="114"/>
      <c r="D458" s="114"/>
      <c r="G458" s="120">
        <f>IF(ISERROR(MATCH(B458,MASTER!$B:$B,0)),B458,0)</f>
        <v>0</v>
      </c>
      <c r="H458" s="120">
        <f>IF(ISERROR(MATCH(MASTER!B463,'Peoplesoft Classlist'!$B:$B,0)),MASTER!B463,0)</f>
        <v>0</v>
      </c>
    </row>
    <row r="459" spans="2:8" x14ac:dyDescent="0.25">
      <c r="B459" s="114"/>
      <c r="C459" s="114"/>
      <c r="D459" s="114"/>
      <c r="G459" s="120">
        <f>IF(ISERROR(MATCH(B459,MASTER!$B:$B,0)),B459,0)</f>
        <v>0</v>
      </c>
      <c r="H459" s="120">
        <f>IF(ISERROR(MATCH(MASTER!B464,'Peoplesoft Classlist'!$B:$B,0)),MASTER!B464,0)</f>
        <v>0</v>
      </c>
    </row>
    <row r="460" spans="2:8" x14ac:dyDescent="0.25">
      <c r="B460" s="114"/>
      <c r="C460" s="114"/>
      <c r="D460" s="114"/>
      <c r="G460" s="120">
        <f>IF(ISERROR(MATCH(B460,MASTER!$B:$B,0)),B460,0)</f>
        <v>0</v>
      </c>
      <c r="H460" s="120">
        <f>IF(ISERROR(MATCH(MASTER!B465,'Peoplesoft Classlist'!$B:$B,0)),MASTER!B465,0)</f>
        <v>0</v>
      </c>
    </row>
    <row r="461" spans="2:8" x14ac:dyDescent="0.25">
      <c r="B461" s="114"/>
      <c r="C461" s="114"/>
      <c r="D461" s="114"/>
      <c r="G461" s="120">
        <f>IF(ISERROR(MATCH(B461,MASTER!$B:$B,0)),B461,0)</f>
        <v>0</v>
      </c>
      <c r="H461" s="120">
        <f>IF(ISERROR(MATCH(MASTER!B466,'Peoplesoft Classlist'!$B:$B,0)),MASTER!B466,0)</f>
        <v>0</v>
      </c>
    </row>
    <row r="462" spans="2:8" x14ac:dyDescent="0.25">
      <c r="B462" s="114"/>
      <c r="C462" s="114"/>
      <c r="D462" s="114"/>
      <c r="G462" s="120">
        <f>IF(ISERROR(MATCH(B462,MASTER!$B:$B,0)),B462,0)</f>
        <v>0</v>
      </c>
      <c r="H462" s="120">
        <f>IF(ISERROR(MATCH(MASTER!B467,'Peoplesoft Classlist'!$B:$B,0)),MASTER!B467,0)</f>
        <v>0</v>
      </c>
    </row>
    <row r="463" spans="2:8" x14ac:dyDescent="0.25">
      <c r="B463" s="114"/>
      <c r="C463" s="114"/>
      <c r="D463" s="114"/>
      <c r="G463" s="120">
        <f>IF(ISERROR(MATCH(B463,MASTER!$B:$B,0)),B463,0)</f>
        <v>0</v>
      </c>
      <c r="H463" s="120">
        <f>IF(ISERROR(MATCH(MASTER!B468,'Peoplesoft Classlist'!$B:$B,0)),MASTER!B468,0)</f>
        <v>0</v>
      </c>
    </row>
    <row r="464" spans="2:8" x14ac:dyDescent="0.25">
      <c r="B464" s="114"/>
      <c r="C464" s="114"/>
      <c r="D464" s="114"/>
      <c r="G464" s="120">
        <f>IF(ISERROR(MATCH(B464,MASTER!$B:$B,0)),B464,0)</f>
        <v>0</v>
      </c>
      <c r="H464" s="120">
        <f>IF(ISERROR(MATCH(MASTER!B469,'Peoplesoft Classlist'!$B:$B,0)),MASTER!B469,0)</f>
        <v>0</v>
      </c>
    </row>
    <row r="465" spans="2:8" x14ac:dyDescent="0.25">
      <c r="B465" s="114"/>
      <c r="C465" s="114"/>
      <c r="D465" s="114"/>
      <c r="G465" s="120">
        <f>IF(ISERROR(MATCH(B465,MASTER!$B:$B,0)),B465,0)</f>
        <v>0</v>
      </c>
      <c r="H465" s="120">
        <f>IF(ISERROR(MATCH(MASTER!B470,'Peoplesoft Classlist'!$B:$B,0)),MASTER!B470,0)</f>
        <v>0</v>
      </c>
    </row>
    <row r="466" spans="2:8" x14ac:dyDescent="0.25">
      <c r="B466" s="114"/>
      <c r="C466" s="114"/>
      <c r="D466" s="114"/>
      <c r="G466" s="120">
        <f>IF(ISERROR(MATCH(B466,MASTER!$B:$B,0)),B466,0)</f>
        <v>0</v>
      </c>
      <c r="H466" s="120">
        <f>IF(ISERROR(MATCH(MASTER!B471,'Peoplesoft Classlist'!$B:$B,0)),MASTER!B471,0)</f>
        <v>0</v>
      </c>
    </row>
    <row r="467" spans="2:8" x14ac:dyDescent="0.25">
      <c r="B467" s="114"/>
      <c r="C467" s="114"/>
      <c r="D467" s="114"/>
      <c r="G467" s="120">
        <f>IF(ISERROR(MATCH(B467,MASTER!$B:$B,0)),B467,0)</f>
        <v>0</v>
      </c>
      <c r="H467" s="120">
        <f>IF(ISERROR(MATCH(MASTER!B472,'Peoplesoft Classlist'!$B:$B,0)),MASTER!B472,0)</f>
        <v>0</v>
      </c>
    </row>
    <row r="468" spans="2:8" x14ac:dyDescent="0.25">
      <c r="B468" s="114"/>
      <c r="C468" s="114"/>
      <c r="D468" s="114"/>
      <c r="G468" s="120">
        <f>IF(ISERROR(MATCH(B468,MASTER!$B:$B,0)),B468,0)</f>
        <v>0</v>
      </c>
      <c r="H468" s="120">
        <f>IF(ISERROR(MATCH(MASTER!B473,'Peoplesoft Classlist'!$B:$B,0)),MASTER!B473,0)</f>
        <v>0</v>
      </c>
    </row>
    <row r="469" spans="2:8" x14ac:dyDescent="0.25">
      <c r="B469" s="114"/>
      <c r="C469" s="114"/>
      <c r="D469" s="114"/>
      <c r="G469" s="120">
        <f>IF(ISERROR(MATCH(B469,MASTER!$B:$B,0)),B469,0)</f>
        <v>0</v>
      </c>
      <c r="H469" s="120">
        <f>IF(ISERROR(MATCH(MASTER!B474,'Peoplesoft Classlist'!$B:$B,0)),MASTER!B474,0)</f>
        <v>0</v>
      </c>
    </row>
    <row r="470" spans="2:8" x14ac:dyDescent="0.25">
      <c r="B470" s="114"/>
      <c r="C470" s="114"/>
      <c r="D470" s="114"/>
      <c r="G470" s="120">
        <f>IF(ISERROR(MATCH(B470,MASTER!$B:$B,0)),B470,0)</f>
        <v>0</v>
      </c>
      <c r="H470" s="120">
        <f>IF(ISERROR(MATCH(MASTER!B475,'Peoplesoft Classlist'!$B:$B,0)),MASTER!B475,0)</f>
        <v>0</v>
      </c>
    </row>
    <row r="471" spans="2:8" x14ac:dyDescent="0.25">
      <c r="B471" s="114"/>
      <c r="C471" s="114"/>
      <c r="D471" s="114"/>
      <c r="G471" s="120">
        <f>IF(ISERROR(MATCH(B471,MASTER!$B:$B,0)),B471,0)</f>
        <v>0</v>
      </c>
      <c r="H471" s="120">
        <f>IF(ISERROR(MATCH(MASTER!B476,'Peoplesoft Classlist'!$B:$B,0)),MASTER!B476,0)</f>
        <v>0</v>
      </c>
    </row>
    <row r="472" spans="2:8" x14ac:dyDescent="0.25">
      <c r="B472" s="114"/>
      <c r="C472" s="114"/>
      <c r="D472" s="114"/>
      <c r="G472" s="120">
        <f>IF(ISERROR(MATCH(B472,MASTER!$B:$B,0)),B472,0)</f>
        <v>0</v>
      </c>
      <c r="H472" s="120">
        <f>IF(ISERROR(MATCH(MASTER!B477,'Peoplesoft Classlist'!$B:$B,0)),MASTER!B477,0)</f>
        <v>0</v>
      </c>
    </row>
    <row r="473" spans="2:8" x14ac:dyDescent="0.25">
      <c r="B473" s="114"/>
      <c r="C473" s="114"/>
      <c r="D473" s="114"/>
      <c r="G473" s="120">
        <f>IF(ISERROR(MATCH(B473,MASTER!$B:$B,0)),B473,0)</f>
        <v>0</v>
      </c>
      <c r="H473" s="120">
        <f>IF(ISERROR(MATCH(MASTER!B478,'Peoplesoft Classlist'!$B:$B,0)),MASTER!B478,0)</f>
        <v>0</v>
      </c>
    </row>
    <row r="474" spans="2:8" x14ac:dyDescent="0.25">
      <c r="B474" s="114"/>
      <c r="C474" s="114"/>
      <c r="D474" s="114"/>
      <c r="G474" s="120">
        <f>IF(ISERROR(MATCH(B474,MASTER!$B:$B,0)),B474,0)</f>
        <v>0</v>
      </c>
      <c r="H474" s="120">
        <f>IF(ISERROR(MATCH(MASTER!B479,'Peoplesoft Classlist'!$B:$B,0)),MASTER!B479,0)</f>
        <v>0</v>
      </c>
    </row>
    <row r="475" spans="2:8" x14ac:dyDescent="0.25">
      <c r="B475" s="114"/>
      <c r="C475" s="114"/>
      <c r="D475" s="114"/>
      <c r="G475" s="120">
        <f>IF(ISERROR(MATCH(B475,MASTER!$B:$B,0)),B475,0)</f>
        <v>0</v>
      </c>
      <c r="H475" s="120">
        <f>IF(ISERROR(MATCH(MASTER!B480,'Peoplesoft Classlist'!$B:$B,0)),MASTER!B480,0)</f>
        <v>0</v>
      </c>
    </row>
    <row r="476" spans="2:8" x14ac:dyDescent="0.25">
      <c r="B476" s="114"/>
      <c r="C476" s="114"/>
      <c r="D476" s="114"/>
      <c r="G476" s="120">
        <f>IF(ISERROR(MATCH(B476,MASTER!$B:$B,0)),B476,0)</f>
        <v>0</v>
      </c>
      <c r="H476" s="120">
        <f>IF(ISERROR(MATCH(MASTER!B481,'Peoplesoft Classlist'!$B:$B,0)),MASTER!B481,0)</f>
        <v>0</v>
      </c>
    </row>
    <row r="477" spans="2:8" x14ac:dyDescent="0.25">
      <c r="B477" s="114"/>
      <c r="C477" s="114"/>
      <c r="D477" s="114"/>
      <c r="G477" s="120">
        <f>IF(ISERROR(MATCH(B477,MASTER!$B:$B,0)),B477,0)</f>
        <v>0</v>
      </c>
      <c r="H477" s="120">
        <f>IF(ISERROR(MATCH(MASTER!B482,'Peoplesoft Classlist'!$B:$B,0)),MASTER!B482,0)</f>
        <v>0</v>
      </c>
    </row>
    <row r="478" spans="2:8" x14ac:dyDescent="0.25">
      <c r="B478" s="114"/>
      <c r="C478" s="114"/>
      <c r="D478" s="114"/>
      <c r="G478" s="120">
        <f>IF(ISERROR(MATCH(B478,MASTER!$B:$B,0)),B478,0)</f>
        <v>0</v>
      </c>
      <c r="H478" s="120">
        <f>IF(ISERROR(MATCH(MASTER!B483,'Peoplesoft Classlist'!$B:$B,0)),MASTER!B483,0)</f>
        <v>0</v>
      </c>
    </row>
    <row r="479" spans="2:8" x14ac:dyDescent="0.25">
      <c r="B479" s="114"/>
      <c r="C479" s="114"/>
      <c r="D479" s="114"/>
      <c r="G479" s="120">
        <f>IF(ISERROR(MATCH(B479,MASTER!$B:$B,0)),B479,0)</f>
        <v>0</v>
      </c>
      <c r="H479" s="120">
        <f>IF(ISERROR(MATCH(MASTER!B484,'Peoplesoft Classlist'!$B:$B,0)),MASTER!B484,0)</f>
        <v>0</v>
      </c>
    </row>
    <row r="480" spans="2:8" x14ac:dyDescent="0.25">
      <c r="B480" s="114"/>
      <c r="C480" s="114"/>
      <c r="D480" s="114"/>
      <c r="G480" s="120">
        <f>IF(ISERROR(MATCH(B480,MASTER!$B:$B,0)),B480,0)</f>
        <v>0</v>
      </c>
      <c r="H480" s="120">
        <f>IF(ISERROR(MATCH(MASTER!B485,'Peoplesoft Classlist'!$B:$B,0)),MASTER!B485,0)</f>
        <v>0</v>
      </c>
    </row>
    <row r="481" spans="2:8" x14ac:dyDescent="0.25">
      <c r="B481" s="114"/>
      <c r="C481" s="114"/>
      <c r="D481" s="114"/>
      <c r="G481" s="120">
        <f>IF(ISERROR(MATCH(B481,MASTER!$B:$B,0)),B481,0)</f>
        <v>0</v>
      </c>
      <c r="H481" s="120">
        <f>IF(ISERROR(MATCH(MASTER!B486,'Peoplesoft Classlist'!$B:$B,0)),MASTER!B486,0)</f>
        <v>0</v>
      </c>
    </row>
    <row r="482" spans="2:8" x14ac:dyDescent="0.25">
      <c r="B482" s="114"/>
      <c r="C482" s="114"/>
      <c r="D482" s="114"/>
      <c r="G482" s="120">
        <f>IF(ISERROR(MATCH(B482,MASTER!$B:$B,0)),B482,0)</f>
        <v>0</v>
      </c>
      <c r="H482" s="120">
        <f>IF(ISERROR(MATCH(MASTER!B487,'Peoplesoft Classlist'!$B:$B,0)),MASTER!B487,0)</f>
        <v>0</v>
      </c>
    </row>
    <row r="483" spans="2:8" x14ac:dyDescent="0.25">
      <c r="B483" s="114"/>
      <c r="C483" s="114"/>
      <c r="D483" s="114"/>
      <c r="G483" s="120">
        <f>IF(ISERROR(MATCH(B483,MASTER!$B:$B,0)),B483,0)</f>
        <v>0</v>
      </c>
      <c r="H483" s="120">
        <f>IF(ISERROR(MATCH(MASTER!B488,'Peoplesoft Classlist'!$B:$B,0)),MASTER!B488,0)</f>
        <v>0</v>
      </c>
    </row>
    <row r="484" spans="2:8" x14ac:dyDescent="0.25">
      <c r="B484" s="114"/>
      <c r="C484" s="114"/>
      <c r="D484" s="114"/>
      <c r="G484" s="120">
        <f>IF(ISERROR(MATCH(B484,MASTER!$B:$B,0)),B484,0)</f>
        <v>0</v>
      </c>
      <c r="H484" s="120">
        <f>IF(ISERROR(MATCH(MASTER!B489,'Peoplesoft Classlist'!$B:$B,0)),MASTER!B489,0)</f>
        <v>0</v>
      </c>
    </row>
    <row r="485" spans="2:8" x14ac:dyDescent="0.25">
      <c r="B485" s="114"/>
      <c r="C485" s="114"/>
      <c r="D485" s="114"/>
      <c r="G485" s="120">
        <f>IF(ISERROR(MATCH(B485,MASTER!$B:$B,0)),B485,0)</f>
        <v>0</v>
      </c>
      <c r="H485" s="120">
        <f>IF(ISERROR(MATCH(MASTER!B490,'Peoplesoft Classlist'!$B:$B,0)),MASTER!B490,0)</f>
        <v>0</v>
      </c>
    </row>
    <row r="486" spans="2:8" x14ac:dyDescent="0.25">
      <c r="B486" s="114"/>
      <c r="C486" s="114"/>
      <c r="D486" s="114"/>
      <c r="G486" s="120">
        <f>IF(ISERROR(MATCH(B486,MASTER!$B:$B,0)),B486,0)</f>
        <v>0</v>
      </c>
      <c r="H486" s="120">
        <f>IF(ISERROR(MATCH(MASTER!B491,'Peoplesoft Classlist'!$B:$B,0)),MASTER!B491,0)</f>
        <v>0</v>
      </c>
    </row>
    <row r="487" spans="2:8" x14ac:dyDescent="0.25">
      <c r="B487" s="114"/>
      <c r="C487" s="114"/>
      <c r="D487" s="114"/>
      <c r="G487" s="120">
        <f>IF(ISERROR(MATCH(B487,MASTER!$B:$B,0)),B487,0)</f>
        <v>0</v>
      </c>
      <c r="H487" s="120">
        <f>IF(ISERROR(MATCH(MASTER!B492,'Peoplesoft Classlist'!$B:$B,0)),MASTER!B492,0)</f>
        <v>0</v>
      </c>
    </row>
    <row r="488" spans="2:8" x14ac:dyDescent="0.25">
      <c r="B488" s="114"/>
      <c r="C488" s="114"/>
      <c r="D488" s="114"/>
      <c r="G488" s="120">
        <f>IF(ISERROR(MATCH(B488,MASTER!$B:$B,0)),B488,0)</f>
        <v>0</v>
      </c>
      <c r="H488" s="120">
        <f>IF(ISERROR(MATCH(MASTER!B493,'Peoplesoft Classlist'!$B:$B,0)),MASTER!B493,0)</f>
        <v>0</v>
      </c>
    </row>
    <row r="489" spans="2:8" x14ac:dyDescent="0.25">
      <c r="B489" s="114"/>
      <c r="C489" s="114"/>
      <c r="D489" s="114"/>
      <c r="G489" s="120">
        <f>IF(ISERROR(MATCH(B489,MASTER!$B:$B,0)),B489,0)</f>
        <v>0</v>
      </c>
      <c r="H489" s="120">
        <f>IF(ISERROR(MATCH(MASTER!B494,'Peoplesoft Classlist'!$B:$B,0)),MASTER!B494,0)</f>
        <v>0</v>
      </c>
    </row>
    <row r="490" spans="2:8" x14ac:dyDescent="0.25">
      <c r="B490" s="114"/>
      <c r="C490" s="114"/>
      <c r="D490" s="114"/>
      <c r="G490" s="120">
        <f>IF(ISERROR(MATCH(B490,MASTER!$B:$B,0)),B490,0)</f>
        <v>0</v>
      </c>
      <c r="H490" s="120">
        <f>IF(ISERROR(MATCH(MASTER!B495,'Peoplesoft Classlist'!$B:$B,0)),MASTER!B495,0)</f>
        <v>0</v>
      </c>
    </row>
    <row r="491" spans="2:8" x14ac:dyDescent="0.25">
      <c r="B491" s="114"/>
      <c r="C491" s="114"/>
      <c r="D491" s="114"/>
      <c r="G491" s="120">
        <f>IF(ISERROR(MATCH(B491,MASTER!$B:$B,0)),B491,0)</f>
        <v>0</v>
      </c>
      <c r="H491" s="120">
        <f>IF(ISERROR(MATCH(MASTER!B496,'Peoplesoft Classlist'!$B:$B,0)),MASTER!B496,0)</f>
        <v>0</v>
      </c>
    </row>
    <row r="492" spans="2:8" x14ac:dyDescent="0.25">
      <c r="B492" s="114"/>
      <c r="C492" s="114"/>
      <c r="D492" s="114"/>
      <c r="G492" s="120">
        <f>IF(ISERROR(MATCH(B492,MASTER!$B:$B,0)),B492,0)</f>
        <v>0</v>
      </c>
      <c r="H492" s="120">
        <f>IF(ISERROR(MATCH(MASTER!B497,'Peoplesoft Classlist'!$B:$B,0)),MASTER!B497,0)</f>
        <v>0</v>
      </c>
    </row>
    <row r="493" spans="2:8" x14ac:dyDescent="0.25">
      <c r="B493" s="114"/>
      <c r="C493" s="114"/>
      <c r="D493" s="114"/>
      <c r="G493" s="120">
        <f>IF(ISERROR(MATCH(B493,MASTER!$B:$B,0)),B493,0)</f>
        <v>0</v>
      </c>
      <c r="H493" s="120">
        <f>IF(ISERROR(MATCH(MASTER!B498,'Peoplesoft Classlist'!$B:$B,0)),MASTER!B498,0)</f>
        <v>0</v>
      </c>
    </row>
    <row r="494" spans="2:8" x14ac:dyDescent="0.25">
      <c r="B494" s="114"/>
      <c r="C494" s="114"/>
      <c r="D494" s="114"/>
      <c r="G494" s="120">
        <f>IF(ISERROR(MATCH(B494,MASTER!$B:$B,0)),B494,0)</f>
        <v>0</v>
      </c>
      <c r="H494" s="120">
        <f>IF(ISERROR(MATCH(MASTER!B499,'Peoplesoft Classlist'!$B:$B,0)),MASTER!B499,0)</f>
        <v>0</v>
      </c>
    </row>
    <row r="495" spans="2:8" x14ac:dyDescent="0.25">
      <c r="B495" s="114"/>
      <c r="C495" s="114"/>
      <c r="D495" s="114"/>
      <c r="G495" s="120">
        <f>IF(ISERROR(MATCH(B495,MASTER!$B:$B,0)),B495,0)</f>
        <v>0</v>
      </c>
      <c r="H495" s="120">
        <f>IF(ISERROR(MATCH(MASTER!B500,'Peoplesoft Classlist'!$B:$B,0)),MASTER!B500,0)</f>
        <v>0</v>
      </c>
    </row>
    <row r="496" spans="2:8" x14ac:dyDescent="0.25">
      <c r="B496" s="114"/>
      <c r="C496" s="114"/>
      <c r="D496" s="114"/>
      <c r="G496" s="120">
        <f>IF(ISERROR(MATCH(B496,MASTER!$B:$B,0)),B496,0)</f>
        <v>0</v>
      </c>
      <c r="H496" s="120">
        <f>IF(ISERROR(MATCH(MASTER!B501,'Peoplesoft Classlist'!$B:$B,0)),MASTER!B501,0)</f>
        <v>0</v>
      </c>
    </row>
    <row r="497" spans="2:8" x14ac:dyDescent="0.25">
      <c r="B497" s="114"/>
      <c r="C497" s="114"/>
      <c r="D497" s="114"/>
      <c r="G497" s="120">
        <f>IF(ISERROR(MATCH(B497,MASTER!$B:$B,0)),B497,0)</f>
        <v>0</v>
      </c>
      <c r="H497" s="120">
        <f>IF(ISERROR(MATCH(MASTER!B502,'Peoplesoft Classlist'!$B:$B,0)),MASTER!B502,0)</f>
        <v>0</v>
      </c>
    </row>
    <row r="498" spans="2:8" x14ac:dyDescent="0.25">
      <c r="B498" s="114"/>
      <c r="C498" s="114"/>
      <c r="D498" s="114"/>
      <c r="G498" s="120">
        <f>IF(ISERROR(MATCH(B498,MASTER!$B:$B,0)),B498,0)</f>
        <v>0</v>
      </c>
      <c r="H498" s="120">
        <f>IF(ISERROR(MATCH(MASTER!B503,'Peoplesoft Classlist'!$B:$B,0)),MASTER!B503,0)</f>
        <v>0</v>
      </c>
    </row>
    <row r="499" spans="2:8" x14ac:dyDescent="0.25">
      <c r="B499" s="114"/>
      <c r="C499" s="114"/>
      <c r="D499" s="114"/>
      <c r="G499" s="120">
        <f>IF(ISERROR(MATCH(B499,MASTER!$B:$B,0)),B499,0)</f>
        <v>0</v>
      </c>
      <c r="H499" s="120">
        <f>IF(ISERROR(MATCH(MASTER!B504,'Peoplesoft Classlist'!$B:$B,0)),MASTER!B504,0)</f>
        <v>0</v>
      </c>
    </row>
    <row r="500" spans="2:8" x14ac:dyDescent="0.25">
      <c r="B500" s="114"/>
      <c r="C500" s="114"/>
      <c r="D500" s="114"/>
      <c r="G500" s="120">
        <f>IF(ISERROR(MATCH(B500,MASTER!$B:$B,0)),B500,0)</f>
        <v>0</v>
      </c>
      <c r="H500" s="120">
        <f>IF(ISERROR(MATCH(MASTER!B505,'Peoplesoft Classlist'!$B:$B,0)),MASTER!B505,0)</f>
        <v>0</v>
      </c>
    </row>
    <row r="501" spans="2:8" x14ac:dyDescent="0.25">
      <c r="B501" s="114"/>
      <c r="C501" s="114"/>
      <c r="D501" s="114"/>
      <c r="G501" s="120">
        <f>IF(ISERROR(MATCH(B501,MASTER!$B:$B,0)),B501,0)</f>
        <v>0</v>
      </c>
      <c r="H501" s="120">
        <f>IF(ISERROR(MATCH(MASTER!B506,'Peoplesoft Classlist'!$B:$B,0)),MASTER!B506,0)</f>
        <v>0</v>
      </c>
    </row>
    <row r="502" spans="2:8" x14ac:dyDescent="0.25">
      <c r="B502" s="114"/>
      <c r="C502" s="114"/>
      <c r="D502" s="114"/>
      <c r="G502" s="120">
        <f>IF(ISERROR(MATCH(B502,MASTER!$B:$B,0)),B502,0)</f>
        <v>0</v>
      </c>
      <c r="H502" s="120">
        <f>IF(ISERROR(MATCH(MASTER!B507,'Peoplesoft Classlist'!$B:$B,0)),MASTER!B507,0)</f>
        <v>0</v>
      </c>
    </row>
    <row r="503" spans="2:8" x14ac:dyDescent="0.25">
      <c r="B503" s="114"/>
      <c r="C503" s="114"/>
      <c r="D503" s="114"/>
      <c r="G503" s="120">
        <f>IF(ISERROR(MATCH(B503,MASTER!$B:$B,0)),B503,0)</f>
        <v>0</v>
      </c>
      <c r="H503" s="120">
        <f>IF(ISERROR(MATCH(MASTER!B508,'Peoplesoft Classlist'!$B:$B,0)),MASTER!B508,0)</f>
        <v>0</v>
      </c>
    </row>
    <row r="504" spans="2:8" x14ac:dyDescent="0.25">
      <c r="B504" s="114"/>
      <c r="C504" s="114"/>
      <c r="D504" s="114"/>
      <c r="G504" s="120">
        <f>IF(ISERROR(MATCH(B504,MASTER!$B:$B,0)),B504,0)</f>
        <v>0</v>
      </c>
      <c r="H504" s="120">
        <f>IF(ISERROR(MATCH(MASTER!B509,'Peoplesoft Classlist'!$B:$B,0)),MASTER!B509,0)</f>
        <v>0</v>
      </c>
    </row>
    <row r="505" spans="2:8" x14ac:dyDescent="0.25">
      <c r="B505" s="114"/>
      <c r="C505" s="114"/>
      <c r="D505" s="114"/>
      <c r="G505" s="120">
        <f>IF(ISERROR(MATCH(B505,MASTER!$B:$B,0)),B505,0)</f>
        <v>0</v>
      </c>
      <c r="H505" s="120">
        <f>IF(ISERROR(MATCH(MASTER!B510,'Peoplesoft Classlist'!$B:$B,0)),MASTER!B510,0)</f>
        <v>0</v>
      </c>
    </row>
    <row r="506" spans="2:8" x14ac:dyDescent="0.25">
      <c r="B506" s="114"/>
      <c r="C506" s="114"/>
      <c r="D506" s="114"/>
      <c r="G506" s="120">
        <f>IF(ISERROR(MATCH(B506,MASTER!$B:$B,0)),B506,0)</f>
        <v>0</v>
      </c>
      <c r="H506" s="120">
        <f>IF(ISERROR(MATCH(MASTER!B511,'Peoplesoft Classlist'!$B:$B,0)),MASTER!B511,0)</f>
        <v>0</v>
      </c>
    </row>
    <row r="507" spans="2:8" x14ac:dyDescent="0.25">
      <c r="B507" s="114"/>
      <c r="C507" s="114"/>
      <c r="D507" s="114"/>
      <c r="G507" s="120">
        <f>IF(ISERROR(MATCH(B507,MASTER!$B:$B,0)),B507,0)</f>
        <v>0</v>
      </c>
      <c r="H507" s="120">
        <f>IF(ISERROR(MATCH(MASTER!B512,'Peoplesoft Classlist'!$B:$B,0)),MASTER!B512,0)</f>
        <v>0</v>
      </c>
    </row>
    <row r="508" spans="2:8" x14ac:dyDescent="0.25">
      <c r="B508" s="114"/>
      <c r="C508" s="114"/>
      <c r="D508" s="114"/>
      <c r="G508" s="120">
        <f>IF(ISERROR(MATCH(B508,MASTER!$B:$B,0)),B508,0)</f>
        <v>0</v>
      </c>
      <c r="H508" s="120">
        <f>IF(ISERROR(MATCH(MASTER!B513,'Peoplesoft Classlist'!$B:$B,0)),MASTER!B513,0)</f>
        <v>0</v>
      </c>
    </row>
    <row r="509" spans="2:8" x14ac:dyDescent="0.25">
      <c r="B509" s="114"/>
      <c r="C509" s="114"/>
      <c r="D509" s="114"/>
      <c r="G509" s="120">
        <f>IF(ISERROR(MATCH(B509,MASTER!$B:$B,0)),B509,0)</f>
        <v>0</v>
      </c>
      <c r="H509" s="120">
        <f>IF(ISERROR(MATCH(MASTER!B514,'Peoplesoft Classlist'!$B:$B,0)),MASTER!B514,0)</f>
        <v>0</v>
      </c>
    </row>
    <row r="510" spans="2:8" x14ac:dyDescent="0.25">
      <c r="B510" s="114"/>
      <c r="C510" s="114"/>
      <c r="D510" s="114"/>
      <c r="G510" s="120">
        <f>IF(ISERROR(MATCH(B510,MASTER!$B:$B,0)),B510,0)</f>
        <v>0</v>
      </c>
      <c r="H510" s="120">
        <f>IF(ISERROR(MATCH(MASTER!B515,'Peoplesoft Classlist'!$B:$B,0)),MASTER!B515,0)</f>
        <v>0</v>
      </c>
    </row>
    <row r="511" spans="2:8" x14ac:dyDescent="0.25">
      <c r="B511" s="114"/>
      <c r="C511" s="114"/>
      <c r="D511" s="114"/>
      <c r="G511" s="120">
        <f>IF(ISERROR(MATCH(B511,MASTER!$B:$B,0)),B511,0)</f>
        <v>0</v>
      </c>
      <c r="H511" s="120">
        <f>IF(ISERROR(MATCH(MASTER!B516,'Peoplesoft Classlist'!$B:$B,0)),MASTER!B516,0)</f>
        <v>0</v>
      </c>
    </row>
    <row r="512" spans="2:8" x14ac:dyDescent="0.25">
      <c r="B512" s="114"/>
      <c r="C512" s="114"/>
      <c r="D512" s="114"/>
      <c r="G512" s="120">
        <f>IF(ISERROR(MATCH(B512,MASTER!$B:$B,0)),B512,0)</f>
        <v>0</v>
      </c>
      <c r="H512" s="120">
        <f>IF(ISERROR(MATCH(MASTER!B517,'Peoplesoft Classlist'!$B:$B,0)),MASTER!B517,0)</f>
        <v>0</v>
      </c>
    </row>
    <row r="513" spans="2:8" x14ac:dyDescent="0.25">
      <c r="B513" s="114"/>
      <c r="C513" s="114"/>
      <c r="D513" s="114"/>
      <c r="G513" s="120">
        <f>IF(ISERROR(MATCH(B513,MASTER!$B:$B,0)),B513,0)</f>
        <v>0</v>
      </c>
      <c r="H513" s="120">
        <f>IF(ISERROR(MATCH(MASTER!B518,'Peoplesoft Classlist'!$B:$B,0)),MASTER!B518,0)</f>
        <v>0</v>
      </c>
    </row>
    <row r="514" spans="2:8" x14ac:dyDescent="0.25">
      <c r="B514" s="114"/>
      <c r="C514" s="114"/>
      <c r="D514" s="114"/>
      <c r="G514" s="120">
        <f>IF(ISERROR(MATCH(B514,MASTER!$B:$B,0)),B514,0)</f>
        <v>0</v>
      </c>
      <c r="H514" s="120">
        <f>IF(ISERROR(MATCH(MASTER!B519,'Peoplesoft Classlist'!$B:$B,0)),MASTER!B519,0)</f>
        <v>0</v>
      </c>
    </row>
    <row r="515" spans="2:8" x14ac:dyDescent="0.25">
      <c r="B515" s="114"/>
      <c r="C515" s="114"/>
      <c r="D515" s="114"/>
      <c r="G515" s="120">
        <f>IF(ISERROR(MATCH(B515,MASTER!$B:$B,0)),B515,0)</f>
        <v>0</v>
      </c>
      <c r="H515" s="120">
        <f>IF(ISERROR(MATCH(MASTER!B520,'Peoplesoft Classlist'!$B:$B,0)),MASTER!B520,0)</f>
        <v>0</v>
      </c>
    </row>
    <row r="516" spans="2:8" x14ac:dyDescent="0.25">
      <c r="B516" s="114"/>
      <c r="C516" s="114"/>
      <c r="D516" s="114"/>
      <c r="G516" s="120">
        <f>IF(ISERROR(MATCH(B516,MASTER!$B:$B,0)),B516,0)</f>
        <v>0</v>
      </c>
      <c r="H516" s="120">
        <f>IF(ISERROR(MATCH(MASTER!B521,'Peoplesoft Classlist'!$B:$B,0)),MASTER!B521,0)</f>
        <v>0</v>
      </c>
    </row>
    <row r="517" spans="2:8" x14ac:dyDescent="0.25">
      <c r="B517" s="114"/>
      <c r="C517" s="114"/>
      <c r="D517" s="114"/>
      <c r="G517" s="120">
        <f>IF(ISERROR(MATCH(B517,MASTER!$B:$B,0)),B517,0)</f>
        <v>0</v>
      </c>
      <c r="H517" s="120">
        <f>IF(ISERROR(MATCH(MASTER!B522,'Peoplesoft Classlist'!$B:$B,0)),MASTER!B522,0)</f>
        <v>0</v>
      </c>
    </row>
    <row r="518" spans="2:8" x14ac:dyDescent="0.25">
      <c r="B518" s="114"/>
      <c r="C518" s="114"/>
      <c r="D518" s="114"/>
      <c r="G518" s="120">
        <f>IF(ISERROR(MATCH(B518,MASTER!$B:$B,0)),B518,0)</f>
        <v>0</v>
      </c>
      <c r="H518" s="120">
        <f>IF(ISERROR(MATCH(MASTER!B523,'Peoplesoft Classlist'!$B:$B,0)),MASTER!B523,0)</f>
        <v>0</v>
      </c>
    </row>
    <row r="519" spans="2:8" x14ac:dyDescent="0.25">
      <c r="B519" s="114"/>
      <c r="C519" s="114"/>
      <c r="D519" s="114"/>
      <c r="G519" s="120">
        <f>IF(ISERROR(MATCH(B519,MASTER!$B:$B,0)),B519,0)</f>
        <v>0</v>
      </c>
      <c r="H519" s="120">
        <f>IF(ISERROR(MATCH(MASTER!B524,'Peoplesoft Classlist'!$B:$B,0)),MASTER!B524,0)</f>
        <v>0</v>
      </c>
    </row>
    <row r="520" spans="2:8" x14ac:dyDescent="0.25">
      <c r="B520" s="114"/>
      <c r="C520" s="114"/>
      <c r="D520" s="114"/>
      <c r="G520" s="120">
        <f>IF(ISERROR(MATCH(B520,MASTER!$B:$B,0)),B520,0)</f>
        <v>0</v>
      </c>
      <c r="H520" s="120">
        <f>IF(ISERROR(MATCH(MASTER!B525,'Peoplesoft Classlist'!$B:$B,0)),MASTER!B525,0)</f>
        <v>0</v>
      </c>
    </row>
    <row r="521" spans="2:8" x14ac:dyDescent="0.25">
      <c r="B521" s="114"/>
      <c r="C521" s="114"/>
      <c r="D521" s="114"/>
      <c r="G521" s="120">
        <f>IF(ISERROR(MATCH(B521,MASTER!$B:$B,0)),B521,0)</f>
        <v>0</v>
      </c>
      <c r="H521" s="120">
        <f>IF(ISERROR(MATCH(MASTER!B526,'Peoplesoft Classlist'!$B:$B,0)),MASTER!B526,0)</f>
        <v>0</v>
      </c>
    </row>
    <row r="522" spans="2:8" x14ac:dyDescent="0.25">
      <c r="B522" s="114"/>
      <c r="C522" s="114"/>
      <c r="D522" s="114"/>
      <c r="G522" s="120">
        <f>IF(ISERROR(MATCH(B522,MASTER!$B:$B,0)),B522,0)</f>
        <v>0</v>
      </c>
      <c r="H522" s="120">
        <f>IF(ISERROR(MATCH(MASTER!B527,'Peoplesoft Classlist'!$B:$B,0)),MASTER!B527,0)</f>
        <v>0</v>
      </c>
    </row>
    <row r="523" spans="2:8" x14ac:dyDescent="0.25">
      <c r="B523" s="114"/>
      <c r="C523" s="114"/>
      <c r="D523" s="114"/>
      <c r="G523" s="120">
        <f>IF(ISERROR(MATCH(B523,MASTER!$B:$B,0)),B523,0)</f>
        <v>0</v>
      </c>
      <c r="H523" s="120">
        <f>IF(ISERROR(MATCH(MASTER!B528,'Peoplesoft Classlist'!$B:$B,0)),MASTER!B528,0)</f>
        <v>0</v>
      </c>
    </row>
    <row r="524" spans="2:8" x14ac:dyDescent="0.25">
      <c r="B524" s="114"/>
      <c r="C524" s="114"/>
      <c r="D524" s="114"/>
      <c r="G524" s="120">
        <f>IF(ISERROR(MATCH(B524,MASTER!$B:$B,0)),B524,0)</f>
        <v>0</v>
      </c>
      <c r="H524" s="120">
        <f>IF(ISERROR(MATCH(MASTER!B529,'Peoplesoft Classlist'!$B:$B,0)),MASTER!B529,0)</f>
        <v>0</v>
      </c>
    </row>
    <row r="525" spans="2:8" x14ac:dyDescent="0.25">
      <c r="B525" s="114"/>
      <c r="C525" s="114"/>
      <c r="D525" s="114"/>
      <c r="G525" s="120">
        <f>IF(ISERROR(MATCH(B525,MASTER!$B:$B,0)),B525,0)</f>
        <v>0</v>
      </c>
      <c r="H525" s="120">
        <f>IF(ISERROR(MATCH(MASTER!B530,'Peoplesoft Classlist'!$B:$B,0)),MASTER!B530,0)</f>
        <v>0</v>
      </c>
    </row>
    <row r="526" spans="2:8" x14ac:dyDescent="0.25">
      <c r="B526" s="114"/>
      <c r="C526" s="114"/>
      <c r="D526" s="114"/>
      <c r="G526" s="120">
        <f>IF(ISERROR(MATCH(B526,MASTER!$B:$B,0)),B526,0)</f>
        <v>0</v>
      </c>
      <c r="H526" s="120">
        <f>IF(ISERROR(MATCH(MASTER!B531,'Peoplesoft Classlist'!$B:$B,0)),MASTER!B531,0)</f>
        <v>0</v>
      </c>
    </row>
    <row r="527" spans="2:8" x14ac:dyDescent="0.25">
      <c r="B527" s="114"/>
      <c r="C527" s="114"/>
      <c r="D527" s="114"/>
      <c r="G527" s="120">
        <f>IF(ISERROR(MATCH(B527,MASTER!$B:$B,0)),B527,0)</f>
        <v>0</v>
      </c>
      <c r="H527" s="120">
        <f>IF(ISERROR(MATCH(MASTER!B532,'Peoplesoft Classlist'!$B:$B,0)),MASTER!B532,0)</f>
        <v>0</v>
      </c>
    </row>
    <row r="528" spans="2:8" x14ac:dyDescent="0.25">
      <c r="B528" s="114"/>
      <c r="C528" s="114"/>
      <c r="D528" s="114"/>
      <c r="G528" s="120">
        <f>IF(ISERROR(MATCH(B528,MASTER!$B:$B,0)),B528,0)</f>
        <v>0</v>
      </c>
      <c r="H528" s="120">
        <f>IF(ISERROR(MATCH(MASTER!B533,'Peoplesoft Classlist'!$B:$B,0)),MASTER!B533,0)</f>
        <v>0</v>
      </c>
    </row>
    <row r="529" spans="2:8" x14ac:dyDescent="0.25">
      <c r="B529" s="114"/>
      <c r="C529" s="114"/>
      <c r="D529" s="114"/>
      <c r="G529" s="120">
        <f>IF(ISERROR(MATCH(B529,MASTER!$B:$B,0)),B529,0)</f>
        <v>0</v>
      </c>
      <c r="H529" s="120">
        <f>IF(ISERROR(MATCH(MASTER!B534,'Peoplesoft Classlist'!$B:$B,0)),MASTER!B534,0)</f>
        <v>0</v>
      </c>
    </row>
    <row r="530" spans="2:8" x14ac:dyDescent="0.25">
      <c r="B530" s="114"/>
      <c r="C530" s="114"/>
      <c r="D530" s="114"/>
      <c r="G530" s="120">
        <f>IF(ISERROR(MATCH(B530,MASTER!$B:$B,0)),B530,0)</f>
        <v>0</v>
      </c>
      <c r="H530" s="120">
        <f>IF(ISERROR(MATCH(MASTER!B535,'Peoplesoft Classlist'!$B:$B,0)),MASTER!B535,0)</f>
        <v>0</v>
      </c>
    </row>
    <row r="531" spans="2:8" x14ac:dyDescent="0.25">
      <c r="B531" s="114"/>
      <c r="C531" s="114"/>
      <c r="D531" s="114"/>
      <c r="G531" s="120">
        <f>IF(ISERROR(MATCH(B531,MASTER!$B:$B,0)),B531,0)</f>
        <v>0</v>
      </c>
      <c r="H531" s="120">
        <f>IF(ISERROR(MATCH(MASTER!B536,'Peoplesoft Classlist'!$B:$B,0)),MASTER!B536,0)</f>
        <v>0</v>
      </c>
    </row>
    <row r="532" spans="2:8" x14ac:dyDescent="0.25">
      <c r="B532" s="114"/>
      <c r="C532" s="114"/>
      <c r="D532" s="114"/>
      <c r="G532" s="120">
        <f>IF(ISERROR(MATCH(B532,MASTER!$B:$B,0)),B532,0)</f>
        <v>0</v>
      </c>
      <c r="H532" s="120">
        <f>IF(ISERROR(MATCH(MASTER!B537,'Peoplesoft Classlist'!$B:$B,0)),MASTER!B537,0)</f>
        <v>0</v>
      </c>
    </row>
    <row r="533" spans="2:8" x14ac:dyDescent="0.25">
      <c r="B533" s="114"/>
      <c r="C533" s="114"/>
      <c r="D533" s="114"/>
      <c r="G533" s="120">
        <f>IF(ISERROR(MATCH(B533,MASTER!$B:$B,0)),B533,0)</f>
        <v>0</v>
      </c>
      <c r="H533" s="120">
        <f>IF(ISERROR(MATCH(MASTER!B538,'Peoplesoft Classlist'!$B:$B,0)),MASTER!B538,0)</f>
        <v>0</v>
      </c>
    </row>
    <row r="534" spans="2:8" x14ac:dyDescent="0.25">
      <c r="B534" s="114"/>
      <c r="C534" s="114"/>
      <c r="D534" s="114"/>
      <c r="G534" s="120">
        <f>IF(ISERROR(MATCH(B534,MASTER!$B:$B,0)),B534,0)</f>
        <v>0</v>
      </c>
      <c r="H534" s="120">
        <f>IF(ISERROR(MATCH(MASTER!B539,'Peoplesoft Classlist'!$B:$B,0)),MASTER!B539,0)</f>
        <v>0</v>
      </c>
    </row>
    <row r="535" spans="2:8" x14ac:dyDescent="0.25">
      <c r="B535" s="114"/>
      <c r="C535" s="114"/>
      <c r="D535" s="114"/>
      <c r="G535" s="120">
        <f>IF(ISERROR(MATCH(B535,MASTER!$B:$B,0)),B535,0)</f>
        <v>0</v>
      </c>
      <c r="H535" s="120">
        <f>IF(ISERROR(MATCH(MASTER!B540,'Peoplesoft Classlist'!$B:$B,0)),MASTER!B540,0)</f>
        <v>0</v>
      </c>
    </row>
    <row r="536" spans="2:8" x14ac:dyDescent="0.25">
      <c r="B536" s="114"/>
      <c r="C536" s="114"/>
      <c r="D536" s="114"/>
      <c r="G536" s="120">
        <f>IF(ISERROR(MATCH(B536,MASTER!$B:$B,0)),B536,0)</f>
        <v>0</v>
      </c>
      <c r="H536" s="120">
        <f>IF(ISERROR(MATCH(MASTER!B541,'Peoplesoft Classlist'!$B:$B,0)),MASTER!B541,0)</f>
        <v>0</v>
      </c>
    </row>
    <row r="537" spans="2:8" x14ac:dyDescent="0.25">
      <c r="B537" s="114"/>
      <c r="C537" s="114"/>
      <c r="D537" s="114"/>
      <c r="G537" s="120">
        <f>IF(ISERROR(MATCH(B537,MASTER!$B:$B,0)),B537,0)</f>
        <v>0</v>
      </c>
      <c r="H537" s="120">
        <f>IF(ISERROR(MATCH(MASTER!B542,'Peoplesoft Classlist'!$B:$B,0)),MASTER!B542,0)</f>
        <v>0</v>
      </c>
    </row>
    <row r="538" spans="2:8" x14ac:dyDescent="0.25">
      <c r="B538" s="114"/>
      <c r="C538" s="114"/>
      <c r="D538" s="114"/>
      <c r="G538" s="120">
        <f>IF(ISERROR(MATCH(B538,MASTER!$B:$B,0)),B538,0)</f>
        <v>0</v>
      </c>
      <c r="H538" s="120">
        <f>IF(ISERROR(MATCH(MASTER!B543,'Peoplesoft Classlist'!$B:$B,0)),MASTER!B543,0)</f>
        <v>0</v>
      </c>
    </row>
    <row r="539" spans="2:8" x14ac:dyDescent="0.25">
      <c r="B539" s="114"/>
      <c r="C539" s="114"/>
      <c r="D539" s="114"/>
      <c r="G539" s="120">
        <f>IF(ISERROR(MATCH(B539,MASTER!$B:$B,0)),B539,0)</f>
        <v>0</v>
      </c>
      <c r="H539" s="120">
        <f>IF(ISERROR(MATCH(MASTER!B544,'Peoplesoft Classlist'!$B:$B,0)),MASTER!B544,0)</f>
        <v>0</v>
      </c>
    </row>
    <row r="540" spans="2:8" x14ac:dyDescent="0.25">
      <c r="B540" s="114"/>
      <c r="C540" s="114"/>
      <c r="D540" s="114"/>
      <c r="G540" s="120">
        <f>IF(ISERROR(MATCH(B540,MASTER!$B:$B,0)),B540,0)</f>
        <v>0</v>
      </c>
      <c r="H540" s="120">
        <f>IF(ISERROR(MATCH(MASTER!B545,'Peoplesoft Classlist'!$B:$B,0)),MASTER!B545,0)</f>
        <v>0</v>
      </c>
    </row>
    <row r="541" spans="2:8" x14ac:dyDescent="0.25">
      <c r="B541" s="114"/>
      <c r="C541" s="114"/>
      <c r="D541" s="114"/>
      <c r="G541" s="120">
        <f>IF(ISERROR(MATCH(B541,MASTER!$B:$B,0)),B541,0)</f>
        <v>0</v>
      </c>
      <c r="H541" s="120">
        <f>IF(ISERROR(MATCH(MASTER!B546,'Peoplesoft Classlist'!$B:$B,0)),MASTER!B546,0)</f>
        <v>0</v>
      </c>
    </row>
    <row r="542" spans="2:8" x14ac:dyDescent="0.25">
      <c r="B542" s="114"/>
      <c r="C542" s="114"/>
      <c r="D542" s="114"/>
      <c r="G542" s="120">
        <f>IF(ISERROR(MATCH(B542,MASTER!$B:$B,0)),B542,0)</f>
        <v>0</v>
      </c>
      <c r="H542" s="120">
        <f>IF(ISERROR(MATCH(MASTER!B547,'Peoplesoft Classlist'!$B:$B,0)),MASTER!B547,0)</f>
        <v>0</v>
      </c>
    </row>
    <row r="543" spans="2:8" x14ac:dyDescent="0.25">
      <c r="B543" s="114"/>
      <c r="C543" s="114"/>
      <c r="D543" s="114"/>
      <c r="G543" s="120">
        <f>IF(ISERROR(MATCH(B543,MASTER!$B:$B,0)),B543,0)</f>
        <v>0</v>
      </c>
      <c r="H543" s="120">
        <f>IF(ISERROR(MATCH(MASTER!B548,'Peoplesoft Classlist'!$B:$B,0)),MASTER!B548,0)</f>
        <v>0</v>
      </c>
    </row>
    <row r="544" spans="2:8" x14ac:dyDescent="0.25">
      <c r="B544" s="114"/>
      <c r="C544" s="114"/>
      <c r="D544" s="114"/>
      <c r="G544" s="120">
        <f>IF(ISERROR(MATCH(B544,MASTER!$B:$B,0)),B544,0)</f>
        <v>0</v>
      </c>
      <c r="H544" s="120">
        <f>IF(ISERROR(MATCH(MASTER!B549,'Peoplesoft Classlist'!$B:$B,0)),MASTER!B549,0)</f>
        <v>0</v>
      </c>
    </row>
    <row r="545" spans="2:8" x14ac:dyDescent="0.25">
      <c r="B545" s="114"/>
      <c r="C545" s="114"/>
      <c r="D545" s="114"/>
      <c r="G545" s="120">
        <f>IF(ISERROR(MATCH(B545,MASTER!$B:$B,0)),B545,0)</f>
        <v>0</v>
      </c>
      <c r="H545" s="120">
        <f>IF(ISERROR(MATCH(MASTER!B550,'Peoplesoft Classlist'!$B:$B,0)),MASTER!B550,0)</f>
        <v>0</v>
      </c>
    </row>
    <row r="546" spans="2:8" x14ac:dyDescent="0.25">
      <c r="B546" s="114"/>
      <c r="C546" s="114"/>
      <c r="D546" s="114"/>
      <c r="G546" s="120">
        <f>IF(ISERROR(MATCH(B546,MASTER!$B:$B,0)),B546,0)</f>
        <v>0</v>
      </c>
      <c r="H546" s="120">
        <f>IF(ISERROR(MATCH(MASTER!B551,'Peoplesoft Classlist'!$B:$B,0)),MASTER!B551,0)</f>
        <v>0</v>
      </c>
    </row>
    <row r="547" spans="2:8" x14ac:dyDescent="0.25">
      <c r="B547" s="114"/>
      <c r="C547" s="114"/>
      <c r="D547" s="114"/>
      <c r="G547" s="120">
        <f>IF(ISERROR(MATCH(B547,MASTER!$B:$B,0)),B547,0)</f>
        <v>0</v>
      </c>
      <c r="H547" s="120">
        <f>IF(ISERROR(MATCH(MASTER!B552,'Peoplesoft Classlist'!$B:$B,0)),MASTER!B552,0)</f>
        <v>0</v>
      </c>
    </row>
    <row r="548" spans="2:8" x14ac:dyDescent="0.25">
      <c r="B548" s="114"/>
      <c r="C548" s="114"/>
      <c r="D548" s="114"/>
      <c r="G548" s="120">
        <f>IF(ISERROR(MATCH(B548,MASTER!$B:$B,0)),B548,0)</f>
        <v>0</v>
      </c>
      <c r="H548" s="120">
        <f>IF(ISERROR(MATCH(MASTER!B553,'Peoplesoft Classlist'!$B:$B,0)),MASTER!B553,0)</f>
        <v>0</v>
      </c>
    </row>
    <row r="549" spans="2:8" x14ac:dyDescent="0.25">
      <c r="B549" s="114"/>
      <c r="C549" s="114"/>
      <c r="D549" s="114"/>
      <c r="G549" s="120">
        <f>IF(ISERROR(MATCH(B549,MASTER!$B:$B,0)),B549,0)</f>
        <v>0</v>
      </c>
      <c r="H549" s="120">
        <f>IF(ISERROR(MATCH(MASTER!B554,'Peoplesoft Classlist'!$B:$B,0)),MASTER!B554,0)</f>
        <v>0</v>
      </c>
    </row>
    <row r="550" spans="2:8" x14ac:dyDescent="0.25">
      <c r="B550" s="114"/>
      <c r="C550" s="114"/>
      <c r="D550" s="114"/>
      <c r="G550" s="120">
        <f>IF(ISERROR(MATCH(B550,MASTER!$B:$B,0)),B550,0)</f>
        <v>0</v>
      </c>
      <c r="H550" s="120">
        <f>IF(ISERROR(MATCH(MASTER!B555,'Peoplesoft Classlist'!$B:$B,0)),MASTER!B555,0)</f>
        <v>0</v>
      </c>
    </row>
    <row r="551" spans="2:8" x14ac:dyDescent="0.25">
      <c r="B551" s="114"/>
      <c r="C551" s="114"/>
      <c r="D551" s="114"/>
      <c r="G551" s="120">
        <f>IF(ISERROR(MATCH(B551,MASTER!$B:$B,0)),B551,0)</f>
        <v>0</v>
      </c>
      <c r="H551" s="120">
        <f>IF(ISERROR(MATCH(MASTER!B556,'Peoplesoft Classlist'!$B:$B,0)),MASTER!B556,0)</f>
        <v>0</v>
      </c>
    </row>
    <row r="552" spans="2:8" x14ac:dyDescent="0.25">
      <c r="B552" s="114"/>
      <c r="C552" s="114"/>
      <c r="D552" s="114"/>
      <c r="G552" s="120">
        <f>IF(ISERROR(MATCH(B552,MASTER!$B:$B,0)),B552,0)</f>
        <v>0</v>
      </c>
      <c r="H552" s="120">
        <f>IF(ISERROR(MATCH(MASTER!B557,'Peoplesoft Classlist'!$B:$B,0)),MASTER!B557,0)</f>
        <v>0</v>
      </c>
    </row>
    <row r="553" spans="2:8" x14ac:dyDescent="0.25">
      <c r="B553" s="114"/>
      <c r="C553" s="114"/>
      <c r="D553" s="114"/>
      <c r="G553" s="120">
        <f>IF(ISERROR(MATCH(B553,MASTER!$B:$B,0)),B553,0)</f>
        <v>0</v>
      </c>
      <c r="H553" s="120">
        <f>IF(ISERROR(MATCH(MASTER!B558,'Peoplesoft Classlist'!$B:$B,0)),MASTER!B558,0)</f>
        <v>0</v>
      </c>
    </row>
    <row r="554" spans="2:8" x14ac:dyDescent="0.25">
      <c r="B554" s="114"/>
      <c r="C554" s="114"/>
      <c r="D554" s="114"/>
      <c r="G554" s="120">
        <f>IF(ISERROR(MATCH(B554,MASTER!$B:$B,0)),B554,0)</f>
        <v>0</v>
      </c>
      <c r="H554" s="120">
        <f>IF(ISERROR(MATCH(MASTER!B559,'Peoplesoft Classlist'!$B:$B,0)),MASTER!B559,0)</f>
        <v>0</v>
      </c>
    </row>
    <row r="555" spans="2:8" x14ac:dyDescent="0.25">
      <c r="B555" s="114"/>
      <c r="C555" s="114"/>
      <c r="D555" s="114"/>
      <c r="G555" s="120">
        <f>IF(ISERROR(MATCH(B555,MASTER!$B:$B,0)),B555,0)</f>
        <v>0</v>
      </c>
      <c r="H555" s="120">
        <f>IF(ISERROR(MATCH(MASTER!B560,'Peoplesoft Classlist'!$B:$B,0)),MASTER!B560,0)</f>
        <v>0</v>
      </c>
    </row>
    <row r="556" spans="2:8" x14ac:dyDescent="0.25">
      <c r="B556" s="114"/>
      <c r="C556" s="114"/>
      <c r="D556" s="114"/>
      <c r="G556" s="120">
        <f>IF(ISERROR(MATCH(B556,MASTER!$B:$B,0)),B556,0)</f>
        <v>0</v>
      </c>
      <c r="H556" s="120">
        <f>IF(ISERROR(MATCH(MASTER!B561,'Peoplesoft Classlist'!$B:$B,0)),MASTER!B561,0)</f>
        <v>0</v>
      </c>
    </row>
    <row r="557" spans="2:8" x14ac:dyDescent="0.25">
      <c r="B557" s="114"/>
      <c r="C557" s="114"/>
      <c r="D557" s="114"/>
      <c r="G557" s="120">
        <f>IF(ISERROR(MATCH(B557,MASTER!$B:$B,0)),B557,0)</f>
        <v>0</v>
      </c>
      <c r="H557" s="120">
        <f>IF(ISERROR(MATCH(MASTER!B562,'Peoplesoft Classlist'!$B:$B,0)),MASTER!B562,0)</f>
        <v>0</v>
      </c>
    </row>
    <row r="558" spans="2:8" x14ac:dyDescent="0.25">
      <c r="B558" s="114"/>
      <c r="C558" s="114"/>
      <c r="D558" s="114"/>
      <c r="G558" s="120">
        <f>IF(ISERROR(MATCH(B558,MASTER!$B:$B,0)),B558,0)</f>
        <v>0</v>
      </c>
      <c r="H558" s="120">
        <f>IF(ISERROR(MATCH(MASTER!B563,'Peoplesoft Classlist'!$B:$B,0)),MASTER!B563,0)</f>
        <v>0</v>
      </c>
    </row>
    <row r="559" spans="2:8" x14ac:dyDescent="0.25">
      <c r="B559" s="114"/>
      <c r="C559" s="114"/>
      <c r="D559" s="114"/>
      <c r="G559" s="120">
        <f>IF(ISERROR(MATCH(B559,MASTER!$B:$B,0)),B559,0)</f>
        <v>0</v>
      </c>
      <c r="H559" s="120">
        <f>IF(ISERROR(MATCH(MASTER!B564,'Peoplesoft Classlist'!$B:$B,0)),MASTER!B564,0)</f>
        <v>0</v>
      </c>
    </row>
    <row r="560" spans="2:8" x14ac:dyDescent="0.25">
      <c r="B560" s="114"/>
      <c r="C560" s="114"/>
      <c r="D560" s="114"/>
      <c r="G560" s="120">
        <f>IF(ISERROR(MATCH(B560,MASTER!$B:$B,0)),B560,0)</f>
        <v>0</v>
      </c>
      <c r="H560" s="120">
        <f>IF(ISERROR(MATCH(MASTER!B565,'Peoplesoft Classlist'!$B:$B,0)),MASTER!B565,0)</f>
        <v>0</v>
      </c>
    </row>
    <row r="561" spans="2:8" x14ac:dyDescent="0.25">
      <c r="B561" s="114"/>
      <c r="C561" s="114"/>
      <c r="D561" s="114"/>
      <c r="G561" s="120">
        <f>IF(ISERROR(MATCH(B561,MASTER!$B:$B,0)),B561,0)</f>
        <v>0</v>
      </c>
      <c r="H561" s="120">
        <f>IF(ISERROR(MATCH(MASTER!B566,'Peoplesoft Classlist'!$B:$B,0)),MASTER!B566,0)</f>
        <v>0</v>
      </c>
    </row>
    <row r="562" spans="2:8" x14ac:dyDescent="0.25">
      <c r="B562" s="114"/>
      <c r="C562" s="114"/>
      <c r="D562" s="114"/>
      <c r="G562" s="120">
        <f>IF(ISERROR(MATCH(B562,MASTER!$B:$B,0)),B562,0)</f>
        <v>0</v>
      </c>
      <c r="H562" s="120">
        <f>IF(ISERROR(MATCH(MASTER!B567,'Peoplesoft Classlist'!$B:$B,0)),MASTER!B567,0)</f>
        <v>0</v>
      </c>
    </row>
    <row r="563" spans="2:8" x14ac:dyDescent="0.25">
      <c r="B563" s="114"/>
      <c r="C563" s="114"/>
      <c r="D563" s="114"/>
      <c r="G563" s="120">
        <f>IF(ISERROR(MATCH(B563,MASTER!$B:$B,0)),B563,0)</f>
        <v>0</v>
      </c>
      <c r="H563" s="120">
        <f>IF(ISERROR(MATCH(MASTER!B568,'Peoplesoft Classlist'!$B:$B,0)),MASTER!B568,0)</f>
        <v>0</v>
      </c>
    </row>
    <row r="564" spans="2:8" x14ac:dyDescent="0.25">
      <c r="B564" s="114"/>
      <c r="C564" s="114"/>
      <c r="D564" s="114"/>
      <c r="G564" s="120">
        <f>IF(ISERROR(MATCH(B564,MASTER!$B:$B,0)),B564,0)</f>
        <v>0</v>
      </c>
      <c r="H564" s="120">
        <f>IF(ISERROR(MATCH(MASTER!B569,'Peoplesoft Classlist'!$B:$B,0)),MASTER!B569,0)</f>
        <v>0</v>
      </c>
    </row>
    <row r="565" spans="2:8" x14ac:dyDescent="0.25">
      <c r="B565" s="114"/>
      <c r="C565" s="114"/>
      <c r="D565" s="114"/>
      <c r="G565" s="120">
        <f>IF(ISERROR(MATCH(B565,MASTER!$B:$B,0)),B565,0)</f>
        <v>0</v>
      </c>
      <c r="H565" s="120">
        <f>IF(ISERROR(MATCH(MASTER!B570,'Peoplesoft Classlist'!$B:$B,0)),MASTER!B570,0)</f>
        <v>0</v>
      </c>
    </row>
    <row r="566" spans="2:8" x14ac:dyDescent="0.25">
      <c r="B566" s="114"/>
      <c r="C566" s="114"/>
      <c r="D566" s="114"/>
      <c r="G566" s="120">
        <f>IF(ISERROR(MATCH(B566,MASTER!$B:$B,0)),B566,0)</f>
        <v>0</v>
      </c>
      <c r="H566" s="120">
        <f>IF(ISERROR(MATCH(MASTER!B571,'Peoplesoft Classlist'!$B:$B,0)),MASTER!B571,0)</f>
        <v>0</v>
      </c>
    </row>
    <row r="567" spans="2:8" x14ac:dyDescent="0.25">
      <c r="B567" s="114"/>
      <c r="C567" s="114"/>
      <c r="D567" s="114"/>
      <c r="G567" s="120">
        <f>IF(ISERROR(MATCH(B567,MASTER!$B:$B,0)),B567,0)</f>
        <v>0</v>
      </c>
      <c r="H567" s="120">
        <f>IF(ISERROR(MATCH(MASTER!B572,'Peoplesoft Classlist'!$B:$B,0)),MASTER!B572,0)</f>
        <v>0</v>
      </c>
    </row>
    <row r="568" spans="2:8" x14ac:dyDescent="0.25">
      <c r="B568" s="114"/>
      <c r="C568" s="114"/>
      <c r="D568" s="114"/>
      <c r="G568" s="120">
        <f>IF(ISERROR(MATCH(B568,MASTER!$B:$B,0)),B568,0)</f>
        <v>0</v>
      </c>
      <c r="H568" s="120">
        <f>IF(ISERROR(MATCH(MASTER!B573,'Peoplesoft Classlist'!$B:$B,0)),MASTER!B573,0)</f>
        <v>0</v>
      </c>
    </row>
    <row r="569" spans="2:8" x14ac:dyDescent="0.25">
      <c r="B569" s="114"/>
      <c r="C569" s="114"/>
      <c r="D569" s="114"/>
      <c r="G569" s="120">
        <f>IF(ISERROR(MATCH(B569,MASTER!$B:$B,0)),B569,0)</f>
        <v>0</v>
      </c>
      <c r="H569" s="120">
        <f>IF(ISERROR(MATCH(MASTER!B574,'Peoplesoft Classlist'!$B:$B,0)),MASTER!B574,0)</f>
        <v>0</v>
      </c>
    </row>
    <row r="570" spans="2:8" x14ac:dyDescent="0.25">
      <c r="B570" s="114"/>
      <c r="C570" s="114"/>
      <c r="D570" s="114"/>
      <c r="G570" s="120">
        <f>IF(ISERROR(MATCH(B570,MASTER!$B:$B,0)),B570,0)</f>
        <v>0</v>
      </c>
      <c r="H570" s="120">
        <f>IF(ISERROR(MATCH(MASTER!B575,'Peoplesoft Classlist'!$B:$B,0)),MASTER!B575,0)</f>
        <v>0</v>
      </c>
    </row>
    <row r="571" spans="2:8" x14ac:dyDescent="0.25">
      <c r="B571" s="114"/>
      <c r="C571" s="114"/>
      <c r="D571" s="114"/>
      <c r="G571" s="120">
        <f>IF(ISERROR(MATCH(B571,MASTER!$B:$B,0)),B571,0)</f>
        <v>0</v>
      </c>
      <c r="H571" s="120">
        <f>IF(ISERROR(MATCH(MASTER!B576,'Peoplesoft Classlist'!$B:$B,0)),MASTER!B576,0)</f>
        <v>0</v>
      </c>
    </row>
    <row r="572" spans="2:8" x14ac:dyDescent="0.25">
      <c r="B572" s="114"/>
      <c r="C572" s="114"/>
      <c r="D572" s="114"/>
      <c r="G572" s="120">
        <f>IF(ISERROR(MATCH(B572,MASTER!$B:$B,0)),B572,0)</f>
        <v>0</v>
      </c>
      <c r="H572" s="120">
        <f>IF(ISERROR(MATCH(MASTER!B577,'Peoplesoft Classlist'!$B:$B,0)),MASTER!B577,0)</f>
        <v>0</v>
      </c>
    </row>
    <row r="573" spans="2:8" x14ac:dyDescent="0.25">
      <c r="B573" s="114"/>
      <c r="C573" s="114"/>
      <c r="D573" s="114"/>
      <c r="G573" s="120">
        <f>IF(ISERROR(MATCH(B573,MASTER!$B:$B,0)),B573,0)</f>
        <v>0</v>
      </c>
      <c r="H573" s="120">
        <f>IF(ISERROR(MATCH(MASTER!B578,'Peoplesoft Classlist'!$B:$B,0)),MASTER!B578,0)</f>
        <v>0</v>
      </c>
    </row>
    <row r="574" spans="2:8" x14ac:dyDescent="0.25">
      <c r="B574" s="114"/>
      <c r="C574" s="114"/>
      <c r="D574" s="114"/>
      <c r="G574" s="120">
        <f>IF(ISERROR(MATCH(B574,MASTER!$B:$B,0)),B574,0)</f>
        <v>0</v>
      </c>
      <c r="H574" s="120">
        <f>IF(ISERROR(MATCH(MASTER!B579,'Peoplesoft Classlist'!$B:$B,0)),MASTER!B579,0)</f>
        <v>0</v>
      </c>
    </row>
    <row r="575" spans="2:8" x14ac:dyDescent="0.25">
      <c r="B575" s="114"/>
      <c r="C575" s="114"/>
      <c r="D575" s="114"/>
      <c r="G575" s="120">
        <f>IF(ISERROR(MATCH(B575,MASTER!$B:$B,0)),B575,0)</f>
        <v>0</v>
      </c>
      <c r="H575" s="120">
        <f>IF(ISERROR(MATCH(MASTER!B580,'Peoplesoft Classlist'!$B:$B,0)),MASTER!B580,0)</f>
        <v>0</v>
      </c>
    </row>
    <row r="576" spans="2:8" x14ac:dyDescent="0.25">
      <c r="B576" s="114"/>
      <c r="C576" s="114"/>
      <c r="D576" s="114"/>
      <c r="G576" s="120">
        <f>IF(ISERROR(MATCH(B576,MASTER!$B:$B,0)),B576,0)</f>
        <v>0</v>
      </c>
      <c r="H576" s="120">
        <f>IF(ISERROR(MATCH(MASTER!B581,'Peoplesoft Classlist'!$B:$B,0)),MASTER!B581,0)</f>
        <v>0</v>
      </c>
    </row>
    <row r="577" spans="2:8" x14ac:dyDescent="0.25">
      <c r="B577" s="114"/>
      <c r="C577" s="114"/>
      <c r="D577" s="114"/>
      <c r="G577" s="120">
        <f>IF(ISERROR(MATCH(B577,MASTER!$B:$B,0)),B577,0)</f>
        <v>0</v>
      </c>
      <c r="H577" s="120">
        <f>IF(ISERROR(MATCH(MASTER!B582,'Peoplesoft Classlist'!$B:$B,0)),MASTER!B582,0)</f>
        <v>0</v>
      </c>
    </row>
    <row r="578" spans="2:8" x14ac:dyDescent="0.25">
      <c r="B578" s="114"/>
      <c r="C578" s="114"/>
      <c r="D578" s="114"/>
      <c r="G578" s="120">
        <f>IF(ISERROR(MATCH(B578,MASTER!$B:$B,0)),B578,0)</f>
        <v>0</v>
      </c>
      <c r="H578" s="120">
        <f>IF(ISERROR(MATCH(MASTER!B583,'Peoplesoft Classlist'!$B:$B,0)),MASTER!B583,0)</f>
        <v>0</v>
      </c>
    </row>
    <row r="579" spans="2:8" x14ac:dyDescent="0.25">
      <c r="B579" s="114"/>
      <c r="C579" s="114"/>
      <c r="D579" s="114"/>
      <c r="G579" s="120">
        <f>IF(ISERROR(MATCH(B579,MASTER!$B:$B,0)),B579,0)</f>
        <v>0</v>
      </c>
      <c r="H579" s="120">
        <f>IF(ISERROR(MATCH(MASTER!B584,'Peoplesoft Classlist'!$B:$B,0)),MASTER!B584,0)</f>
        <v>0</v>
      </c>
    </row>
    <row r="580" spans="2:8" x14ac:dyDescent="0.25">
      <c r="B580" s="114"/>
      <c r="C580" s="114"/>
      <c r="D580" s="114"/>
      <c r="G580" s="120">
        <f>IF(ISERROR(MATCH(B580,MASTER!$B:$B,0)),B580,0)</f>
        <v>0</v>
      </c>
      <c r="H580" s="120">
        <f>IF(ISERROR(MATCH(MASTER!B585,'Peoplesoft Classlist'!$B:$B,0)),MASTER!B585,0)</f>
        <v>0</v>
      </c>
    </row>
    <row r="581" spans="2:8" x14ac:dyDescent="0.25">
      <c r="B581" s="114"/>
      <c r="C581" s="114"/>
      <c r="D581" s="114"/>
      <c r="G581" s="120">
        <f>IF(ISERROR(MATCH(B581,MASTER!$B:$B,0)),B581,0)</f>
        <v>0</v>
      </c>
      <c r="H581" s="120">
        <f>IF(ISERROR(MATCH(MASTER!B586,'Peoplesoft Classlist'!$B:$B,0)),MASTER!B586,0)</f>
        <v>0</v>
      </c>
    </row>
    <row r="582" spans="2:8" x14ac:dyDescent="0.25">
      <c r="B582" s="114"/>
      <c r="C582" s="114"/>
      <c r="D582" s="114"/>
      <c r="G582" s="120">
        <f>IF(ISERROR(MATCH(B582,MASTER!$B:$B,0)),B582,0)</f>
        <v>0</v>
      </c>
      <c r="H582" s="120">
        <f>IF(ISERROR(MATCH(MASTER!B587,'Peoplesoft Classlist'!$B:$B,0)),MASTER!B587,0)</f>
        <v>0</v>
      </c>
    </row>
    <row r="583" spans="2:8" x14ac:dyDescent="0.25">
      <c r="B583" s="114"/>
      <c r="C583" s="114"/>
      <c r="D583" s="114"/>
      <c r="G583" s="120">
        <f>IF(ISERROR(MATCH(B583,MASTER!$B:$B,0)),B583,0)</f>
        <v>0</v>
      </c>
      <c r="H583" s="120">
        <f>IF(ISERROR(MATCH(MASTER!B588,'Peoplesoft Classlist'!$B:$B,0)),MASTER!B588,0)</f>
        <v>0</v>
      </c>
    </row>
    <row r="584" spans="2:8" x14ac:dyDescent="0.25">
      <c r="B584" s="114"/>
      <c r="C584" s="114"/>
      <c r="D584" s="114"/>
      <c r="G584" s="120">
        <f>IF(ISERROR(MATCH(B584,MASTER!$B:$B,0)),B584,0)</f>
        <v>0</v>
      </c>
      <c r="H584" s="120">
        <f>IF(ISERROR(MATCH(MASTER!B589,'Peoplesoft Classlist'!$B:$B,0)),MASTER!B589,0)</f>
        <v>0</v>
      </c>
    </row>
    <row r="585" spans="2:8" x14ac:dyDescent="0.25">
      <c r="B585" s="114"/>
      <c r="C585" s="114"/>
      <c r="D585" s="114"/>
      <c r="G585" s="120">
        <f>IF(ISERROR(MATCH(B585,MASTER!$B:$B,0)),B585,0)</f>
        <v>0</v>
      </c>
      <c r="H585" s="120">
        <f>IF(ISERROR(MATCH(MASTER!B590,'Peoplesoft Classlist'!$B:$B,0)),MASTER!B590,0)</f>
        <v>0</v>
      </c>
    </row>
    <row r="586" spans="2:8" x14ac:dyDescent="0.25">
      <c r="B586" s="114"/>
      <c r="C586" s="114"/>
      <c r="D586" s="114"/>
      <c r="G586" s="120">
        <f>IF(ISERROR(MATCH(B586,MASTER!$B:$B,0)),B586,0)</f>
        <v>0</v>
      </c>
      <c r="H586" s="120">
        <f>IF(ISERROR(MATCH(MASTER!B591,'Peoplesoft Classlist'!$B:$B,0)),MASTER!B591,0)</f>
        <v>0</v>
      </c>
    </row>
    <row r="587" spans="2:8" x14ac:dyDescent="0.25">
      <c r="B587" s="114"/>
      <c r="C587" s="114"/>
      <c r="D587" s="114"/>
      <c r="G587" s="120">
        <f>IF(ISERROR(MATCH(B587,MASTER!$B:$B,0)),B587,0)</f>
        <v>0</v>
      </c>
      <c r="H587" s="120">
        <f>IF(ISERROR(MATCH(MASTER!B592,'Peoplesoft Classlist'!$B:$B,0)),MASTER!B592,0)</f>
        <v>0</v>
      </c>
    </row>
    <row r="588" spans="2:8" x14ac:dyDescent="0.25">
      <c r="B588" s="114"/>
      <c r="C588" s="114"/>
      <c r="D588" s="114"/>
      <c r="G588" s="120">
        <f>IF(ISERROR(MATCH(B588,MASTER!$B:$B,0)),B588,0)</f>
        <v>0</v>
      </c>
      <c r="H588" s="120">
        <f>IF(ISERROR(MATCH(MASTER!B593,'Peoplesoft Classlist'!$B:$B,0)),MASTER!B593,0)</f>
        <v>0</v>
      </c>
    </row>
    <row r="589" spans="2:8" x14ac:dyDescent="0.25">
      <c r="B589" s="114"/>
      <c r="C589" s="114"/>
      <c r="D589" s="114"/>
      <c r="G589" s="120">
        <f>IF(ISERROR(MATCH(B589,MASTER!$B:$B,0)),B589,0)</f>
        <v>0</v>
      </c>
      <c r="H589" s="120">
        <f>IF(ISERROR(MATCH(MASTER!B594,'Peoplesoft Classlist'!$B:$B,0)),MASTER!B594,0)</f>
        <v>0</v>
      </c>
    </row>
    <row r="590" spans="2:8" x14ac:dyDescent="0.25">
      <c r="B590" s="114"/>
      <c r="C590" s="114"/>
      <c r="D590" s="114"/>
      <c r="G590" s="120">
        <f>IF(ISERROR(MATCH(B590,MASTER!$B:$B,0)),B590,0)</f>
        <v>0</v>
      </c>
      <c r="H590" s="120">
        <f>IF(ISERROR(MATCH(MASTER!B595,'Peoplesoft Classlist'!$B:$B,0)),MASTER!B595,0)</f>
        <v>0</v>
      </c>
    </row>
    <row r="591" spans="2:8" x14ac:dyDescent="0.25">
      <c r="B591" s="114"/>
      <c r="C591" s="114"/>
      <c r="D591" s="114"/>
      <c r="G591" s="120">
        <f>IF(ISERROR(MATCH(B591,MASTER!$B:$B,0)),B591,0)</f>
        <v>0</v>
      </c>
      <c r="H591" s="120">
        <f>IF(ISERROR(MATCH(MASTER!B596,'Peoplesoft Classlist'!$B:$B,0)),MASTER!B596,0)</f>
        <v>0</v>
      </c>
    </row>
    <row r="592" spans="2:8" x14ac:dyDescent="0.25">
      <c r="B592" s="114"/>
      <c r="C592" s="114"/>
      <c r="D592" s="114"/>
      <c r="G592" s="120">
        <f>IF(ISERROR(MATCH(B592,MASTER!$B:$B,0)),B592,0)</f>
        <v>0</v>
      </c>
      <c r="H592" s="120">
        <f>IF(ISERROR(MATCH(MASTER!B597,'Peoplesoft Classlist'!$B:$B,0)),MASTER!B597,0)</f>
        <v>0</v>
      </c>
    </row>
    <row r="593" spans="2:8" x14ac:dyDescent="0.25">
      <c r="B593" s="114"/>
      <c r="C593" s="114"/>
      <c r="D593" s="114"/>
      <c r="G593" s="120">
        <f>IF(ISERROR(MATCH(B593,MASTER!$B:$B,0)),B593,0)</f>
        <v>0</v>
      </c>
      <c r="H593" s="120">
        <f>IF(ISERROR(MATCH(MASTER!B598,'Peoplesoft Classlist'!$B:$B,0)),MASTER!B598,0)</f>
        <v>0</v>
      </c>
    </row>
    <row r="594" spans="2:8" x14ac:dyDescent="0.25">
      <c r="B594" s="114"/>
      <c r="C594" s="114"/>
      <c r="D594" s="114"/>
      <c r="G594" s="120">
        <f>IF(ISERROR(MATCH(B594,MASTER!$B:$B,0)),B594,0)</f>
        <v>0</v>
      </c>
      <c r="H594" s="120">
        <f>IF(ISERROR(MATCH(MASTER!B599,'Peoplesoft Classlist'!$B:$B,0)),MASTER!B599,0)</f>
        <v>0</v>
      </c>
    </row>
    <row r="595" spans="2:8" x14ac:dyDescent="0.25">
      <c r="B595" s="114"/>
      <c r="C595" s="114"/>
      <c r="D595" s="114"/>
      <c r="G595" s="120">
        <f>IF(ISERROR(MATCH(B595,MASTER!$B:$B,0)),B595,0)</f>
        <v>0</v>
      </c>
      <c r="H595" s="120">
        <f>IF(ISERROR(MATCH(MASTER!B600,'Peoplesoft Classlist'!$B:$B,0)),MASTER!B600,0)</f>
        <v>0</v>
      </c>
    </row>
    <row r="596" spans="2:8" x14ac:dyDescent="0.25">
      <c r="B596" s="114"/>
      <c r="C596" s="114"/>
      <c r="D596" s="114"/>
      <c r="G596" s="120">
        <f>IF(ISERROR(MATCH(B596,MASTER!$B:$B,0)),B596,0)</f>
        <v>0</v>
      </c>
      <c r="H596" s="120">
        <f>IF(ISERROR(MATCH(MASTER!B601,'Peoplesoft Classlist'!$B:$B,0)),MASTER!B601,0)</f>
        <v>0</v>
      </c>
    </row>
    <row r="597" spans="2:8" x14ac:dyDescent="0.25">
      <c r="B597" s="114"/>
      <c r="C597" s="114"/>
      <c r="D597" s="114"/>
      <c r="G597" s="120">
        <f>IF(ISERROR(MATCH(B597,MASTER!$B:$B,0)),B597,0)</f>
        <v>0</v>
      </c>
      <c r="H597" s="120">
        <f>IF(ISERROR(MATCH(MASTER!B602,'Peoplesoft Classlist'!$B:$B,0)),MASTER!B602,0)</f>
        <v>0</v>
      </c>
    </row>
    <row r="598" spans="2:8" x14ac:dyDescent="0.25">
      <c r="B598" s="114"/>
      <c r="C598" s="114"/>
      <c r="D598" s="114"/>
      <c r="G598" s="120">
        <f>IF(ISERROR(MATCH(B598,MASTER!$B:$B,0)),B598,0)</f>
        <v>0</v>
      </c>
      <c r="H598" s="120">
        <f>IF(ISERROR(MATCH(MASTER!B603,'Peoplesoft Classlist'!$B:$B,0)),MASTER!B603,0)</f>
        <v>0</v>
      </c>
    </row>
    <row r="599" spans="2:8" x14ac:dyDescent="0.25">
      <c r="B599" s="114"/>
      <c r="C599" s="114"/>
      <c r="D599" s="114"/>
      <c r="G599" s="120">
        <f>IF(ISERROR(MATCH(B599,MASTER!$B:$B,0)),B599,0)</f>
        <v>0</v>
      </c>
      <c r="H599" s="120">
        <f>IF(ISERROR(MATCH(MASTER!B604,'Peoplesoft Classlist'!$B:$B,0)),MASTER!B604,0)</f>
        <v>0</v>
      </c>
    </row>
    <row r="600" spans="2:8" x14ac:dyDescent="0.25">
      <c r="B600" s="114"/>
      <c r="C600" s="114"/>
      <c r="D600" s="114"/>
      <c r="G600" s="120">
        <f>IF(ISERROR(MATCH(B600,MASTER!$B:$B,0)),B600,0)</f>
        <v>0</v>
      </c>
      <c r="H600" s="120">
        <f>IF(ISERROR(MATCH(MASTER!B605,'Peoplesoft Classlist'!$B:$B,0)),MASTER!B605,0)</f>
        <v>0</v>
      </c>
    </row>
    <row r="601" spans="2:8" x14ac:dyDescent="0.25">
      <c r="B601" s="114"/>
      <c r="C601" s="114"/>
      <c r="D601" s="114"/>
      <c r="G601" s="120">
        <f>IF(ISERROR(MATCH(B601,MASTER!$B:$B,0)),B601,0)</f>
        <v>0</v>
      </c>
      <c r="H601" s="120">
        <f>IF(ISERROR(MATCH(MASTER!B606,'Peoplesoft Classlist'!$B:$B,0)),MASTER!B606,0)</f>
        <v>0</v>
      </c>
    </row>
    <row r="602" spans="2:8" x14ac:dyDescent="0.25">
      <c r="B602" s="114"/>
      <c r="C602" s="114"/>
      <c r="D602" s="114"/>
      <c r="G602" s="120">
        <f>IF(ISERROR(MATCH(B602,MASTER!$B:$B,0)),B602,0)</f>
        <v>0</v>
      </c>
      <c r="H602" s="120">
        <f>IF(ISERROR(MATCH(MASTER!B607,'Peoplesoft Classlist'!$B:$B,0)),MASTER!B607,0)</f>
        <v>0</v>
      </c>
    </row>
    <row r="603" spans="2:8" x14ac:dyDescent="0.25">
      <c r="B603" s="114"/>
      <c r="C603" s="114"/>
      <c r="D603" s="114"/>
      <c r="G603" s="120">
        <f>IF(ISERROR(MATCH(B603,MASTER!$B:$B,0)),B603,0)</f>
        <v>0</v>
      </c>
      <c r="H603" s="120">
        <f>IF(ISERROR(MATCH(MASTER!B608,'Peoplesoft Classlist'!$B:$B,0)),MASTER!B608,0)</f>
        <v>0</v>
      </c>
    </row>
    <row r="604" spans="2:8" x14ac:dyDescent="0.25">
      <c r="B604" s="114"/>
      <c r="C604" s="114"/>
      <c r="D604" s="114"/>
      <c r="G604" s="120">
        <f>IF(ISERROR(MATCH(B604,MASTER!$B:$B,0)),B604,0)</f>
        <v>0</v>
      </c>
      <c r="H604" s="120">
        <f>IF(ISERROR(MATCH(MASTER!B609,'Peoplesoft Classlist'!$B:$B,0)),MASTER!B609,0)</f>
        <v>0</v>
      </c>
    </row>
    <row r="605" spans="2:8" x14ac:dyDescent="0.25">
      <c r="B605" s="114"/>
      <c r="C605" s="114"/>
      <c r="D605" s="114"/>
      <c r="G605" s="120">
        <f>IF(ISERROR(MATCH(B605,MASTER!$B:$B,0)),B605,0)</f>
        <v>0</v>
      </c>
      <c r="H605" s="120">
        <f>IF(ISERROR(MATCH(MASTER!B610,'Peoplesoft Classlist'!$B:$B,0)),MASTER!B610,0)</f>
        <v>0</v>
      </c>
    </row>
    <row r="606" spans="2:8" x14ac:dyDescent="0.25">
      <c r="B606" s="114"/>
      <c r="C606" s="114"/>
      <c r="D606" s="114"/>
      <c r="G606" s="120">
        <f>IF(ISERROR(MATCH(B606,MASTER!$B:$B,0)),B606,0)</f>
        <v>0</v>
      </c>
      <c r="H606" s="120">
        <f>IF(ISERROR(MATCH(MASTER!B611,'Peoplesoft Classlist'!$B:$B,0)),MASTER!B611,0)</f>
        <v>0</v>
      </c>
    </row>
    <row r="607" spans="2:8" x14ac:dyDescent="0.25">
      <c r="B607" s="114"/>
      <c r="C607" s="114"/>
      <c r="D607" s="114"/>
      <c r="G607" s="120">
        <f>IF(ISERROR(MATCH(B607,MASTER!$B:$B,0)),B607,0)</f>
        <v>0</v>
      </c>
      <c r="H607" s="120">
        <f>IF(ISERROR(MATCH(MASTER!B612,'Peoplesoft Classlist'!$B:$B,0)),MASTER!B612,0)</f>
        <v>0</v>
      </c>
    </row>
    <row r="608" spans="2:8" x14ac:dyDescent="0.25">
      <c r="B608" s="114"/>
      <c r="C608" s="114"/>
      <c r="D608" s="114"/>
      <c r="G608" s="120">
        <f>IF(ISERROR(MATCH(B608,MASTER!$B:$B,0)),B608,0)</f>
        <v>0</v>
      </c>
      <c r="H608" s="120">
        <f>IF(ISERROR(MATCH(MASTER!B613,'Peoplesoft Classlist'!$B:$B,0)),MASTER!B613,0)</f>
        <v>0</v>
      </c>
    </row>
    <row r="609" spans="2:8" x14ac:dyDescent="0.25">
      <c r="B609" s="114"/>
      <c r="C609" s="114"/>
      <c r="D609" s="114"/>
      <c r="G609" s="120">
        <f>IF(ISERROR(MATCH(B609,MASTER!$B:$B,0)),B609,0)</f>
        <v>0</v>
      </c>
      <c r="H609" s="120">
        <f>IF(ISERROR(MATCH(MASTER!B614,'Peoplesoft Classlist'!$B:$B,0)),MASTER!B614,0)</f>
        <v>0</v>
      </c>
    </row>
    <row r="610" spans="2:8" x14ac:dyDescent="0.25">
      <c r="B610" s="114"/>
      <c r="C610" s="114"/>
      <c r="D610" s="114"/>
      <c r="G610" s="120">
        <f>IF(ISERROR(MATCH(B610,MASTER!$B:$B,0)),B610,0)</f>
        <v>0</v>
      </c>
      <c r="H610" s="120">
        <f>IF(ISERROR(MATCH(MASTER!B615,'Peoplesoft Classlist'!$B:$B,0)),MASTER!B615,0)</f>
        <v>0</v>
      </c>
    </row>
    <row r="611" spans="2:8" x14ac:dyDescent="0.25">
      <c r="B611" s="114"/>
      <c r="C611" s="114"/>
      <c r="D611" s="114"/>
      <c r="G611" s="120">
        <f>IF(ISERROR(MATCH(B611,MASTER!$B:$B,0)),B611,0)</f>
        <v>0</v>
      </c>
      <c r="H611" s="120">
        <f>IF(ISERROR(MATCH(MASTER!B616,'Peoplesoft Classlist'!$B:$B,0)),MASTER!B616,0)</f>
        <v>0</v>
      </c>
    </row>
    <row r="612" spans="2:8" x14ac:dyDescent="0.25">
      <c r="B612" s="114"/>
      <c r="C612" s="114"/>
      <c r="D612" s="114"/>
      <c r="G612" s="120">
        <f>IF(ISERROR(MATCH(B612,MASTER!$B:$B,0)),B612,0)</f>
        <v>0</v>
      </c>
      <c r="H612" s="120">
        <f>IF(ISERROR(MATCH(MASTER!B617,'Peoplesoft Classlist'!$B:$B,0)),MASTER!B617,0)</f>
        <v>0</v>
      </c>
    </row>
    <row r="613" spans="2:8" x14ac:dyDescent="0.25">
      <c r="B613" s="114"/>
      <c r="C613" s="114"/>
      <c r="D613" s="114"/>
      <c r="G613" s="120">
        <f>IF(ISERROR(MATCH(B613,MASTER!$B:$B,0)),B613,0)</f>
        <v>0</v>
      </c>
      <c r="H613" s="120">
        <f>IF(ISERROR(MATCH(MASTER!B618,'Peoplesoft Classlist'!$B:$B,0)),MASTER!B618,0)</f>
        <v>0</v>
      </c>
    </row>
    <row r="614" spans="2:8" x14ac:dyDescent="0.25">
      <c r="B614" s="114"/>
      <c r="C614" s="114"/>
      <c r="D614" s="114"/>
      <c r="G614" s="120">
        <f>IF(ISERROR(MATCH(B614,MASTER!$B:$B,0)),B614,0)</f>
        <v>0</v>
      </c>
      <c r="H614" s="120">
        <f>IF(ISERROR(MATCH(MASTER!B619,'Peoplesoft Classlist'!$B:$B,0)),MASTER!B619,0)</f>
        <v>0</v>
      </c>
    </row>
    <row r="615" spans="2:8" x14ac:dyDescent="0.25">
      <c r="B615" s="114"/>
      <c r="C615" s="114"/>
      <c r="D615" s="114"/>
      <c r="G615" s="120">
        <f>IF(ISERROR(MATCH(B615,MASTER!$B:$B,0)),B615,0)</f>
        <v>0</v>
      </c>
      <c r="H615" s="120">
        <f>IF(ISERROR(MATCH(MASTER!B620,'Peoplesoft Classlist'!$B:$B,0)),MASTER!B620,0)</f>
        <v>0</v>
      </c>
    </row>
    <row r="616" spans="2:8" x14ac:dyDescent="0.25">
      <c r="B616" s="114"/>
      <c r="C616" s="114"/>
      <c r="D616" s="114"/>
      <c r="G616" s="120">
        <f>IF(ISERROR(MATCH(B616,MASTER!$B:$B,0)),B616,0)</f>
        <v>0</v>
      </c>
      <c r="H616" s="120">
        <f>IF(ISERROR(MATCH(MASTER!B621,'Peoplesoft Classlist'!$B:$B,0)),MASTER!B621,0)</f>
        <v>0</v>
      </c>
    </row>
    <row r="617" spans="2:8" x14ac:dyDescent="0.25">
      <c r="B617" s="114"/>
      <c r="C617" s="114"/>
      <c r="D617" s="114"/>
      <c r="G617" s="120">
        <f>IF(ISERROR(MATCH(B617,MASTER!$B:$B,0)),B617,0)</f>
        <v>0</v>
      </c>
      <c r="H617" s="120">
        <f>IF(ISERROR(MATCH(MASTER!B622,'Peoplesoft Classlist'!$B:$B,0)),MASTER!B622,0)</f>
        <v>0</v>
      </c>
    </row>
    <row r="618" spans="2:8" x14ac:dyDescent="0.25">
      <c r="B618" s="114"/>
      <c r="C618" s="114"/>
      <c r="D618" s="114"/>
      <c r="G618" s="120">
        <f>IF(ISERROR(MATCH(B618,MASTER!$B:$B,0)),B618,0)</f>
        <v>0</v>
      </c>
      <c r="H618" s="120">
        <f>IF(ISERROR(MATCH(MASTER!B623,'Peoplesoft Classlist'!$B:$B,0)),MASTER!B623,0)</f>
        <v>0</v>
      </c>
    </row>
    <row r="619" spans="2:8" x14ac:dyDescent="0.25">
      <c r="B619" s="114"/>
      <c r="C619" s="114"/>
      <c r="D619" s="114"/>
      <c r="G619" s="120">
        <f>IF(ISERROR(MATCH(B619,MASTER!$B:$B,0)),B619,0)</f>
        <v>0</v>
      </c>
      <c r="H619" s="120">
        <f>IF(ISERROR(MATCH(MASTER!B624,'Peoplesoft Classlist'!$B:$B,0)),MASTER!B624,0)</f>
        <v>0</v>
      </c>
    </row>
    <row r="620" spans="2:8" x14ac:dyDescent="0.25">
      <c r="B620" s="114"/>
      <c r="C620" s="114"/>
      <c r="D620" s="114"/>
      <c r="G620" s="120">
        <f>IF(ISERROR(MATCH(B620,MASTER!$B:$B,0)),B620,0)</f>
        <v>0</v>
      </c>
      <c r="H620" s="120">
        <f>IF(ISERROR(MATCH(MASTER!B625,'Peoplesoft Classlist'!$B:$B,0)),MASTER!B625,0)</f>
        <v>0</v>
      </c>
    </row>
    <row r="621" spans="2:8" x14ac:dyDescent="0.25">
      <c r="B621" s="114"/>
      <c r="C621" s="114"/>
      <c r="D621" s="114"/>
      <c r="G621" s="120">
        <f>IF(ISERROR(MATCH(B621,MASTER!$B:$B,0)),B621,0)</f>
        <v>0</v>
      </c>
      <c r="H621" s="120">
        <f>IF(ISERROR(MATCH(MASTER!B626,'Peoplesoft Classlist'!$B:$B,0)),MASTER!B626,0)</f>
        <v>0</v>
      </c>
    </row>
    <row r="622" spans="2:8" x14ac:dyDescent="0.25">
      <c r="B622" s="114"/>
      <c r="C622" s="114"/>
      <c r="D622" s="114"/>
      <c r="G622" s="120">
        <f>IF(ISERROR(MATCH(B622,MASTER!$B:$B,0)),B622,0)</f>
        <v>0</v>
      </c>
      <c r="H622" s="120">
        <f>IF(ISERROR(MATCH(MASTER!B627,'Peoplesoft Classlist'!$B:$B,0)),MASTER!B627,0)</f>
        <v>0</v>
      </c>
    </row>
    <row r="623" spans="2:8" x14ac:dyDescent="0.25">
      <c r="B623" s="114"/>
      <c r="C623" s="114"/>
      <c r="D623" s="114"/>
      <c r="G623" s="120">
        <f>IF(ISERROR(MATCH(B623,MASTER!$B:$B,0)),B623,0)</f>
        <v>0</v>
      </c>
      <c r="H623" s="120">
        <f>IF(ISERROR(MATCH(MASTER!B628,'Peoplesoft Classlist'!$B:$B,0)),MASTER!B628,0)</f>
        <v>0</v>
      </c>
    </row>
    <row r="624" spans="2:8" x14ac:dyDescent="0.25">
      <c r="B624" s="114"/>
      <c r="C624" s="114"/>
      <c r="D624" s="114"/>
      <c r="G624" s="120">
        <f>IF(ISERROR(MATCH(B624,MASTER!$B:$B,0)),B624,0)</f>
        <v>0</v>
      </c>
      <c r="H624" s="120">
        <f>IF(ISERROR(MATCH(MASTER!B629,'Peoplesoft Classlist'!$B:$B,0)),MASTER!B629,0)</f>
        <v>0</v>
      </c>
    </row>
    <row r="625" spans="2:8" x14ac:dyDescent="0.25">
      <c r="B625" s="114"/>
      <c r="C625" s="114"/>
      <c r="D625" s="114"/>
      <c r="G625" s="120">
        <f>IF(ISERROR(MATCH(B625,MASTER!$B:$B,0)),B625,0)</f>
        <v>0</v>
      </c>
      <c r="H625" s="120">
        <f>IF(ISERROR(MATCH(MASTER!B630,'Peoplesoft Classlist'!$B:$B,0)),MASTER!B630,0)</f>
        <v>0</v>
      </c>
    </row>
    <row r="626" spans="2:8" x14ac:dyDescent="0.25">
      <c r="B626" s="114"/>
      <c r="C626" s="114"/>
      <c r="D626" s="114"/>
      <c r="G626" s="120">
        <f>IF(ISERROR(MATCH(B626,MASTER!$B:$B,0)),B626,0)</f>
        <v>0</v>
      </c>
      <c r="H626" s="120">
        <f>IF(ISERROR(MATCH(MASTER!B631,'Peoplesoft Classlist'!$B:$B,0)),MASTER!B631,0)</f>
        <v>0</v>
      </c>
    </row>
    <row r="627" spans="2:8" x14ac:dyDescent="0.25">
      <c r="B627" s="114"/>
      <c r="C627" s="114"/>
      <c r="D627" s="114"/>
      <c r="G627" s="120">
        <f>IF(ISERROR(MATCH(B627,MASTER!$B:$B,0)),B627,0)</f>
        <v>0</v>
      </c>
      <c r="H627" s="120">
        <f>IF(ISERROR(MATCH(MASTER!B632,'Peoplesoft Classlist'!$B:$B,0)),MASTER!B632,0)</f>
        <v>0</v>
      </c>
    </row>
    <row r="628" spans="2:8" x14ac:dyDescent="0.25">
      <c r="B628" s="114"/>
      <c r="C628" s="114"/>
      <c r="D628" s="114"/>
      <c r="G628" s="120">
        <f>IF(ISERROR(MATCH(B628,MASTER!$B:$B,0)),B628,0)</f>
        <v>0</v>
      </c>
      <c r="H628" s="120">
        <f>IF(ISERROR(MATCH(MASTER!B633,'Peoplesoft Classlist'!$B:$B,0)),MASTER!B633,0)</f>
        <v>0</v>
      </c>
    </row>
    <row r="629" spans="2:8" x14ac:dyDescent="0.25">
      <c r="B629" s="114"/>
      <c r="C629" s="114"/>
      <c r="D629" s="114"/>
      <c r="G629" s="120">
        <f>IF(ISERROR(MATCH(B629,MASTER!$B:$B,0)),B629,0)</f>
        <v>0</v>
      </c>
      <c r="H629" s="120">
        <f>IF(ISERROR(MATCH(MASTER!B634,'Peoplesoft Classlist'!$B:$B,0)),MASTER!B634,0)</f>
        <v>0</v>
      </c>
    </row>
    <row r="630" spans="2:8" x14ac:dyDescent="0.25">
      <c r="B630" s="114"/>
      <c r="C630" s="114"/>
      <c r="D630" s="114"/>
      <c r="G630" s="120">
        <f>IF(ISERROR(MATCH(B630,MASTER!$B:$B,0)),B630,0)</f>
        <v>0</v>
      </c>
      <c r="H630" s="120">
        <f>IF(ISERROR(MATCH(MASTER!B635,'Peoplesoft Classlist'!$B:$B,0)),MASTER!B635,0)</f>
        <v>0</v>
      </c>
    </row>
    <row r="631" spans="2:8" x14ac:dyDescent="0.25">
      <c r="B631" s="114"/>
      <c r="C631" s="114"/>
      <c r="D631" s="114"/>
      <c r="G631" s="120">
        <f>IF(ISERROR(MATCH(B631,MASTER!$B:$B,0)),B631,0)</f>
        <v>0</v>
      </c>
      <c r="H631" s="120">
        <f>IF(ISERROR(MATCH(MASTER!B636,'Peoplesoft Classlist'!$B:$B,0)),MASTER!B636,0)</f>
        <v>0</v>
      </c>
    </row>
    <row r="632" spans="2:8" x14ac:dyDescent="0.25">
      <c r="B632" s="114"/>
      <c r="C632" s="114"/>
      <c r="D632" s="114"/>
      <c r="G632" s="120">
        <f>IF(ISERROR(MATCH(B632,MASTER!$B:$B,0)),B632,0)</f>
        <v>0</v>
      </c>
      <c r="H632" s="120">
        <f>IF(ISERROR(MATCH(MASTER!B637,'Peoplesoft Classlist'!$B:$B,0)),MASTER!B637,0)</f>
        <v>0</v>
      </c>
    </row>
    <row r="633" spans="2:8" x14ac:dyDescent="0.25">
      <c r="B633" s="114"/>
      <c r="C633" s="114"/>
      <c r="D633" s="114"/>
      <c r="G633" s="120">
        <f>IF(ISERROR(MATCH(B633,MASTER!$B:$B,0)),B633,0)</f>
        <v>0</v>
      </c>
      <c r="H633" s="120">
        <f>IF(ISERROR(MATCH(MASTER!B638,'Peoplesoft Classlist'!$B:$B,0)),MASTER!B638,0)</f>
        <v>0</v>
      </c>
    </row>
    <row r="634" spans="2:8" x14ac:dyDescent="0.25">
      <c r="B634" s="114"/>
      <c r="C634" s="114"/>
      <c r="D634" s="114"/>
      <c r="G634" s="120">
        <f>IF(ISERROR(MATCH(B634,MASTER!$B:$B,0)),B634,0)</f>
        <v>0</v>
      </c>
      <c r="H634" s="120">
        <f>IF(ISERROR(MATCH(MASTER!B639,'Peoplesoft Classlist'!$B:$B,0)),MASTER!B639,0)</f>
        <v>0</v>
      </c>
    </row>
    <row r="635" spans="2:8" x14ac:dyDescent="0.25">
      <c r="B635" s="114"/>
      <c r="C635" s="114"/>
      <c r="D635" s="114"/>
      <c r="G635" s="120">
        <f>IF(ISERROR(MATCH(B635,MASTER!$B:$B,0)),B635,0)</f>
        <v>0</v>
      </c>
      <c r="H635" s="120">
        <f>IF(ISERROR(MATCH(MASTER!B640,'Peoplesoft Classlist'!$B:$B,0)),MASTER!B640,0)</f>
        <v>0</v>
      </c>
    </row>
    <row r="636" spans="2:8" x14ac:dyDescent="0.25">
      <c r="B636" s="114"/>
      <c r="C636" s="114"/>
      <c r="D636" s="114"/>
      <c r="G636" s="120">
        <f>IF(ISERROR(MATCH(B636,MASTER!$B:$B,0)),B636,0)</f>
        <v>0</v>
      </c>
      <c r="H636" s="120">
        <f>IF(ISERROR(MATCH(MASTER!B641,'Peoplesoft Classlist'!$B:$B,0)),MASTER!B641,0)</f>
        <v>0</v>
      </c>
    </row>
    <row r="637" spans="2:8" x14ac:dyDescent="0.25">
      <c r="B637" s="114"/>
      <c r="C637" s="114"/>
      <c r="D637" s="114"/>
      <c r="G637" s="120">
        <f>IF(ISERROR(MATCH(B637,MASTER!$B:$B,0)),B637,0)</f>
        <v>0</v>
      </c>
      <c r="H637" s="120">
        <f>IF(ISERROR(MATCH(MASTER!B642,'Peoplesoft Classlist'!$B:$B,0)),MASTER!B642,0)</f>
        <v>0</v>
      </c>
    </row>
    <row r="638" spans="2:8" x14ac:dyDescent="0.25">
      <c r="B638" s="114"/>
      <c r="C638" s="114"/>
      <c r="D638" s="114"/>
      <c r="G638" s="120">
        <f>IF(ISERROR(MATCH(B638,MASTER!$B:$B,0)),B638,0)</f>
        <v>0</v>
      </c>
      <c r="H638" s="120">
        <f>IF(ISERROR(MATCH(MASTER!B643,'Peoplesoft Classlist'!$B:$B,0)),MASTER!B643,0)</f>
        <v>0</v>
      </c>
    </row>
    <row r="639" spans="2:8" x14ac:dyDescent="0.25">
      <c r="B639" s="114"/>
      <c r="C639" s="114"/>
      <c r="D639" s="114"/>
      <c r="G639" s="120">
        <f>IF(ISERROR(MATCH(B639,MASTER!$B:$B,0)),B639,0)</f>
        <v>0</v>
      </c>
      <c r="H639" s="120">
        <f>IF(ISERROR(MATCH(MASTER!B644,'Peoplesoft Classlist'!$B:$B,0)),MASTER!B644,0)</f>
        <v>0</v>
      </c>
    </row>
    <row r="640" spans="2:8" x14ac:dyDescent="0.25">
      <c r="B640" s="114"/>
      <c r="C640" s="114"/>
      <c r="D640" s="114"/>
      <c r="G640" s="120">
        <f>IF(ISERROR(MATCH(B640,MASTER!$B:$B,0)),B640,0)</f>
        <v>0</v>
      </c>
      <c r="H640" s="120">
        <f>IF(ISERROR(MATCH(MASTER!B645,'Peoplesoft Classlist'!$B:$B,0)),MASTER!B645,0)</f>
        <v>0</v>
      </c>
    </row>
    <row r="641" spans="2:8" x14ac:dyDescent="0.25">
      <c r="B641" s="114"/>
      <c r="C641" s="114"/>
      <c r="D641" s="114"/>
      <c r="G641" s="120">
        <f>IF(ISERROR(MATCH(B641,MASTER!$B:$B,0)),B641,0)</f>
        <v>0</v>
      </c>
      <c r="H641" s="120">
        <f>IF(ISERROR(MATCH(MASTER!B646,'Peoplesoft Classlist'!$B:$B,0)),MASTER!B646,0)</f>
        <v>0</v>
      </c>
    </row>
    <row r="642" spans="2:8" x14ac:dyDescent="0.25">
      <c r="B642" s="114"/>
      <c r="C642" s="114"/>
      <c r="D642" s="114"/>
      <c r="G642" s="120">
        <f>IF(ISERROR(MATCH(B642,MASTER!$B:$B,0)),B642,0)</f>
        <v>0</v>
      </c>
      <c r="H642" s="120">
        <f>IF(ISERROR(MATCH(MASTER!B647,'Peoplesoft Classlist'!$B:$B,0)),MASTER!B647,0)</f>
        <v>0</v>
      </c>
    </row>
    <row r="643" spans="2:8" x14ac:dyDescent="0.25">
      <c r="B643" s="114"/>
      <c r="C643" s="114"/>
      <c r="D643" s="114"/>
      <c r="G643" s="120">
        <f>IF(ISERROR(MATCH(B643,MASTER!$B:$B,0)),B643,0)</f>
        <v>0</v>
      </c>
      <c r="H643" s="120">
        <f>IF(ISERROR(MATCH(MASTER!B648,'Peoplesoft Classlist'!$B:$B,0)),MASTER!B648,0)</f>
        <v>0</v>
      </c>
    </row>
    <row r="644" spans="2:8" x14ac:dyDescent="0.25">
      <c r="B644" s="114"/>
      <c r="C644" s="114"/>
      <c r="D644" s="114"/>
      <c r="G644" s="120">
        <f>IF(ISERROR(MATCH(B644,MASTER!$B:$B,0)),B644,0)</f>
        <v>0</v>
      </c>
      <c r="H644" s="120">
        <f>IF(ISERROR(MATCH(MASTER!B649,'Peoplesoft Classlist'!$B:$B,0)),MASTER!B649,0)</f>
        <v>0</v>
      </c>
    </row>
    <row r="645" spans="2:8" x14ac:dyDescent="0.25">
      <c r="B645" s="114"/>
      <c r="C645" s="114"/>
      <c r="D645" s="114"/>
      <c r="G645" s="120">
        <f>IF(ISERROR(MATCH(B645,MASTER!$B:$B,0)),B645,0)</f>
        <v>0</v>
      </c>
      <c r="H645" s="120">
        <f>IF(ISERROR(MATCH(MASTER!B650,'Peoplesoft Classlist'!$B:$B,0)),MASTER!B650,0)</f>
        <v>0</v>
      </c>
    </row>
    <row r="646" spans="2:8" x14ac:dyDescent="0.25">
      <c r="B646" s="114"/>
      <c r="C646" s="114"/>
      <c r="D646" s="114"/>
      <c r="G646" s="120">
        <f>IF(ISERROR(MATCH(B646,MASTER!$B:$B,0)),B646,0)</f>
        <v>0</v>
      </c>
      <c r="H646" s="120">
        <f>IF(ISERROR(MATCH(MASTER!B651,'Peoplesoft Classlist'!$B:$B,0)),MASTER!B651,0)</f>
        <v>0</v>
      </c>
    </row>
    <row r="647" spans="2:8" x14ac:dyDescent="0.25">
      <c r="B647" s="114"/>
      <c r="C647" s="114"/>
      <c r="D647" s="114"/>
      <c r="G647" s="120">
        <f>IF(ISERROR(MATCH(B647,MASTER!$B:$B,0)),B647,0)</f>
        <v>0</v>
      </c>
      <c r="H647" s="120">
        <f>IF(ISERROR(MATCH(MASTER!B652,'Peoplesoft Classlist'!$B:$B,0)),MASTER!B652,0)</f>
        <v>0</v>
      </c>
    </row>
    <row r="648" spans="2:8" x14ac:dyDescent="0.25">
      <c r="B648" s="114"/>
      <c r="C648" s="114"/>
      <c r="D648" s="114"/>
      <c r="G648" s="120">
        <f>IF(ISERROR(MATCH(B648,MASTER!$B:$B,0)),B648,0)</f>
        <v>0</v>
      </c>
      <c r="H648" s="120">
        <f>IF(ISERROR(MATCH(MASTER!B653,'Peoplesoft Classlist'!$B:$B,0)),MASTER!B653,0)</f>
        <v>0</v>
      </c>
    </row>
    <row r="649" spans="2:8" x14ac:dyDescent="0.25">
      <c r="B649" s="114"/>
      <c r="C649" s="114"/>
      <c r="D649" s="114"/>
      <c r="G649" s="120">
        <f>IF(ISERROR(MATCH(B649,MASTER!$B:$B,0)),B649,0)</f>
        <v>0</v>
      </c>
      <c r="H649" s="120">
        <f>IF(ISERROR(MATCH(MASTER!B654,'Peoplesoft Classlist'!$B:$B,0)),MASTER!B654,0)</f>
        <v>0</v>
      </c>
    </row>
    <row r="650" spans="2:8" x14ac:dyDescent="0.25">
      <c r="B650" s="114"/>
      <c r="C650" s="114"/>
      <c r="D650" s="114"/>
      <c r="G650" s="120">
        <f>IF(ISERROR(MATCH(B650,MASTER!$B:$B,0)),B650,0)</f>
        <v>0</v>
      </c>
      <c r="H650" s="120">
        <f>IF(ISERROR(MATCH(MASTER!B655,'Peoplesoft Classlist'!$B:$B,0)),MASTER!B655,0)</f>
        <v>0</v>
      </c>
    </row>
    <row r="651" spans="2:8" x14ac:dyDescent="0.25">
      <c r="B651" s="114"/>
      <c r="C651" s="114"/>
      <c r="D651" s="114"/>
      <c r="G651" s="120">
        <f>IF(ISERROR(MATCH(B651,MASTER!$B:$B,0)),B651,0)</f>
        <v>0</v>
      </c>
      <c r="H651" s="120">
        <f>IF(ISERROR(MATCH(MASTER!B656,'Peoplesoft Classlist'!$B:$B,0)),MASTER!B656,0)</f>
        <v>0</v>
      </c>
    </row>
    <row r="652" spans="2:8" x14ac:dyDescent="0.25">
      <c r="B652" s="114"/>
      <c r="C652" s="114"/>
      <c r="D652" s="114"/>
      <c r="G652" s="120">
        <f>IF(ISERROR(MATCH(B652,MASTER!$B:$B,0)),B652,0)</f>
        <v>0</v>
      </c>
      <c r="H652" s="120">
        <f>IF(ISERROR(MATCH(MASTER!B657,'Peoplesoft Classlist'!$B:$B,0)),MASTER!B657,0)</f>
        <v>0</v>
      </c>
    </row>
    <row r="653" spans="2:8" x14ac:dyDescent="0.25">
      <c r="B653" s="114"/>
      <c r="C653" s="114"/>
      <c r="D653" s="114"/>
      <c r="G653" s="120">
        <f>IF(ISERROR(MATCH(B653,MASTER!$B:$B,0)),B653,0)</f>
        <v>0</v>
      </c>
      <c r="H653" s="120">
        <f>IF(ISERROR(MATCH(MASTER!B658,'Peoplesoft Classlist'!$B:$B,0)),MASTER!B658,0)</f>
        <v>0</v>
      </c>
    </row>
    <row r="654" spans="2:8" x14ac:dyDescent="0.25">
      <c r="B654" s="114"/>
      <c r="C654" s="114"/>
      <c r="D654" s="114"/>
      <c r="G654" s="120">
        <f>IF(ISERROR(MATCH(B654,MASTER!$B:$B,0)),B654,0)</f>
        <v>0</v>
      </c>
      <c r="H654" s="120">
        <f>IF(ISERROR(MATCH(MASTER!B659,'Peoplesoft Classlist'!$B:$B,0)),MASTER!B659,0)</f>
        <v>0</v>
      </c>
    </row>
    <row r="655" spans="2:8" x14ac:dyDescent="0.25">
      <c r="B655" s="114"/>
      <c r="C655" s="114"/>
      <c r="D655" s="114"/>
      <c r="G655" s="120">
        <f>IF(ISERROR(MATCH(B655,MASTER!$B:$B,0)),B655,0)</f>
        <v>0</v>
      </c>
      <c r="H655" s="120">
        <f>IF(ISERROR(MATCH(MASTER!B660,'Peoplesoft Classlist'!$B:$B,0)),MASTER!B660,0)</f>
        <v>0</v>
      </c>
    </row>
    <row r="656" spans="2:8" x14ac:dyDescent="0.25">
      <c r="B656" s="114"/>
      <c r="C656" s="114"/>
      <c r="D656" s="114"/>
      <c r="G656" s="120">
        <f>IF(ISERROR(MATCH(B656,MASTER!$B:$B,0)),B656,0)</f>
        <v>0</v>
      </c>
      <c r="H656" s="120">
        <f>IF(ISERROR(MATCH(MASTER!B661,'Peoplesoft Classlist'!$B:$B,0)),MASTER!B661,0)</f>
        <v>0</v>
      </c>
    </row>
    <row r="657" spans="2:8" x14ac:dyDescent="0.25">
      <c r="B657" s="114"/>
      <c r="C657" s="114"/>
      <c r="D657" s="114"/>
      <c r="G657" s="120">
        <f>IF(ISERROR(MATCH(B657,MASTER!$B:$B,0)),B657,0)</f>
        <v>0</v>
      </c>
      <c r="H657" s="120">
        <f>IF(ISERROR(MATCH(MASTER!B662,'Peoplesoft Classlist'!$B:$B,0)),MASTER!B662,0)</f>
        <v>0</v>
      </c>
    </row>
    <row r="658" spans="2:8" x14ac:dyDescent="0.25">
      <c r="B658" s="114"/>
      <c r="C658" s="114"/>
      <c r="D658" s="114"/>
      <c r="G658" s="120">
        <f>IF(ISERROR(MATCH(B658,MASTER!$B:$B,0)),B658,0)</f>
        <v>0</v>
      </c>
      <c r="H658" s="120">
        <f>IF(ISERROR(MATCH(MASTER!B663,'Peoplesoft Classlist'!$B:$B,0)),MASTER!B663,0)</f>
        <v>0</v>
      </c>
    </row>
    <row r="659" spans="2:8" x14ac:dyDescent="0.25">
      <c r="B659" s="114"/>
      <c r="C659" s="114"/>
      <c r="D659" s="114"/>
      <c r="G659" s="120">
        <f>IF(ISERROR(MATCH(B659,MASTER!$B:$B,0)),B659,0)</f>
        <v>0</v>
      </c>
      <c r="H659" s="120">
        <f>IF(ISERROR(MATCH(MASTER!B664,'Peoplesoft Classlist'!$B:$B,0)),MASTER!B664,0)</f>
        <v>0</v>
      </c>
    </row>
    <row r="660" spans="2:8" x14ac:dyDescent="0.25">
      <c r="B660" s="114"/>
      <c r="C660" s="114"/>
      <c r="D660" s="114"/>
      <c r="G660" s="120">
        <f>IF(ISERROR(MATCH(B660,MASTER!$B:$B,0)),B660,0)</f>
        <v>0</v>
      </c>
      <c r="H660" s="120">
        <f>IF(ISERROR(MATCH(MASTER!B665,'Peoplesoft Classlist'!$B:$B,0)),MASTER!B665,0)</f>
        <v>0</v>
      </c>
    </row>
    <row r="661" spans="2:8" x14ac:dyDescent="0.25">
      <c r="B661" s="114"/>
      <c r="C661" s="114"/>
      <c r="D661" s="114"/>
      <c r="G661" s="120">
        <f>IF(ISERROR(MATCH(B661,MASTER!$B:$B,0)),B661,0)</f>
        <v>0</v>
      </c>
      <c r="H661" s="120">
        <f>IF(ISERROR(MATCH(MASTER!B666,'Peoplesoft Classlist'!$B:$B,0)),MASTER!B666,0)</f>
        <v>0</v>
      </c>
    </row>
    <row r="662" spans="2:8" x14ac:dyDescent="0.25">
      <c r="B662" s="114"/>
      <c r="C662" s="114"/>
      <c r="D662" s="114"/>
      <c r="G662" s="120">
        <f>IF(ISERROR(MATCH(B662,MASTER!$B:$B,0)),B662,0)</f>
        <v>0</v>
      </c>
      <c r="H662" s="120">
        <f>IF(ISERROR(MATCH(MASTER!B667,'Peoplesoft Classlist'!$B:$B,0)),MASTER!B667,0)</f>
        <v>0</v>
      </c>
    </row>
    <row r="663" spans="2:8" x14ac:dyDescent="0.25">
      <c r="B663" s="114"/>
      <c r="C663" s="114"/>
      <c r="D663" s="114"/>
      <c r="G663" s="120">
        <f>IF(ISERROR(MATCH(B663,MASTER!$B:$B,0)),B663,0)</f>
        <v>0</v>
      </c>
      <c r="H663" s="120">
        <f>IF(ISERROR(MATCH(MASTER!B668,'Peoplesoft Classlist'!$B:$B,0)),MASTER!B668,0)</f>
        <v>0</v>
      </c>
    </row>
    <row r="664" spans="2:8" x14ac:dyDescent="0.25">
      <c r="B664" s="114"/>
      <c r="C664" s="114"/>
      <c r="D664" s="114"/>
      <c r="G664" s="120">
        <f>IF(ISERROR(MATCH(B664,MASTER!$B:$B,0)),B664,0)</f>
        <v>0</v>
      </c>
      <c r="H664" s="120">
        <f>IF(ISERROR(MATCH(MASTER!B669,'Peoplesoft Classlist'!$B:$B,0)),MASTER!B669,0)</f>
        <v>0</v>
      </c>
    </row>
    <row r="665" spans="2:8" x14ac:dyDescent="0.25">
      <c r="B665" s="114"/>
      <c r="C665" s="114"/>
      <c r="D665" s="114"/>
      <c r="G665" s="120">
        <f>IF(ISERROR(MATCH(B665,MASTER!$B:$B,0)),B665,0)</f>
        <v>0</v>
      </c>
      <c r="H665" s="120">
        <f>IF(ISERROR(MATCH(MASTER!B670,'Peoplesoft Classlist'!$B:$B,0)),MASTER!B670,0)</f>
        <v>0</v>
      </c>
    </row>
    <row r="666" spans="2:8" x14ac:dyDescent="0.25">
      <c r="B666" s="114"/>
      <c r="C666" s="114"/>
      <c r="D666" s="114"/>
      <c r="G666" s="120">
        <f>IF(ISERROR(MATCH(B666,MASTER!$B:$B,0)),B666,0)</f>
        <v>0</v>
      </c>
      <c r="H666" s="120">
        <f>IF(ISERROR(MATCH(MASTER!B671,'Peoplesoft Classlist'!$B:$B,0)),MASTER!B671,0)</f>
        <v>0</v>
      </c>
    </row>
    <row r="667" spans="2:8" x14ac:dyDescent="0.25">
      <c r="B667" s="114"/>
      <c r="C667" s="114"/>
      <c r="D667" s="114"/>
      <c r="G667" s="120">
        <f>IF(ISERROR(MATCH(B667,MASTER!$B:$B,0)),B667,0)</f>
        <v>0</v>
      </c>
      <c r="H667" s="120">
        <f>IF(ISERROR(MATCH(MASTER!B672,'Peoplesoft Classlist'!$B:$B,0)),MASTER!B672,0)</f>
        <v>0</v>
      </c>
    </row>
    <row r="668" spans="2:8" x14ac:dyDescent="0.25">
      <c r="B668" s="114"/>
      <c r="C668" s="114"/>
      <c r="D668" s="114"/>
      <c r="G668" s="120">
        <f>IF(ISERROR(MATCH(B668,MASTER!$B:$B,0)),B668,0)</f>
        <v>0</v>
      </c>
      <c r="H668" s="120">
        <f>IF(ISERROR(MATCH(MASTER!B673,'Peoplesoft Classlist'!$B:$B,0)),MASTER!B673,0)</f>
        <v>0</v>
      </c>
    </row>
    <row r="669" spans="2:8" x14ac:dyDescent="0.25">
      <c r="B669" s="114"/>
      <c r="C669" s="114"/>
      <c r="D669" s="114"/>
      <c r="G669" s="120">
        <f>IF(ISERROR(MATCH(B669,MASTER!$B:$B,0)),B669,0)</f>
        <v>0</v>
      </c>
      <c r="H669" s="120">
        <f>IF(ISERROR(MATCH(MASTER!B674,'Peoplesoft Classlist'!$B:$B,0)),MASTER!B674,0)</f>
        <v>0</v>
      </c>
    </row>
    <row r="670" spans="2:8" x14ac:dyDescent="0.25">
      <c r="B670" s="114"/>
      <c r="C670" s="114"/>
      <c r="D670" s="114"/>
      <c r="G670" s="120">
        <f>IF(ISERROR(MATCH(B670,MASTER!$B:$B,0)),B670,0)</f>
        <v>0</v>
      </c>
      <c r="H670" s="120">
        <f>IF(ISERROR(MATCH(MASTER!B675,'Peoplesoft Classlist'!$B:$B,0)),MASTER!B675,0)</f>
        <v>0</v>
      </c>
    </row>
    <row r="671" spans="2:8" x14ac:dyDescent="0.25">
      <c r="B671" s="114"/>
      <c r="C671" s="114"/>
      <c r="D671" s="114"/>
      <c r="G671" s="120">
        <f>IF(ISERROR(MATCH(B671,MASTER!$B:$B,0)),B671,0)</f>
        <v>0</v>
      </c>
      <c r="H671" s="120">
        <f>IF(ISERROR(MATCH(MASTER!B676,'Peoplesoft Classlist'!$B:$B,0)),MASTER!B676,0)</f>
        <v>0</v>
      </c>
    </row>
    <row r="672" spans="2:8" x14ac:dyDescent="0.25">
      <c r="B672" s="114"/>
      <c r="C672" s="114"/>
      <c r="D672" s="114"/>
      <c r="G672" s="120">
        <f>IF(ISERROR(MATCH(B672,MASTER!$B:$B,0)),B672,0)</f>
        <v>0</v>
      </c>
      <c r="H672" s="120">
        <f>IF(ISERROR(MATCH(MASTER!B677,'Peoplesoft Classlist'!$B:$B,0)),MASTER!B677,0)</f>
        <v>0</v>
      </c>
    </row>
    <row r="673" spans="2:8" x14ac:dyDescent="0.25">
      <c r="B673" s="114"/>
      <c r="C673" s="114"/>
      <c r="D673" s="114"/>
      <c r="G673" s="120">
        <f>IF(ISERROR(MATCH(B673,MASTER!$B:$B,0)),B673,0)</f>
        <v>0</v>
      </c>
      <c r="H673" s="120">
        <f>IF(ISERROR(MATCH(MASTER!B678,'Peoplesoft Classlist'!$B:$B,0)),MASTER!B678,0)</f>
        <v>0</v>
      </c>
    </row>
    <row r="674" spans="2:8" x14ac:dyDescent="0.25">
      <c r="B674" s="114"/>
      <c r="C674" s="114"/>
      <c r="D674" s="114"/>
      <c r="G674" s="120">
        <f>IF(ISERROR(MATCH(B674,MASTER!$B:$B,0)),B674,0)</f>
        <v>0</v>
      </c>
      <c r="H674" s="120">
        <f>IF(ISERROR(MATCH(MASTER!B679,'Peoplesoft Classlist'!$B:$B,0)),MASTER!B679,0)</f>
        <v>0</v>
      </c>
    </row>
    <row r="675" spans="2:8" x14ac:dyDescent="0.25">
      <c r="B675" s="114"/>
      <c r="C675" s="114"/>
      <c r="D675" s="114"/>
      <c r="G675" s="120">
        <f>IF(ISERROR(MATCH(B675,MASTER!$B:$B,0)),B675,0)</f>
        <v>0</v>
      </c>
      <c r="H675" s="120">
        <f>IF(ISERROR(MATCH(MASTER!B680,'Peoplesoft Classlist'!$B:$B,0)),MASTER!B680,0)</f>
        <v>0</v>
      </c>
    </row>
    <row r="676" spans="2:8" x14ac:dyDescent="0.25">
      <c r="B676" s="114"/>
      <c r="C676" s="114"/>
      <c r="D676" s="114"/>
      <c r="G676" s="120">
        <f>IF(ISERROR(MATCH(B676,MASTER!$B:$B,0)),B676,0)</f>
        <v>0</v>
      </c>
      <c r="H676" s="120">
        <f>IF(ISERROR(MATCH(MASTER!B681,'Peoplesoft Classlist'!$B:$B,0)),MASTER!B681,0)</f>
        <v>0</v>
      </c>
    </row>
    <row r="677" spans="2:8" x14ac:dyDescent="0.25">
      <c r="B677" s="114"/>
      <c r="C677" s="114"/>
      <c r="D677" s="114"/>
      <c r="G677" s="120">
        <f>IF(ISERROR(MATCH(B677,MASTER!$B:$B,0)),B677,0)</f>
        <v>0</v>
      </c>
      <c r="H677" s="120">
        <f>IF(ISERROR(MATCH(MASTER!B682,'Peoplesoft Classlist'!$B:$B,0)),MASTER!B682,0)</f>
        <v>0</v>
      </c>
    </row>
    <row r="678" spans="2:8" x14ac:dyDescent="0.25">
      <c r="B678" s="114"/>
      <c r="C678" s="114"/>
      <c r="D678" s="114"/>
      <c r="G678" s="120">
        <f>IF(ISERROR(MATCH(B678,MASTER!$B:$B,0)),B678,0)</f>
        <v>0</v>
      </c>
      <c r="H678" s="120">
        <f>IF(ISERROR(MATCH(MASTER!B683,'Peoplesoft Classlist'!$B:$B,0)),MASTER!B683,0)</f>
        <v>0</v>
      </c>
    </row>
    <row r="679" spans="2:8" x14ac:dyDescent="0.25">
      <c r="B679" s="114"/>
      <c r="C679" s="114"/>
      <c r="D679" s="114"/>
      <c r="G679" s="120">
        <f>IF(ISERROR(MATCH(B679,MASTER!$B:$B,0)),B679,0)</f>
        <v>0</v>
      </c>
      <c r="H679" s="120">
        <f>IF(ISERROR(MATCH(MASTER!B684,'Peoplesoft Classlist'!$B:$B,0)),MASTER!B684,0)</f>
        <v>0</v>
      </c>
    </row>
    <row r="680" spans="2:8" x14ac:dyDescent="0.25">
      <c r="B680" s="114"/>
      <c r="C680" s="114"/>
      <c r="D680" s="114"/>
      <c r="G680" s="120">
        <f>IF(ISERROR(MATCH(B680,MASTER!$B:$B,0)),B680,0)</f>
        <v>0</v>
      </c>
      <c r="H680" s="120">
        <f>IF(ISERROR(MATCH(MASTER!B685,'Peoplesoft Classlist'!$B:$B,0)),MASTER!B685,0)</f>
        <v>0</v>
      </c>
    </row>
    <row r="681" spans="2:8" x14ac:dyDescent="0.25">
      <c r="B681" s="114"/>
      <c r="C681" s="114"/>
      <c r="D681" s="114"/>
      <c r="G681" s="120">
        <f>IF(ISERROR(MATCH(B681,MASTER!$B:$B,0)),B681,0)</f>
        <v>0</v>
      </c>
      <c r="H681" s="120">
        <f>IF(ISERROR(MATCH(MASTER!B686,'Peoplesoft Classlist'!$B:$B,0)),MASTER!B686,0)</f>
        <v>0</v>
      </c>
    </row>
    <row r="682" spans="2:8" x14ac:dyDescent="0.25">
      <c r="B682" s="114"/>
      <c r="C682" s="114"/>
      <c r="D682" s="114"/>
      <c r="G682" s="120">
        <f>IF(ISERROR(MATCH(B682,MASTER!$B:$B,0)),B682,0)</f>
        <v>0</v>
      </c>
      <c r="H682" s="120">
        <f>IF(ISERROR(MATCH(MASTER!B687,'Peoplesoft Classlist'!$B:$B,0)),MASTER!B687,0)</f>
        <v>0</v>
      </c>
    </row>
    <row r="683" spans="2:8" x14ac:dyDescent="0.25">
      <c r="B683" s="114"/>
      <c r="C683" s="114"/>
      <c r="D683" s="114"/>
      <c r="G683" s="120">
        <f>IF(ISERROR(MATCH(B683,MASTER!$B:$B,0)),B683,0)</f>
        <v>0</v>
      </c>
      <c r="H683" s="120">
        <f>IF(ISERROR(MATCH(MASTER!B688,'Peoplesoft Classlist'!$B:$B,0)),MASTER!B688,0)</f>
        <v>0</v>
      </c>
    </row>
    <row r="684" spans="2:8" x14ac:dyDescent="0.25">
      <c r="B684" s="114"/>
      <c r="C684" s="114"/>
      <c r="D684" s="114"/>
      <c r="G684" s="120">
        <f>IF(ISERROR(MATCH(B684,MASTER!$B:$B,0)),B684,0)</f>
        <v>0</v>
      </c>
      <c r="H684" s="120">
        <f>IF(ISERROR(MATCH(MASTER!B689,'Peoplesoft Classlist'!$B:$B,0)),MASTER!B689,0)</f>
        <v>0</v>
      </c>
    </row>
    <row r="685" spans="2:8" x14ac:dyDescent="0.25">
      <c r="B685" s="114"/>
      <c r="C685" s="114"/>
      <c r="D685" s="114"/>
      <c r="G685" s="120">
        <f>IF(ISERROR(MATCH(B685,MASTER!$B:$B,0)),B685,0)</f>
        <v>0</v>
      </c>
      <c r="H685" s="120">
        <f>IF(ISERROR(MATCH(MASTER!B690,'Peoplesoft Classlist'!$B:$B,0)),MASTER!B690,0)</f>
        <v>0</v>
      </c>
    </row>
    <row r="686" spans="2:8" x14ac:dyDescent="0.25">
      <c r="B686" s="114"/>
      <c r="C686" s="114"/>
      <c r="D686" s="114"/>
      <c r="G686" s="120">
        <f>IF(ISERROR(MATCH(B686,MASTER!$B:$B,0)),B686,0)</f>
        <v>0</v>
      </c>
      <c r="H686" s="120">
        <f>IF(ISERROR(MATCH(MASTER!B691,'Peoplesoft Classlist'!$B:$B,0)),MASTER!B691,0)</f>
        <v>0</v>
      </c>
    </row>
    <row r="687" spans="2:8" x14ac:dyDescent="0.25">
      <c r="B687" s="114"/>
      <c r="C687" s="114"/>
      <c r="D687" s="114"/>
      <c r="G687" s="120">
        <f>IF(ISERROR(MATCH(B687,MASTER!$B:$B,0)),B687,0)</f>
        <v>0</v>
      </c>
      <c r="H687" s="120">
        <f>IF(ISERROR(MATCH(MASTER!B692,'Peoplesoft Classlist'!$B:$B,0)),MASTER!B692,0)</f>
        <v>0</v>
      </c>
    </row>
    <row r="688" spans="2:8" x14ac:dyDescent="0.25">
      <c r="B688" s="114"/>
      <c r="C688" s="114"/>
      <c r="D688" s="114"/>
      <c r="G688" s="120">
        <f>IF(ISERROR(MATCH(B688,MASTER!$B:$B,0)),B688,0)</f>
        <v>0</v>
      </c>
      <c r="H688" s="120">
        <f>IF(ISERROR(MATCH(MASTER!B693,'Peoplesoft Classlist'!$B:$B,0)),MASTER!B693,0)</f>
        <v>0</v>
      </c>
    </row>
    <row r="689" spans="2:8" x14ac:dyDescent="0.25">
      <c r="B689" s="114"/>
      <c r="C689" s="114"/>
      <c r="D689" s="114"/>
      <c r="G689" s="120">
        <f>IF(ISERROR(MATCH(B689,MASTER!$B:$B,0)),B689,0)</f>
        <v>0</v>
      </c>
      <c r="H689" s="120">
        <f>IF(ISERROR(MATCH(MASTER!B694,'Peoplesoft Classlist'!$B:$B,0)),MASTER!B694,0)</f>
        <v>0</v>
      </c>
    </row>
    <row r="690" spans="2:8" x14ac:dyDescent="0.25">
      <c r="B690" s="114"/>
      <c r="C690" s="114"/>
      <c r="D690" s="114"/>
      <c r="G690" s="120">
        <f>IF(ISERROR(MATCH(B690,MASTER!$B:$B,0)),B690,0)</f>
        <v>0</v>
      </c>
      <c r="H690" s="120">
        <f>IF(ISERROR(MATCH(MASTER!B695,'Peoplesoft Classlist'!$B:$B,0)),MASTER!B695,0)</f>
        <v>0</v>
      </c>
    </row>
    <row r="691" spans="2:8" x14ac:dyDescent="0.25">
      <c r="B691" s="114"/>
      <c r="C691" s="114"/>
      <c r="D691" s="114"/>
      <c r="G691" s="120">
        <f>IF(ISERROR(MATCH(B691,MASTER!$B:$B,0)),B691,0)</f>
        <v>0</v>
      </c>
      <c r="H691" s="120">
        <f>IF(ISERROR(MATCH(MASTER!B696,'Peoplesoft Classlist'!$B:$B,0)),MASTER!B696,0)</f>
        <v>0</v>
      </c>
    </row>
    <row r="692" spans="2:8" x14ac:dyDescent="0.25">
      <c r="B692" s="114"/>
      <c r="C692" s="114"/>
      <c r="D692" s="114"/>
      <c r="G692" s="120">
        <f>IF(ISERROR(MATCH(B692,MASTER!$B:$B,0)),B692,0)</f>
        <v>0</v>
      </c>
      <c r="H692" s="120">
        <f>IF(ISERROR(MATCH(MASTER!B697,'Peoplesoft Classlist'!$B:$B,0)),MASTER!B697,0)</f>
        <v>0</v>
      </c>
    </row>
    <row r="693" spans="2:8" x14ac:dyDescent="0.25">
      <c r="B693" s="114"/>
      <c r="C693" s="114"/>
      <c r="D693" s="114"/>
      <c r="G693" s="120">
        <f>IF(ISERROR(MATCH(B693,MASTER!$B:$B,0)),B693,0)</f>
        <v>0</v>
      </c>
      <c r="H693" s="120">
        <f>IF(ISERROR(MATCH(MASTER!B698,'Peoplesoft Classlist'!$B:$B,0)),MASTER!B698,0)</f>
        <v>0</v>
      </c>
    </row>
    <row r="694" spans="2:8" x14ac:dyDescent="0.25">
      <c r="B694" s="114"/>
      <c r="C694" s="114"/>
      <c r="D694" s="114"/>
      <c r="G694" s="120">
        <f>IF(ISERROR(MATCH(B694,MASTER!$B:$B,0)),B694,0)</f>
        <v>0</v>
      </c>
      <c r="H694" s="120">
        <f>IF(ISERROR(MATCH(MASTER!B699,'Peoplesoft Classlist'!$B:$B,0)),MASTER!B699,0)</f>
        <v>0</v>
      </c>
    </row>
    <row r="695" spans="2:8" x14ac:dyDescent="0.25">
      <c r="B695" s="114"/>
      <c r="C695" s="114"/>
      <c r="D695" s="114"/>
      <c r="G695" s="120">
        <f>IF(ISERROR(MATCH(B695,MASTER!$B:$B,0)),B695,0)</f>
        <v>0</v>
      </c>
      <c r="H695" s="120">
        <f>IF(ISERROR(MATCH(MASTER!B700,'Peoplesoft Classlist'!$B:$B,0)),MASTER!B700,0)</f>
        <v>0</v>
      </c>
    </row>
    <row r="696" spans="2:8" x14ac:dyDescent="0.25">
      <c r="B696" s="114"/>
      <c r="C696" s="114"/>
      <c r="D696" s="114"/>
      <c r="G696" s="120">
        <f>IF(ISERROR(MATCH(B696,MASTER!$B:$B,0)),B696,0)</f>
        <v>0</v>
      </c>
      <c r="H696" s="120">
        <f>IF(ISERROR(MATCH(MASTER!B701,'Peoplesoft Classlist'!$B:$B,0)),MASTER!B701,0)</f>
        <v>0</v>
      </c>
    </row>
    <row r="697" spans="2:8" x14ac:dyDescent="0.25">
      <c r="B697" s="114"/>
      <c r="C697" s="114"/>
      <c r="D697" s="114"/>
      <c r="G697" s="120">
        <f>IF(ISERROR(MATCH(B697,MASTER!$B:$B,0)),B697,0)</f>
        <v>0</v>
      </c>
      <c r="H697" s="120">
        <f>IF(ISERROR(MATCH(MASTER!B702,'Peoplesoft Classlist'!$B:$B,0)),MASTER!B702,0)</f>
        <v>0</v>
      </c>
    </row>
    <row r="698" spans="2:8" x14ac:dyDescent="0.25">
      <c r="B698" s="114"/>
      <c r="C698" s="114"/>
      <c r="D698" s="114"/>
      <c r="G698" s="120">
        <f>IF(ISERROR(MATCH(B698,MASTER!$B:$B,0)),B698,0)</f>
        <v>0</v>
      </c>
      <c r="H698" s="120">
        <f>IF(ISERROR(MATCH(MASTER!B703,'Peoplesoft Classlist'!$B:$B,0)),MASTER!B703,0)</f>
        <v>0</v>
      </c>
    </row>
    <row r="699" spans="2:8" x14ac:dyDescent="0.25">
      <c r="B699" s="114"/>
      <c r="C699" s="114"/>
      <c r="D699" s="114"/>
      <c r="G699" s="120">
        <f>IF(ISERROR(MATCH(B699,MASTER!$B:$B,0)),B699,0)</f>
        <v>0</v>
      </c>
      <c r="H699" s="120">
        <f>IF(ISERROR(MATCH(MASTER!B704,'Peoplesoft Classlist'!$B:$B,0)),MASTER!B704,0)</f>
        <v>0</v>
      </c>
    </row>
    <row r="700" spans="2:8" x14ac:dyDescent="0.25">
      <c r="B700" s="114"/>
      <c r="C700" s="114"/>
      <c r="D700" s="114"/>
      <c r="G700" s="120">
        <f>IF(ISERROR(MATCH(B700,MASTER!$B:$B,0)),B700,0)</f>
        <v>0</v>
      </c>
      <c r="H700" s="120">
        <f>IF(ISERROR(MATCH(MASTER!B705,'Peoplesoft Classlist'!$B:$B,0)),MASTER!B705,0)</f>
        <v>0</v>
      </c>
    </row>
    <row r="701" spans="2:8" x14ac:dyDescent="0.25">
      <c r="B701" s="114"/>
      <c r="C701" s="114"/>
      <c r="D701" s="114"/>
      <c r="G701" s="120">
        <f>IF(ISERROR(MATCH(B701,MASTER!$B:$B,0)),B701,0)</f>
        <v>0</v>
      </c>
      <c r="H701" s="120">
        <f>IF(ISERROR(MATCH(MASTER!B706,'Peoplesoft Classlist'!$B:$B,0)),MASTER!B706,0)</f>
        <v>0</v>
      </c>
    </row>
    <row r="702" spans="2:8" x14ac:dyDescent="0.25">
      <c r="B702" s="114"/>
      <c r="C702" s="114"/>
      <c r="D702" s="114"/>
      <c r="G702" s="120">
        <f>IF(ISERROR(MATCH(B702,MASTER!$B:$B,0)),B702,0)</f>
        <v>0</v>
      </c>
      <c r="H702" s="120">
        <f>IF(ISERROR(MATCH(MASTER!B707,'Peoplesoft Classlist'!$B:$B,0)),MASTER!B707,0)</f>
        <v>0</v>
      </c>
    </row>
    <row r="703" spans="2:8" x14ac:dyDescent="0.25">
      <c r="B703" s="114"/>
      <c r="C703" s="114"/>
      <c r="D703" s="114"/>
      <c r="G703" s="120">
        <f>IF(ISERROR(MATCH(B703,MASTER!$B:$B,0)),B703,0)</f>
        <v>0</v>
      </c>
      <c r="H703" s="120">
        <f>IF(ISERROR(MATCH(MASTER!B708,'Peoplesoft Classlist'!$B:$B,0)),MASTER!B708,0)</f>
        <v>0</v>
      </c>
    </row>
    <row r="704" spans="2:8" x14ac:dyDescent="0.25">
      <c r="B704" s="114"/>
      <c r="C704" s="114"/>
      <c r="D704" s="114"/>
      <c r="G704" s="120">
        <f>IF(ISERROR(MATCH(B704,MASTER!$B:$B,0)),B704,0)</f>
        <v>0</v>
      </c>
      <c r="H704" s="120">
        <f>IF(ISERROR(MATCH(MASTER!B709,'Peoplesoft Classlist'!$B:$B,0)),MASTER!B709,0)</f>
        <v>0</v>
      </c>
    </row>
    <row r="705" spans="2:8" x14ac:dyDescent="0.25">
      <c r="B705" s="114"/>
      <c r="C705" s="114"/>
      <c r="D705" s="114"/>
      <c r="G705" s="120">
        <f>IF(ISERROR(MATCH(B705,MASTER!$B:$B,0)),B705,0)</f>
        <v>0</v>
      </c>
      <c r="H705" s="120">
        <f>IF(ISERROR(MATCH(MASTER!B710,'Peoplesoft Classlist'!$B:$B,0)),MASTER!B710,0)</f>
        <v>0</v>
      </c>
    </row>
    <row r="706" spans="2:8" x14ac:dyDescent="0.25">
      <c r="B706" s="114"/>
      <c r="C706" s="114"/>
      <c r="D706" s="114"/>
      <c r="G706" s="120">
        <f>IF(ISERROR(MATCH(B706,MASTER!$B:$B,0)),B706,0)</f>
        <v>0</v>
      </c>
      <c r="H706" s="120">
        <f>IF(ISERROR(MATCH(MASTER!B711,'Peoplesoft Classlist'!$B:$B,0)),MASTER!B711,0)</f>
        <v>0</v>
      </c>
    </row>
    <row r="707" spans="2:8" x14ac:dyDescent="0.25">
      <c r="B707" s="114"/>
      <c r="C707" s="114"/>
      <c r="D707" s="114"/>
      <c r="G707" s="120">
        <f>IF(ISERROR(MATCH(B707,MASTER!$B:$B,0)),B707,0)</f>
        <v>0</v>
      </c>
      <c r="H707" s="120">
        <f>IF(ISERROR(MATCH(MASTER!B712,'Peoplesoft Classlist'!$B:$B,0)),MASTER!B712,0)</f>
        <v>0</v>
      </c>
    </row>
    <row r="708" spans="2:8" x14ac:dyDescent="0.25">
      <c r="B708" s="114"/>
      <c r="C708" s="114"/>
      <c r="D708" s="114"/>
      <c r="G708" s="120">
        <f>IF(ISERROR(MATCH(B708,MASTER!$B:$B,0)),B708,0)</f>
        <v>0</v>
      </c>
      <c r="H708" s="120">
        <f>IF(ISERROR(MATCH(MASTER!B713,'Peoplesoft Classlist'!$B:$B,0)),MASTER!B713,0)</f>
        <v>0</v>
      </c>
    </row>
    <row r="709" spans="2:8" x14ac:dyDescent="0.25">
      <c r="B709" s="114"/>
      <c r="C709" s="114"/>
      <c r="D709" s="114"/>
      <c r="G709" s="120">
        <f>IF(ISERROR(MATCH(B709,MASTER!$B:$B,0)),B709,0)</f>
        <v>0</v>
      </c>
      <c r="H709" s="120">
        <f>IF(ISERROR(MATCH(MASTER!B714,'Peoplesoft Classlist'!$B:$B,0)),MASTER!B714,0)</f>
        <v>0</v>
      </c>
    </row>
    <row r="710" spans="2:8" x14ac:dyDescent="0.25">
      <c r="B710" s="114"/>
      <c r="C710" s="114"/>
      <c r="D710" s="114"/>
      <c r="G710" s="120">
        <f>IF(ISERROR(MATCH(B710,MASTER!$B:$B,0)),B710,0)</f>
        <v>0</v>
      </c>
      <c r="H710" s="120">
        <f>IF(ISERROR(MATCH(MASTER!B715,'Peoplesoft Classlist'!$B:$B,0)),MASTER!B715,0)</f>
        <v>0</v>
      </c>
    </row>
    <row r="711" spans="2:8" x14ac:dyDescent="0.25">
      <c r="B711" s="114"/>
      <c r="C711" s="114"/>
      <c r="D711" s="114"/>
      <c r="G711" s="120">
        <f>IF(ISERROR(MATCH(B711,MASTER!$B:$B,0)),B711,0)</f>
        <v>0</v>
      </c>
      <c r="H711" s="120">
        <f>IF(ISERROR(MATCH(MASTER!B716,'Peoplesoft Classlist'!$B:$B,0)),MASTER!B716,0)</f>
        <v>0</v>
      </c>
    </row>
    <row r="712" spans="2:8" x14ac:dyDescent="0.25">
      <c r="B712" s="114"/>
      <c r="C712" s="114"/>
      <c r="D712" s="114"/>
      <c r="G712" s="120">
        <f>IF(ISERROR(MATCH(B712,MASTER!$B:$B,0)),B712,0)</f>
        <v>0</v>
      </c>
      <c r="H712" s="120">
        <f>IF(ISERROR(MATCH(MASTER!B717,'Peoplesoft Classlist'!$B:$B,0)),MASTER!B717,0)</f>
        <v>0</v>
      </c>
    </row>
    <row r="713" spans="2:8" x14ac:dyDescent="0.25">
      <c r="B713" s="114"/>
      <c r="C713" s="114"/>
      <c r="D713" s="114"/>
      <c r="G713" s="120">
        <f>IF(ISERROR(MATCH(B713,MASTER!$B:$B,0)),B713,0)</f>
        <v>0</v>
      </c>
      <c r="H713" s="120">
        <f>IF(ISERROR(MATCH(MASTER!B718,'Peoplesoft Classlist'!$B:$B,0)),MASTER!B718,0)</f>
        <v>0</v>
      </c>
    </row>
    <row r="714" spans="2:8" x14ac:dyDescent="0.25">
      <c r="B714" s="114"/>
      <c r="C714" s="114"/>
      <c r="D714" s="114"/>
      <c r="G714" s="120">
        <f>IF(ISERROR(MATCH(B714,MASTER!$B:$B,0)),B714,0)</f>
        <v>0</v>
      </c>
      <c r="H714" s="120">
        <f>IF(ISERROR(MATCH(MASTER!B719,'Peoplesoft Classlist'!$B:$B,0)),MASTER!B719,0)</f>
        <v>0</v>
      </c>
    </row>
    <row r="715" spans="2:8" x14ac:dyDescent="0.25">
      <c r="B715" s="114"/>
      <c r="C715" s="114"/>
      <c r="D715" s="114"/>
      <c r="G715" s="120">
        <f>IF(ISERROR(MATCH(B715,MASTER!$B:$B,0)),B715,0)</f>
        <v>0</v>
      </c>
      <c r="H715" s="120">
        <f>IF(ISERROR(MATCH(MASTER!B720,'Peoplesoft Classlist'!$B:$B,0)),MASTER!B720,0)</f>
        <v>0</v>
      </c>
    </row>
    <row r="716" spans="2:8" x14ac:dyDescent="0.25">
      <c r="B716" s="114"/>
      <c r="C716" s="114"/>
      <c r="D716" s="114"/>
      <c r="G716" s="120">
        <f>IF(ISERROR(MATCH(B716,MASTER!$B:$B,0)),B716,0)</f>
        <v>0</v>
      </c>
      <c r="H716" s="120">
        <f>IF(ISERROR(MATCH(MASTER!B721,'Peoplesoft Classlist'!$B:$B,0)),MASTER!B721,0)</f>
        <v>0</v>
      </c>
    </row>
    <row r="717" spans="2:8" x14ac:dyDescent="0.25">
      <c r="B717" s="114"/>
      <c r="C717" s="114"/>
      <c r="D717" s="114"/>
      <c r="G717" s="120">
        <f>IF(ISERROR(MATCH(B717,MASTER!$B:$B,0)),B717,0)</f>
        <v>0</v>
      </c>
      <c r="H717" s="120">
        <f>IF(ISERROR(MATCH(MASTER!B722,'Peoplesoft Classlist'!$B:$B,0)),MASTER!B722,0)</f>
        <v>0</v>
      </c>
    </row>
    <row r="718" spans="2:8" x14ac:dyDescent="0.25">
      <c r="B718" s="114"/>
      <c r="C718" s="114"/>
      <c r="D718" s="114"/>
      <c r="G718" s="120">
        <f>IF(ISERROR(MATCH(B718,MASTER!$B:$B,0)),B718,0)</f>
        <v>0</v>
      </c>
      <c r="H718" s="120">
        <f>IF(ISERROR(MATCH(MASTER!B723,'Peoplesoft Classlist'!$B:$B,0)),MASTER!B723,0)</f>
        <v>0</v>
      </c>
    </row>
    <row r="719" spans="2:8" x14ac:dyDescent="0.25">
      <c r="B719" s="114"/>
      <c r="C719" s="114"/>
      <c r="D719" s="114"/>
      <c r="G719" s="120">
        <f>IF(ISERROR(MATCH(B719,MASTER!$B:$B,0)),B719,0)</f>
        <v>0</v>
      </c>
      <c r="H719" s="120">
        <f>IF(ISERROR(MATCH(MASTER!B724,'Peoplesoft Classlist'!$B:$B,0)),MASTER!B724,0)</f>
        <v>0</v>
      </c>
    </row>
    <row r="720" spans="2:8" x14ac:dyDescent="0.25">
      <c r="B720" s="114"/>
      <c r="C720" s="114"/>
      <c r="D720" s="114"/>
      <c r="G720" s="120">
        <f>IF(ISERROR(MATCH(B720,MASTER!$B:$B,0)),B720,0)</f>
        <v>0</v>
      </c>
      <c r="H720" s="120">
        <f>IF(ISERROR(MATCH(MASTER!B725,'Peoplesoft Classlist'!$B:$B,0)),MASTER!B725,0)</f>
        <v>0</v>
      </c>
    </row>
    <row r="721" spans="2:8" x14ac:dyDescent="0.25">
      <c r="B721" s="114"/>
      <c r="C721" s="114"/>
      <c r="D721" s="114"/>
      <c r="G721" s="120">
        <f>IF(ISERROR(MATCH(B721,MASTER!$B:$B,0)),B721,0)</f>
        <v>0</v>
      </c>
      <c r="H721" s="120">
        <f>IF(ISERROR(MATCH(MASTER!B726,'Peoplesoft Classlist'!$B:$B,0)),MASTER!B726,0)</f>
        <v>0</v>
      </c>
    </row>
    <row r="722" spans="2:8" x14ac:dyDescent="0.25">
      <c r="B722" s="114"/>
      <c r="C722" s="114"/>
      <c r="D722" s="114"/>
      <c r="G722" s="120">
        <f>IF(ISERROR(MATCH(B722,MASTER!$B:$B,0)),B722,0)</f>
        <v>0</v>
      </c>
      <c r="H722" s="120">
        <f>IF(ISERROR(MATCH(MASTER!B727,'Peoplesoft Classlist'!$B:$B,0)),MASTER!B727,0)</f>
        <v>0</v>
      </c>
    </row>
    <row r="723" spans="2:8" x14ac:dyDescent="0.25">
      <c r="B723" s="114"/>
      <c r="C723" s="114"/>
      <c r="D723" s="114"/>
      <c r="G723" s="120">
        <f>IF(ISERROR(MATCH(B723,MASTER!$B:$B,0)),B723,0)</f>
        <v>0</v>
      </c>
      <c r="H723" s="120">
        <f>IF(ISERROR(MATCH(MASTER!B728,'Peoplesoft Classlist'!$B:$B,0)),MASTER!B728,0)</f>
        <v>0</v>
      </c>
    </row>
    <row r="724" spans="2:8" x14ac:dyDescent="0.25">
      <c r="B724" s="114"/>
      <c r="C724" s="114"/>
      <c r="D724" s="114"/>
      <c r="G724" s="120">
        <f>IF(ISERROR(MATCH(B724,MASTER!$B:$B,0)),B724,0)</f>
        <v>0</v>
      </c>
      <c r="H724" s="120">
        <f>IF(ISERROR(MATCH(MASTER!B729,'Peoplesoft Classlist'!$B:$B,0)),MASTER!B729,0)</f>
        <v>0</v>
      </c>
    </row>
    <row r="725" spans="2:8" x14ac:dyDescent="0.25">
      <c r="B725" s="114"/>
      <c r="C725" s="114"/>
      <c r="D725" s="114"/>
      <c r="G725" s="120">
        <f>IF(ISERROR(MATCH(B725,MASTER!$B:$B,0)),B725,0)</f>
        <v>0</v>
      </c>
      <c r="H725" s="120">
        <f>IF(ISERROR(MATCH(MASTER!B730,'Peoplesoft Classlist'!$B:$B,0)),MASTER!B730,0)</f>
        <v>0</v>
      </c>
    </row>
    <row r="726" spans="2:8" x14ac:dyDescent="0.25">
      <c r="B726" s="114"/>
      <c r="C726" s="114"/>
      <c r="D726" s="114"/>
      <c r="G726" s="120">
        <f>IF(ISERROR(MATCH(B726,MASTER!$B:$B,0)),B726,0)</f>
        <v>0</v>
      </c>
      <c r="H726" s="120">
        <f>IF(ISERROR(MATCH(MASTER!B731,'Peoplesoft Classlist'!$B:$B,0)),MASTER!B731,0)</f>
        <v>0</v>
      </c>
    </row>
    <row r="727" spans="2:8" x14ac:dyDescent="0.25">
      <c r="B727" s="114"/>
      <c r="C727" s="114"/>
      <c r="D727" s="114"/>
      <c r="G727" s="120">
        <f>IF(ISERROR(MATCH(B727,MASTER!$B:$B,0)),B727,0)</f>
        <v>0</v>
      </c>
      <c r="H727" s="120">
        <f>IF(ISERROR(MATCH(MASTER!B732,'Peoplesoft Classlist'!$B:$B,0)),MASTER!B732,0)</f>
        <v>0</v>
      </c>
    </row>
    <row r="728" spans="2:8" x14ac:dyDescent="0.25">
      <c r="B728" s="114"/>
      <c r="C728" s="114"/>
      <c r="D728" s="114"/>
      <c r="G728" s="120">
        <f>IF(ISERROR(MATCH(B728,MASTER!$B:$B,0)),B728,0)</f>
        <v>0</v>
      </c>
      <c r="H728" s="120">
        <f>IF(ISERROR(MATCH(MASTER!B733,'Peoplesoft Classlist'!$B:$B,0)),MASTER!B733,0)</f>
        <v>0</v>
      </c>
    </row>
    <row r="729" spans="2:8" x14ac:dyDescent="0.25">
      <c r="B729" s="114"/>
      <c r="C729" s="114"/>
      <c r="D729" s="114"/>
      <c r="G729" s="120">
        <f>IF(ISERROR(MATCH(B729,MASTER!$B:$B,0)),B729,0)</f>
        <v>0</v>
      </c>
      <c r="H729" s="120">
        <f>IF(ISERROR(MATCH(MASTER!B734,'Peoplesoft Classlist'!$B:$B,0)),MASTER!B734,0)</f>
        <v>0</v>
      </c>
    </row>
    <row r="730" spans="2:8" x14ac:dyDescent="0.25">
      <c r="B730" s="114"/>
      <c r="C730" s="114"/>
      <c r="D730" s="114"/>
      <c r="G730" s="120">
        <f>IF(ISERROR(MATCH(B730,MASTER!$B:$B,0)),B730,0)</f>
        <v>0</v>
      </c>
      <c r="H730" s="120">
        <f>IF(ISERROR(MATCH(MASTER!B735,'Peoplesoft Classlist'!$B:$B,0)),MASTER!B735,0)</f>
        <v>0</v>
      </c>
    </row>
    <row r="731" spans="2:8" x14ac:dyDescent="0.25">
      <c r="B731" s="114"/>
      <c r="C731" s="114"/>
      <c r="D731" s="114"/>
      <c r="G731" s="120">
        <f>IF(ISERROR(MATCH(B731,MASTER!$B:$B,0)),B731,0)</f>
        <v>0</v>
      </c>
      <c r="H731" s="120">
        <f>IF(ISERROR(MATCH(MASTER!B736,'Peoplesoft Classlist'!$B:$B,0)),MASTER!B736,0)</f>
        <v>0</v>
      </c>
    </row>
    <row r="732" spans="2:8" x14ac:dyDescent="0.25">
      <c r="B732" s="114"/>
      <c r="C732" s="114"/>
      <c r="D732" s="114"/>
      <c r="G732" s="120">
        <f>IF(ISERROR(MATCH(B732,MASTER!$B:$B,0)),B732,0)</f>
        <v>0</v>
      </c>
      <c r="H732" s="120">
        <f>IF(ISERROR(MATCH(MASTER!B737,'Peoplesoft Classlist'!$B:$B,0)),MASTER!B737,0)</f>
        <v>0</v>
      </c>
    </row>
    <row r="733" spans="2:8" x14ac:dyDescent="0.25">
      <c r="B733" s="114"/>
      <c r="C733" s="114"/>
      <c r="D733" s="114"/>
      <c r="G733" s="120">
        <f>IF(ISERROR(MATCH(B733,MASTER!$B:$B,0)),B733,0)</f>
        <v>0</v>
      </c>
      <c r="H733" s="120">
        <f>IF(ISERROR(MATCH(MASTER!B738,'Peoplesoft Classlist'!$B:$B,0)),MASTER!B738,0)</f>
        <v>0</v>
      </c>
    </row>
    <row r="734" spans="2:8" x14ac:dyDescent="0.25">
      <c r="B734" s="114"/>
      <c r="C734" s="114"/>
      <c r="D734" s="114"/>
      <c r="G734" s="120">
        <f>IF(ISERROR(MATCH(B734,MASTER!$B:$B,0)),B734,0)</f>
        <v>0</v>
      </c>
      <c r="H734" s="120">
        <f>IF(ISERROR(MATCH(MASTER!B739,'Peoplesoft Classlist'!$B:$B,0)),MASTER!B739,0)</f>
        <v>0</v>
      </c>
    </row>
    <row r="735" spans="2:8" x14ac:dyDescent="0.25">
      <c r="B735" s="114"/>
      <c r="C735" s="114"/>
      <c r="D735" s="114"/>
      <c r="G735" s="120">
        <f>IF(ISERROR(MATCH(B735,MASTER!$B:$B,0)),B735,0)</f>
        <v>0</v>
      </c>
      <c r="H735" s="120">
        <f>IF(ISERROR(MATCH(MASTER!B740,'Peoplesoft Classlist'!$B:$B,0)),MASTER!B740,0)</f>
        <v>0</v>
      </c>
    </row>
    <row r="736" spans="2:8" x14ac:dyDescent="0.25">
      <c r="B736" s="114"/>
      <c r="C736" s="114"/>
      <c r="D736" s="114"/>
      <c r="G736" s="120">
        <f>IF(ISERROR(MATCH(B736,MASTER!$B:$B,0)),B736,0)</f>
        <v>0</v>
      </c>
      <c r="H736" s="120">
        <f>IF(ISERROR(MATCH(MASTER!B741,'Peoplesoft Classlist'!$B:$B,0)),MASTER!B741,0)</f>
        <v>0</v>
      </c>
    </row>
    <row r="737" spans="2:8" x14ac:dyDescent="0.25">
      <c r="B737" s="114"/>
      <c r="C737" s="114"/>
      <c r="D737" s="114"/>
      <c r="G737" s="120">
        <f>IF(ISERROR(MATCH(B737,MASTER!$B:$B,0)),B737,0)</f>
        <v>0</v>
      </c>
      <c r="H737" s="120">
        <f>IF(ISERROR(MATCH(MASTER!B742,'Peoplesoft Classlist'!$B:$B,0)),MASTER!B742,0)</f>
        <v>0</v>
      </c>
    </row>
    <row r="738" spans="2:8" x14ac:dyDescent="0.25">
      <c r="B738" s="114"/>
      <c r="C738" s="114"/>
      <c r="D738" s="114"/>
      <c r="G738" s="120">
        <f>IF(ISERROR(MATCH(B738,MASTER!$B:$B,0)),B738,0)</f>
        <v>0</v>
      </c>
      <c r="H738" s="120">
        <f>IF(ISERROR(MATCH(MASTER!B743,'Peoplesoft Classlist'!$B:$B,0)),MASTER!B743,0)</f>
        <v>0</v>
      </c>
    </row>
    <row r="739" spans="2:8" x14ac:dyDescent="0.25">
      <c r="B739" s="114"/>
      <c r="C739" s="114"/>
      <c r="D739" s="114"/>
      <c r="G739" s="120">
        <f>IF(ISERROR(MATCH(B739,MASTER!$B:$B,0)),B739,0)</f>
        <v>0</v>
      </c>
      <c r="H739" s="120">
        <f>IF(ISERROR(MATCH(MASTER!B744,'Peoplesoft Classlist'!$B:$B,0)),MASTER!B744,0)</f>
        <v>0</v>
      </c>
    </row>
    <row r="740" spans="2:8" x14ac:dyDescent="0.25">
      <c r="B740" s="114"/>
      <c r="C740" s="114"/>
      <c r="D740" s="114"/>
      <c r="G740" s="120">
        <f>IF(ISERROR(MATCH(B740,MASTER!$B:$B,0)),B740,0)</f>
        <v>0</v>
      </c>
      <c r="H740" s="120">
        <f>IF(ISERROR(MATCH(MASTER!B745,'Peoplesoft Classlist'!$B:$B,0)),MASTER!B745,0)</f>
        <v>0</v>
      </c>
    </row>
    <row r="741" spans="2:8" x14ac:dyDescent="0.25">
      <c r="B741" s="114"/>
      <c r="C741" s="114"/>
      <c r="D741" s="114"/>
      <c r="G741" s="120">
        <f>IF(ISERROR(MATCH(B741,MASTER!$B:$B,0)),B741,0)</f>
        <v>0</v>
      </c>
      <c r="H741" s="120">
        <f>IF(ISERROR(MATCH(MASTER!B746,'Peoplesoft Classlist'!$B:$B,0)),MASTER!B746,0)</f>
        <v>0</v>
      </c>
    </row>
    <row r="742" spans="2:8" x14ac:dyDescent="0.25">
      <c r="B742" s="114"/>
      <c r="C742" s="114"/>
      <c r="D742" s="114"/>
      <c r="G742" s="120">
        <f>IF(ISERROR(MATCH(B742,MASTER!$B:$B,0)),B742,0)</f>
        <v>0</v>
      </c>
      <c r="H742" s="120">
        <f>IF(ISERROR(MATCH(MASTER!B747,'Peoplesoft Classlist'!$B:$B,0)),MASTER!B747,0)</f>
        <v>0</v>
      </c>
    </row>
    <row r="743" spans="2:8" x14ac:dyDescent="0.25">
      <c r="B743" s="114"/>
      <c r="C743" s="114"/>
      <c r="D743" s="114"/>
      <c r="G743" s="120">
        <f>IF(ISERROR(MATCH(B743,MASTER!$B:$B,0)),B743,0)</f>
        <v>0</v>
      </c>
      <c r="H743" s="120">
        <f>IF(ISERROR(MATCH(MASTER!B748,'Peoplesoft Classlist'!$B:$B,0)),MASTER!B748,0)</f>
        <v>0</v>
      </c>
    </row>
    <row r="744" spans="2:8" x14ac:dyDescent="0.25">
      <c r="B744" s="114"/>
      <c r="C744" s="114"/>
      <c r="D744" s="114"/>
      <c r="G744" s="120">
        <f>IF(ISERROR(MATCH(B744,MASTER!$B:$B,0)),B744,0)</f>
        <v>0</v>
      </c>
      <c r="H744" s="120">
        <f>IF(ISERROR(MATCH(MASTER!B749,'Peoplesoft Classlist'!$B:$B,0)),MASTER!B749,0)</f>
        <v>0</v>
      </c>
    </row>
    <row r="745" spans="2:8" x14ac:dyDescent="0.25">
      <c r="B745" s="114"/>
      <c r="C745" s="114"/>
      <c r="D745" s="114"/>
      <c r="G745" s="120">
        <f>IF(ISERROR(MATCH(B745,MASTER!$B:$B,0)),B745,0)</f>
        <v>0</v>
      </c>
      <c r="H745" s="120">
        <f>IF(ISERROR(MATCH(MASTER!B750,'Peoplesoft Classlist'!$B:$B,0)),MASTER!B750,0)</f>
        <v>0</v>
      </c>
    </row>
    <row r="746" spans="2:8" x14ac:dyDescent="0.25">
      <c r="B746" s="114"/>
      <c r="C746" s="114"/>
      <c r="D746" s="114"/>
      <c r="G746" s="120">
        <f>IF(ISERROR(MATCH(B746,MASTER!$B:$B,0)),B746,0)</f>
        <v>0</v>
      </c>
      <c r="H746" s="120">
        <f>IF(ISERROR(MATCH(MASTER!B751,'Peoplesoft Classlist'!$B:$B,0)),MASTER!B751,0)</f>
        <v>0</v>
      </c>
    </row>
    <row r="747" spans="2:8" x14ac:dyDescent="0.25">
      <c r="B747" s="114"/>
      <c r="C747" s="114"/>
      <c r="D747" s="114"/>
      <c r="G747" s="120">
        <f>IF(ISERROR(MATCH(B747,MASTER!$B:$B,0)),B747,0)</f>
        <v>0</v>
      </c>
      <c r="H747" s="120">
        <f>IF(ISERROR(MATCH(MASTER!B752,'Peoplesoft Classlist'!$B:$B,0)),MASTER!B752,0)</f>
        <v>0</v>
      </c>
    </row>
    <row r="748" spans="2:8" x14ac:dyDescent="0.25">
      <c r="B748" s="114"/>
      <c r="C748" s="114"/>
      <c r="D748" s="114"/>
      <c r="G748" s="120">
        <f>IF(ISERROR(MATCH(B748,MASTER!$B:$B,0)),B748,0)</f>
        <v>0</v>
      </c>
      <c r="H748" s="120">
        <f>IF(ISERROR(MATCH(MASTER!B753,'Peoplesoft Classlist'!$B:$B,0)),MASTER!B753,0)</f>
        <v>0</v>
      </c>
    </row>
    <row r="749" spans="2:8" x14ac:dyDescent="0.25">
      <c r="B749" s="114"/>
      <c r="C749" s="114"/>
      <c r="D749" s="114"/>
      <c r="G749" s="120">
        <f>IF(ISERROR(MATCH(B749,MASTER!$B:$B,0)),B749,0)</f>
        <v>0</v>
      </c>
      <c r="H749" s="120">
        <f>IF(ISERROR(MATCH(MASTER!B754,'Peoplesoft Classlist'!$B:$B,0)),MASTER!B754,0)</f>
        <v>0</v>
      </c>
    </row>
    <row r="750" spans="2:8" x14ac:dyDescent="0.25">
      <c r="B750" s="114"/>
      <c r="C750" s="114"/>
      <c r="D750" s="114"/>
      <c r="G750" s="120">
        <f>IF(ISERROR(MATCH(B750,MASTER!$B:$B,0)),B750,0)</f>
        <v>0</v>
      </c>
      <c r="H750" s="120">
        <f>IF(ISERROR(MATCH(MASTER!B755,'Peoplesoft Classlist'!$B:$B,0)),MASTER!B755,0)</f>
        <v>0</v>
      </c>
    </row>
    <row r="751" spans="2:8" x14ac:dyDescent="0.25">
      <c r="B751" s="114"/>
      <c r="C751" s="114"/>
      <c r="D751" s="114"/>
      <c r="G751" s="120">
        <f>IF(ISERROR(MATCH(B751,MASTER!$B:$B,0)),B751,0)</f>
        <v>0</v>
      </c>
      <c r="H751" s="120">
        <f>IF(ISERROR(MATCH(MASTER!B756,'Peoplesoft Classlist'!$B:$B,0)),MASTER!B756,0)</f>
        <v>0</v>
      </c>
    </row>
    <row r="752" spans="2:8" x14ac:dyDescent="0.25">
      <c r="B752" s="114"/>
      <c r="C752" s="114"/>
      <c r="D752" s="114"/>
      <c r="G752" s="120">
        <f>IF(ISERROR(MATCH(B752,MASTER!$B:$B,0)),B752,0)</f>
        <v>0</v>
      </c>
      <c r="H752" s="120">
        <f>IF(ISERROR(MATCH(MASTER!B757,'Peoplesoft Classlist'!$B:$B,0)),MASTER!B757,0)</f>
        <v>0</v>
      </c>
    </row>
    <row r="753" spans="2:8" x14ac:dyDescent="0.25">
      <c r="B753" s="114"/>
      <c r="C753" s="114"/>
      <c r="D753" s="114"/>
      <c r="G753" s="120">
        <f>IF(ISERROR(MATCH(B753,MASTER!$B:$B,0)),B753,0)</f>
        <v>0</v>
      </c>
      <c r="H753" s="120">
        <f>IF(ISERROR(MATCH(MASTER!B758,'Peoplesoft Classlist'!$B:$B,0)),MASTER!B758,0)</f>
        <v>0</v>
      </c>
    </row>
    <row r="754" spans="2:8" x14ac:dyDescent="0.25">
      <c r="B754" s="114"/>
      <c r="C754" s="114"/>
      <c r="D754" s="114"/>
      <c r="G754" s="120">
        <f>IF(ISERROR(MATCH(B754,MASTER!$B:$B,0)),B754,0)</f>
        <v>0</v>
      </c>
      <c r="H754" s="120">
        <f>IF(ISERROR(MATCH(MASTER!B759,'Peoplesoft Classlist'!$B:$B,0)),MASTER!B759,0)</f>
        <v>0</v>
      </c>
    </row>
    <row r="755" spans="2:8" x14ac:dyDescent="0.25">
      <c r="B755" s="114"/>
      <c r="C755" s="114"/>
      <c r="D755" s="114"/>
      <c r="G755" s="120">
        <f>IF(ISERROR(MATCH(B755,MASTER!$B:$B,0)),B755,0)</f>
        <v>0</v>
      </c>
      <c r="H755" s="120">
        <f>IF(ISERROR(MATCH(MASTER!B760,'Peoplesoft Classlist'!$B:$B,0)),MASTER!B760,0)</f>
        <v>0</v>
      </c>
    </row>
    <row r="756" spans="2:8" x14ac:dyDescent="0.25">
      <c r="B756" s="114"/>
      <c r="C756" s="114"/>
      <c r="D756" s="114"/>
      <c r="G756" s="120">
        <f>IF(ISERROR(MATCH(B756,MASTER!$B:$B,0)),B756,0)</f>
        <v>0</v>
      </c>
      <c r="H756" s="120">
        <f>IF(ISERROR(MATCH(MASTER!B761,'Peoplesoft Classlist'!$B:$B,0)),MASTER!B761,0)</f>
        <v>0</v>
      </c>
    </row>
    <row r="757" spans="2:8" x14ac:dyDescent="0.25">
      <c r="B757" s="114"/>
      <c r="C757" s="114"/>
      <c r="D757" s="114"/>
      <c r="G757" s="120">
        <f>IF(ISERROR(MATCH(B757,MASTER!$B:$B,0)),B757,0)</f>
        <v>0</v>
      </c>
      <c r="H757" s="120">
        <f>IF(ISERROR(MATCH(MASTER!B762,'Peoplesoft Classlist'!$B:$B,0)),MASTER!B762,0)</f>
        <v>0</v>
      </c>
    </row>
    <row r="758" spans="2:8" x14ac:dyDescent="0.25">
      <c r="B758" s="114"/>
      <c r="C758" s="114"/>
      <c r="D758" s="114"/>
      <c r="G758" s="120">
        <f>IF(ISERROR(MATCH(B758,MASTER!$B:$B,0)),B758,0)</f>
        <v>0</v>
      </c>
      <c r="H758" s="120">
        <f>IF(ISERROR(MATCH(MASTER!B763,'Peoplesoft Classlist'!$B:$B,0)),MASTER!B763,0)</f>
        <v>0</v>
      </c>
    </row>
    <row r="759" spans="2:8" x14ac:dyDescent="0.25">
      <c r="B759" s="114"/>
      <c r="C759" s="114"/>
      <c r="D759" s="114"/>
      <c r="G759" s="120">
        <f>IF(ISERROR(MATCH(B759,MASTER!$B:$B,0)),B759,0)</f>
        <v>0</v>
      </c>
      <c r="H759" s="120">
        <f>IF(ISERROR(MATCH(MASTER!B764,'Peoplesoft Classlist'!$B:$B,0)),MASTER!B764,0)</f>
        <v>0</v>
      </c>
    </row>
    <row r="760" spans="2:8" x14ac:dyDescent="0.25">
      <c r="B760" s="114"/>
      <c r="C760" s="114"/>
      <c r="D760" s="114"/>
      <c r="G760" s="120">
        <f>IF(ISERROR(MATCH(B760,MASTER!$B:$B,0)),B760,0)</f>
        <v>0</v>
      </c>
      <c r="H760" s="120">
        <f>IF(ISERROR(MATCH(MASTER!B765,'Peoplesoft Classlist'!$B:$B,0)),MASTER!B765,0)</f>
        <v>0</v>
      </c>
    </row>
    <row r="761" spans="2:8" x14ac:dyDescent="0.25">
      <c r="B761" s="114"/>
      <c r="C761" s="114"/>
      <c r="D761" s="114"/>
      <c r="G761" s="120">
        <f>IF(ISERROR(MATCH(B761,MASTER!$B:$B,0)),B761,0)</f>
        <v>0</v>
      </c>
      <c r="H761" s="120">
        <f>IF(ISERROR(MATCH(MASTER!B766,'Peoplesoft Classlist'!$B:$B,0)),MASTER!B766,0)</f>
        <v>0</v>
      </c>
    </row>
    <row r="762" spans="2:8" x14ac:dyDescent="0.25">
      <c r="B762" s="114"/>
      <c r="C762" s="114"/>
      <c r="D762" s="114"/>
      <c r="G762" s="120">
        <f>IF(ISERROR(MATCH(B762,MASTER!$B:$B,0)),B762,0)</f>
        <v>0</v>
      </c>
      <c r="H762" s="120">
        <f>IF(ISERROR(MATCH(MASTER!B767,'Peoplesoft Classlist'!$B:$B,0)),MASTER!B767,0)</f>
        <v>0</v>
      </c>
    </row>
    <row r="763" spans="2:8" x14ac:dyDescent="0.25">
      <c r="B763" s="114"/>
      <c r="C763" s="114"/>
      <c r="D763" s="114"/>
      <c r="G763" s="120">
        <f>IF(ISERROR(MATCH(B763,MASTER!$B:$B,0)),B763,0)</f>
        <v>0</v>
      </c>
      <c r="H763" s="120">
        <f>IF(ISERROR(MATCH(MASTER!B768,'Peoplesoft Classlist'!$B:$B,0)),MASTER!B768,0)</f>
        <v>0</v>
      </c>
    </row>
    <row r="764" spans="2:8" x14ac:dyDescent="0.25">
      <c r="B764" s="114"/>
      <c r="C764" s="114"/>
      <c r="D764" s="114"/>
      <c r="G764" s="120">
        <f>IF(ISERROR(MATCH(B764,MASTER!$B:$B,0)),B764,0)</f>
        <v>0</v>
      </c>
      <c r="H764" s="120">
        <f>IF(ISERROR(MATCH(MASTER!B769,'Peoplesoft Classlist'!$B:$B,0)),MASTER!B769,0)</f>
        <v>0</v>
      </c>
    </row>
    <row r="765" spans="2:8" x14ac:dyDescent="0.25">
      <c r="B765" s="114"/>
      <c r="C765" s="114"/>
      <c r="D765" s="114"/>
      <c r="G765" s="120">
        <f>IF(ISERROR(MATCH(B765,MASTER!$B:$B,0)),B765,0)</f>
        <v>0</v>
      </c>
      <c r="H765" s="120">
        <f>IF(ISERROR(MATCH(MASTER!B770,'Peoplesoft Classlist'!$B:$B,0)),MASTER!B770,0)</f>
        <v>0</v>
      </c>
    </row>
    <row r="766" spans="2:8" x14ac:dyDescent="0.25">
      <c r="B766" s="114"/>
      <c r="C766" s="114"/>
      <c r="D766" s="114"/>
      <c r="G766" s="120">
        <f>IF(ISERROR(MATCH(B766,MASTER!$B:$B,0)),B766,0)</f>
        <v>0</v>
      </c>
      <c r="H766" s="120">
        <f>IF(ISERROR(MATCH(MASTER!B771,'Peoplesoft Classlist'!$B:$B,0)),MASTER!B771,0)</f>
        <v>0</v>
      </c>
    </row>
    <row r="767" spans="2:8" x14ac:dyDescent="0.25">
      <c r="B767" s="114"/>
      <c r="C767" s="114"/>
      <c r="D767" s="114"/>
      <c r="G767" s="120">
        <f>IF(ISERROR(MATCH(B767,MASTER!$B:$B,0)),B767,0)</f>
        <v>0</v>
      </c>
      <c r="H767" s="120">
        <f>IF(ISERROR(MATCH(MASTER!B772,'Peoplesoft Classlist'!$B:$B,0)),MASTER!B772,0)</f>
        <v>0</v>
      </c>
    </row>
    <row r="768" spans="2:8" x14ac:dyDescent="0.25">
      <c r="B768" s="114"/>
      <c r="C768" s="114"/>
      <c r="D768" s="114"/>
      <c r="G768" s="120">
        <f>IF(ISERROR(MATCH(B768,MASTER!$B:$B,0)),B768,0)</f>
        <v>0</v>
      </c>
      <c r="H768" s="120">
        <f>IF(ISERROR(MATCH(MASTER!B773,'Peoplesoft Classlist'!$B:$B,0)),MASTER!B773,0)</f>
        <v>0</v>
      </c>
    </row>
    <row r="769" spans="2:8" x14ac:dyDescent="0.25">
      <c r="B769" s="114"/>
      <c r="C769" s="114"/>
      <c r="D769" s="114"/>
      <c r="G769" s="120">
        <f>IF(ISERROR(MATCH(B769,MASTER!$B:$B,0)),B769,0)</f>
        <v>0</v>
      </c>
      <c r="H769" s="120">
        <f>IF(ISERROR(MATCH(MASTER!B774,'Peoplesoft Classlist'!$B:$B,0)),MASTER!B774,0)</f>
        <v>0</v>
      </c>
    </row>
    <row r="770" spans="2:8" x14ac:dyDescent="0.25">
      <c r="B770" s="114"/>
      <c r="C770" s="114"/>
      <c r="D770" s="114"/>
      <c r="G770" s="120">
        <f>IF(ISERROR(MATCH(B770,MASTER!$B:$B,0)),B770,0)</f>
        <v>0</v>
      </c>
      <c r="H770" s="120">
        <f>IF(ISERROR(MATCH(MASTER!B775,'Peoplesoft Classlist'!$B:$B,0)),MASTER!B775,0)</f>
        <v>0</v>
      </c>
    </row>
    <row r="771" spans="2:8" x14ac:dyDescent="0.25">
      <c r="B771" s="114"/>
      <c r="C771" s="114"/>
      <c r="D771" s="114"/>
      <c r="G771" s="120">
        <f>IF(ISERROR(MATCH(B771,MASTER!$B:$B,0)),B771,0)</f>
        <v>0</v>
      </c>
      <c r="H771" s="120">
        <f>IF(ISERROR(MATCH(MASTER!B776,'Peoplesoft Classlist'!$B:$B,0)),MASTER!B776,0)</f>
        <v>0</v>
      </c>
    </row>
    <row r="772" spans="2:8" x14ac:dyDescent="0.25">
      <c r="B772" s="114"/>
      <c r="C772" s="114"/>
      <c r="D772" s="114"/>
      <c r="G772" s="120">
        <f>IF(ISERROR(MATCH(B772,MASTER!$B:$B,0)),B772,0)</f>
        <v>0</v>
      </c>
      <c r="H772" s="120">
        <f>IF(ISERROR(MATCH(MASTER!B777,'Peoplesoft Classlist'!$B:$B,0)),MASTER!B777,0)</f>
        <v>0</v>
      </c>
    </row>
    <row r="773" spans="2:8" x14ac:dyDescent="0.25">
      <c r="B773" s="114"/>
      <c r="C773" s="114"/>
      <c r="D773" s="114"/>
      <c r="G773" s="120">
        <f>IF(ISERROR(MATCH(B773,MASTER!$B:$B,0)),B773,0)</f>
        <v>0</v>
      </c>
      <c r="H773" s="120">
        <f>IF(ISERROR(MATCH(MASTER!B778,'Peoplesoft Classlist'!$B:$B,0)),MASTER!B778,0)</f>
        <v>0</v>
      </c>
    </row>
    <row r="774" spans="2:8" x14ac:dyDescent="0.25">
      <c r="B774" s="114"/>
      <c r="C774" s="114"/>
      <c r="D774" s="114"/>
      <c r="G774" s="120">
        <f>IF(ISERROR(MATCH(B774,MASTER!$B:$B,0)),B774,0)</f>
        <v>0</v>
      </c>
      <c r="H774" s="120">
        <f>IF(ISERROR(MATCH(MASTER!B779,'Peoplesoft Classlist'!$B:$B,0)),MASTER!B779,0)</f>
        <v>0</v>
      </c>
    </row>
    <row r="775" spans="2:8" x14ac:dyDescent="0.25">
      <c r="B775" s="114"/>
      <c r="C775" s="114"/>
      <c r="D775" s="114"/>
      <c r="G775" s="120">
        <f>IF(ISERROR(MATCH(B775,MASTER!$B:$B,0)),B775,0)</f>
        <v>0</v>
      </c>
      <c r="H775" s="120">
        <f>IF(ISERROR(MATCH(MASTER!B780,'Peoplesoft Classlist'!$B:$B,0)),MASTER!B780,0)</f>
        <v>0</v>
      </c>
    </row>
    <row r="776" spans="2:8" x14ac:dyDescent="0.25">
      <c r="B776" s="114"/>
      <c r="C776" s="114"/>
      <c r="D776" s="114"/>
      <c r="G776" s="120">
        <f>IF(ISERROR(MATCH(B776,MASTER!$B:$B,0)),B776,0)</f>
        <v>0</v>
      </c>
      <c r="H776" s="120">
        <f>IF(ISERROR(MATCH(MASTER!B781,'Peoplesoft Classlist'!$B:$B,0)),MASTER!B781,0)</f>
        <v>0</v>
      </c>
    </row>
    <row r="777" spans="2:8" x14ac:dyDescent="0.25">
      <c r="B777" s="114"/>
      <c r="C777" s="114"/>
      <c r="D777" s="114"/>
      <c r="G777" s="120">
        <f>IF(ISERROR(MATCH(B777,MASTER!$B:$B,0)),B777,0)</f>
        <v>0</v>
      </c>
      <c r="H777" s="120">
        <f>IF(ISERROR(MATCH(MASTER!B782,'Peoplesoft Classlist'!$B:$B,0)),MASTER!B782,0)</f>
        <v>0</v>
      </c>
    </row>
    <row r="778" spans="2:8" x14ac:dyDescent="0.25">
      <c r="B778" s="114"/>
      <c r="C778" s="114"/>
      <c r="D778" s="114"/>
      <c r="G778" s="120">
        <f>IF(ISERROR(MATCH(B778,MASTER!$B:$B,0)),B778,0)</f>
        <v>0</v>
      </c>
      <c r="H778" s="120">
        <f>IF(ISERROR(MATCH(MASTER!B783,'Peoplesoft Classlist'!$B:$B,0)),MASTER!B783,0)</f>
        <v>0</v>
      </c>
    </row>
    <row r="779" spans="2:8" x14ac:dyDescent="0.25">
      <c r="B779" s="114"/>
      <c r="C779" s="114"/>
      <c r="D779" s="114"/>
      <c r="G779" s="120">
        <f>IF(ISERROR(MATCH(B779,MASTER!$B:$B,0)),B779,0)</f>
        <v>0</v>
      </c>
      <c r="H779" s="120">
        <f>IF(ISERROR(MATCH(MASTER!B784,'Peoplesoft Classlist'!$B:$B,0)),MASTER!B784,0)</f>
        <v>0</v>
      </c>
    </row>
    <row r="780" spans="2:8" x14ac:dyDescent="0.25">
      <c r="B780" s="114"/>
      <c r="C780" s="114"/>
      <c r="D780" s="114"/>
      <c r="G780" s="120">
        <f>IF(ISERROR(MATCH(B780,MASTER!$B:$B,0)),B780,0)</f>
        <v>0</v>
      </c>
      <c r="H780" s="120">
        <f>IF(ISERROR(MATCH(MASTER!B785,'Peoplesoft Classlist'!$B:$B,0)),MASTER!B785,0)</f>
        <v>0</v>
      </c>
    </row>
    <row r="781" spans="2:8" x14ac:dyDescent="0.25">
      <c r="B781" s="114"/>
      <c r="C781" s="114"/>
      <c r="D781" s="114"/>
      <c r="G781" s="120">
        <f>IF(ISERROR(MATCH(B781,MASTER!$B:$B,0)),B781,0)</f>
        <v>0</v>
      </c>
      <c r="H781" s="120">
        <f>IF(ISERROR(MATCH(MASTER!B786,'Peoplesoft Classlist'!$B:$B,0)),MASTER!B786,0)</f>
        <v>0</v>
      </c>
    </row>
    <row r="782" spans="2:8" x14ac:dyDescent="0.25">
      <c r="B782" s="114"/>
      <c r="C782" s="114"/>
      <c r="D782" s="114"/>
      <c r="G782" s="120">
        <f>IF(ISERROR(MATCH(B782,MASTER!$B:$B,0)),B782,0)</f>
        <v>0</v>
      </c>
      <c r="H782" s="120">
        <f>IF(ISERROR(MATCH(MASTER!B787,'Peoplesoft Classlist'!$B:$B,0)),MASTER!B787,0)</f>
        <v>0</v>
      </c>
    </row>
    <row r="783" spans="2:8" x14ac:dyDescent="0.25">
      <c r="B783" s="114"/>
      <c r="C783" s="114"/>
      <c r="D783" s="114"/>
      <c r="G783" s="120">
        <f>IF(ISERROR(MATCH(B783,MASTER!$B:$B,0)),B783,0)</f>
        <v>0</v>
      </c>
      <c r="H783" s="120">
        <f>IF(ISERROR(MATCH(MASTER!B788,'Peoplesoft Classlist'!$B:$B,0)),MASTER!B788,0)</f>
        <v>0</v>
      </c>
    </row>
    <row r="784" spans="2:8" x14ac:dyDescent="0.25">
      <c r="B784" s="114"/>
      <c r="C784" s="114"/>
      <c r="D784" s="114"/>
      <c r="G784" s="120">
        <f>IF(ISERROR(MATCH(B784,MASTER!$B:$B,0)),B784,0)</f>
        <v>0</v>
      </c>
      <c r="H784" s="120">
        <f>IF(ISERROR(MATCH(MASTER!B789,'Peoplesoft Classlist'!$B:$B,0)),MASTER!B789,0)</f>
        <v>0</v>
      </c>
    </row>
    <row r="785" spans="2:8" x14ac:dyDescent="0.25">
      <c r="B785" s="114"/>
      <c r="C785" s="114"/>
      <c r="D785" s="114"/>
      <c r="G785" s="120">
        <f>IF(ISERROR(MATCH(B785,MASTER!$B:$B,0)),B785,0)</f>
        <v>0</v>
      </c>
      <c r="H785" s="120">
        <f>IF(ISERROR(MATCH(MASTER!B790,'Peoplesoft Classlist'!$B:$B,0)),MASTER!B790,0)</f>
        <v>0</v>
      </c>
    </row>
    <row r="786" spans="2:8" x14ac:dyDescent="0.25">
      <c r="B786" s="114"/>
      <c r="C786" s="114"/>
      <c r="D786" s="114"/>
      <c r="G786" s="120">
        <f>IF(ISERROR(MATCH(B786,MASTER!$B:$B,0)),B786,0)</f>
        <v>0</v>
      </c>
      <c r="H786" s="120">
        <f>IF(ISERROR(MATCH(MASTER!B791,'Peoplesoft Classlist'!$B:$B,0)),MASTER!B791,0)</f>
        <v>0</v>
      </c>
    </row>
    <row r="787" spans="2:8" x14ac:dyDescent="0.25">
      <c r="B787" s="114"/>
      <c r="C787" s="114"/>
      <c r="D787" s="114"/>
      <c r="G787" s="120">
        <f>IF(ISERROR(MATCH(B787,MASTER!$B:$B,0)),B787,0)</f>
        <v>0</v>
      </c>
      <c r="H787" s="120">
        <f>IF(ISERROR(MATCH(MASTER!B792,'Peoplesoft Classlist'!$B:$B,0)),MASTER!B792,0)</f>
        <v>0</v>
      </c>
    </row>
    <row r="788" spans="2:8" x14ac:dyDescent="0.25">
      <c r="B788" s="114"/>
      <c r="C788" s="114"/>
      <c r="D788" s="114"/>
      <c r="G788" s="120">
        <f>IF(ISERROR(MATCH(B788,MASTER!$B:$B,0)),B788,0)</f>
        <v>0</v>
      </c>
      <c r="H788" s="120">
        <f>IF(ISERROR(MATCH(MASTER!B793,'Peoplesoft Classlist'!$B:$B,0)),MASTER!B793,0)</f>
        <v>0</v>
      </c>
    </row>
    <row r="789" spans="2:8" x14ac:dyDescent="0.25">
      <c r="B789" s="114"/>
      <c r="C789" s="114"/>
      <c r="D789" s="114"/>
      <c r="G789" s="120">
        <f>IF(ISERROR(MATCH(B789,MASTER!$B:$B,0)),B789,0)</f>
        <v>0</v>
      </c>
      <c r="H789" s="120">
        <f>IF(ISERROR(MATCH(MASTER!B794,'Peoplesoft Classlist'!$B:$B,0)),MASTER!B794,0)</f>
        <v>0</v>
      </c>
    </row>
    <row r="790" spans="2:8" x14ac:dyDescent="0.25">
      <c r="B790" s="114"/>
      <c r="C790" s="114"/>
      <c r="D790" s="114"/>
      <c r="G790" s="120">
        <f>IF(ISERROR(MATCH(B790,MASTER!$B:$B,0)),B790,0)</f>
        <v>0</v>
      </c>
      <c r="H790" s="120">
        <f>IF(ISERROR(MATCH(MASTER!B795,'Peoplesoft Classlist'!$B:$B,0)),MASTER!B795,0)</f>
        <v>0</v>
      </c>
    </row>
    <row r="791" spans="2:8" x14ac:dyDescent="0.25">
      <c r="B791" s="114"/>
      <c r="C791" s="114"/>
      <c r="D791" s="114"/>
      <c r="G791" s="120">
        <f>IF(ISERROR(MATCH(B791,MASTER!$B:$B,0)),B791,0)</f>
        <v>0</v>
      </c>
      <c r="H791" s="120">
        <f>IF(ISERROR(MATCH(MASTER!B796,'Peoplesoft Classlist'!$B:$B,0)),MASTER!B796,0)</f>
        <v>0</v>
      </c>
    </row>
    <row r="792" spans="2:8" x14ac:dyDescent="0.25">
      <c r="B792" s="114"/>
      <c r="C792" s="114"/>
      <c r="D792" s="114"/>
      <c r="G792" s="120">
        <f>IF(ISERROR(MATCH(B792,MASTER!$B:$B,0)),B792,0)</f>
        <v>0</v>
      </c>
      <c r="H792" s="120">
        <f>IF(ISERROR(MATCH(MASTER!B797,'Peoplesoft Classlist'!$B:$B,0)),MASTER!B797,0)</f>
        <v>0</v>
      </c>
    </row>
    <row r="793" spans="2:8" x14ac:dyDescent="0.25">
      <c r="B793" s="114"/>
      <c r="C793" s="114"/>
      <c r="D793" s="114"/>
      <c r="G793" s="120">
        <f>IF(ISERROR(MATCH(B793,MASTER!$B:$B,0)),B793,0)</f>
        <v>0</v>
      </c>
      <c r="H793" s="120">
        <f>IF(ISERROR(MATCH(MASTER!B798,'Peoplesoft Classlist'!$B:$B,0)),MASTER!B798,0)</f>
        <v>0</v>
      </c>
    </row>
    <row r="794" spans="2:8" x14ac:dyDescent="0.25">
      <c r="B794" s="114"/>
      <c r="C794" s="114"/>
      <c r="D794" s="114"/>
      <c r="G794" s="120">
        <f>IF(ISERROR(MATCH(B794,MASTER!$B:$B,0)),B794,0)</f>
        <v>0</v>
      </c>
      <c r="H794" s="120">
        <f>IF(ISERROR(MATCH(MASTER!B799,'Peoplesoft Classlist'!$B:$B,0)),MASTER!B799,0)</f>
        <v>0</v>
      </c>
    </row>
    <row r="795" spans="2:8" x14ac:dyDescent="0.25">
      <c r="B795" s="114"/>
      <c r="C795" s="114"/>
      <c r="D795" s="114"/>
      <c r="G795" s="120">
        <f>IF(ISERROR(MATCH(B795,MASTER!$B:$B,0)),B795,0)</f>
        <v>0</v>
      </c>
      <c r="H795" s="120">
        <f>IF(ISERROR(MATCH(MASTER!B800,'Peoplesoft Classlist'!$B:$B,0)),MASTER!B800,0)</f>
        <v>0</v>
      </c>
    </row>
    <row r="796" spans="2:8" x14ac:dyDescent="0.25">
      <c r="B796" s="114"/>
      <c r="C796" s="114"/>
      <c r="D796" s="114"/>
      <c r="G796" s="120">
        <f>IF(ISERROR(MATCH(B796,MASTER!$B:$B,0)),B796,0)</f>
        <v>0</v>
      </c>
      <c r="H796" s="120">
        <f>IF(ISERROR(MATCH(MASTER!B801,'Peoplesoft Classlist'!$B:$B,0)),MASTER!B801,0)</f>
        <v>0</v>
      </c>
    </row>
    <row r="797" spans="2:8" x14ac:dyDescent="0.25">
      <c r="B797" s="114"/>
      <c r="C797" s="114"/>
      <c r="D797" s="114"/>
      <c r="G797" s="120">
        <f>IF(ISERROR(MATCH(B797,MASTER!$B:$B,0)),B797,0)</f>
        <v>0</v>
      </c>
      <c r="H797" s="120">
        <f>IF(ISERROR(MATCH(MASTER!B802,'Peoplesoft Classlist'!$B:$B,0)),MASTER!B802,0)</f>
        <v>0</v>
      </c>
    </row>
    <row r="798" spans="2:8" x14ac:dyDescent="0.25">
      <c r="B798" s="114"/>
      <c r="C798" s="114"/>
      <c r="D798" s="114"/>
      <c r="G798" s="120">
        <f>IF(ISERROR(MATCH(B798,MASTER!$B:$B,0)),B798,0)</f>
        <v>0</v>
      </c>
      <c r="H798" s="120">
        <f>IF(ISERROR(MATCH(MASTER!B803,'Peoplesoft Classlist'!$B:$B,0)),MASTER!B803,0)</f>
        <v>0</v>
      </c>
    </row>
    <row r="799" spans="2:8" x14ac:dyDescent="0.25">
      <c r="B799" s="114"/>
      <c r="C799" s="114"/>
      <c r="D799" s="114"/>
      <c r="G799" s="120">
        <f>IF(ISERROR(MATCH(B799,MASTER!$B:$B,0)),B799,0)</f>
        <v>0</v>
      </c>
      <c r="H799" s="120">
        <f>IF(ISERROR(MATCH(MASTER!B804,'Peoplesoft Classlist'!$B:$B,0)),MASTER!B804,0)</f>
        <v>0</v>
      </c>
    </row>
    <row r="800" spans="2:8" x14ac:dyDescent="0.25">
      <c r="B800" s="114"/>
      <c r="C800" s="114"/>
      <c r="D800" s="114"/>
      <c r="G800" s="120">
        <f>IF(ISERROR(MATCH(B800,MASTER!$B:$B,0)),B800,0)</f>
        <v>0</v>
      </c>
      <c r="H800" s="120">
        <f>IF(ISERROR(MATCH(MASTER!B805,'Peoplesoft Classlist'!$B:$B,0)),MASTER!B805,0)</f>
        <v>0</v>
      </c>
    </row>
    <row r="801" spans="2:8" x14ac:dyDescent="0.25">
      <c r="B801" s="114"/>
      <c r="C801" s="114"/>
      <c r="D801" s="114"/>
      <c r="G801" s="120">
        <f>IF(ISERROR(MATCH(B801,MASTER!$B:$B,0)),B801,0)</f>
        <v>0</v>
      </c>
      <c r="H801" s="120">
        <f>IF(ISERROR(MATCH(MASTER!B806,'Peoplesoft Classlist'!$B:$B,0)),MASTER!B806,0)</f>
        <v>0</v>
      </c>
    </row>
    <row r="802" spans="2:8" x14ac:dyDescent="0.25">
      <c r="B802" s="114"/>
      <c r="C802" s="114"/>
      <c r="D802" s="114"/>
      <c r="G802" s="120">
        <f>IF(ISERROR(MATCH(B802,MASTER!$B:$B,0)),B802,0)</f>
        <v>0</v>
      </c>
      <c r="H802" s="120">
        <f>IF(ISERROR(MATCH(MASTER!B807,'Peoplesoft Classlist'!$B:$B,0)),MASTER!B807,0)</f>
        <v>0</v>
      </c>
    </row>
    <row r="803" spans="2:8" x14ac:dyDescent="0.25">
      <c r="B803" s="114"/>
      <c r="C803" s="114"/>
      <c r="D803" s="114"/>
      <c r="G803" s="120">
        <f>IF(ISERROR(MATCH(B803,MASTER!$B:$B,0)),B803,0)</f>
        <v>0</v>
      </c>
      <c r="H803" s="120">
        <f>IF(ISERROR(MATCH(MASTER!B808,'Peoplesoft Classlist'!$B:$B,0)),MASTER!B808,0)</f>
        <v>0</v>
      </c>
    </row>
    <row r="804" spans="2:8" x14ac:dyDescent="0.25">
      <c r="B804" s="114"/>
      <c r="C804" s="114"/>
      <c r="D804" s="114"/>
      <c r="G804" s="120">
        <f>IF(ISERROR(MATCH(B804,MASTER!$B:$B,0)),B804,0)</f>
        <v>0</v>
      </c>
      <c r="H804" s="120">
        <f>IF(ISERROR(MATCH(MASTER!B809,'Peoplesoft Classlist'!$B:$B,0)),MASTER!B809,0)</f>
        <v>0</v>
      </c>
    </row>
    <row r="805" spans="2:8" x14ac:dyDescent="0.25">
      <c r="B805" s="114"/>
      <c r="C805" s="114"/>
      <c r="D805" s="114"/>
      <c r="G805" s="120">
        <f>IF(ISERROR(MATCH(B805,MASTER!$B:$B,0)),B805,0)</f>
        <v>0</v>
      </c>
      <c r="H805" s="120">
        <f>IF(ISERROR(MATCH(MASTER!B810,'Peoplesoft Classlist'!$B:$B,0)),MASTER!B810,0)</f>
        <v>0</v>
      </c>
    </row>
    <row r="806" spans="2:8" x14ac:dyDescent="0.25">
      <c r="B806" s="114"/>
      <c r="C806" s="114"/>
      <c r="D806" s="114"/>
      <c r="G806" s="120">
        <f>IF(ISERROR(MATCH(B806,MASTER!$B:$B,0)),B806,0)</f>
        <v>0</v>
      </c>
      <c r="H806" s="120">
        <f>IF(ISERROR(MATCH(MASTER!B811,'Peoplesoft Classlist'!$B:$B,0)),MASTER!B811,0)</f>
        <v>0</v>
      </c>
    </row>
    <row r="807" spans="2:8" x14ac:dyDescent="0.25">
      <c r="B807" s="114"/>
      <c r="C807" s="114"/>
      <c r="D807" s="114"/>
      <c r="G807" s="120">
        <f>IF(ISERROR(MATCH(B807,MASTER!$B:$B,0)),B807,0)</f>
        <v>0</v>
      </c>
      <c r="H807" s="120">
        <f>IF(ISERROR(MATCH(MASTER!B812,'Peoplesoft Classlist'!$B:$B,0)),MASTER!B812,0)</f>
        <v>0</v>
      </c>
    </row>
    <row r="808" spans="2:8" x14ac:dyDescent="0.25">
      <c r="B808" s="114"/>
      <c r="C808" s="114"/>
      <c r="D808" s="114"/>
      <c r="G808" s="120">
        <f>IF(ISERROR(MATCH(B808,MASTER!$B:$B,0)),B808,0)</f>
        <v>0</v>
      </c>
      <c r="H808" s="120">
        <f>IF(ISERROR(MATCH(MASTER!B813,'Peoplesoft Classlist'!$B:$B,0)),MASTER!B813,0)</f>
        <v>0</v>
      </c>
    </row>
    <row r="809" spans="2:8" x14ac:dyDescent="0.25">
      <c r="B809" s="114"/>
      <c r="C809" s="114"/>
      <c r="D809" s="114"/>
      <c r="G809" s="120">
        <f>IF(ISERROR(MATCH(B809,MASTER!$B:$B,0)),B809,0)</f>
        <v>0</v>
      </c>
      <c r="H809" s="120">
        <f>IF(ISERROR(MATCH(MASTER!B814,'Peoplesoft Classlist'!$B:$B,0)),MASTER!B814,0)</f>
        <v>0</v>
      </c>
    </row>
    <row r="810" spans="2:8" x14ac:dyDescent="0.25">
      <c r="B810" s="114"/>
      <c r="C810" s="114"/>
      <c r="D810" s="114"/>
      <c r="G810" s="120">
        <f>IF(ISERROR(MATCH(B810,MASTER!$B:$B,0)),B810,0)</f>
        <v>0</v>
      </c>
      <c r="H810" s="120">
        <f>IF(ISERROR(MATCH(MASTER!B815,'Peoplesoft Classlist'!$B:$B,0)),MASTER!B815,0)</f>
        <v>0</v>
      </c>
    </row>
    <row r="811" spans="2:8" x14ac:dyDescent="0.25">
      <c r="B811" s="114"/>
      <c r="C811" s="114"/>
      <c r="D811" s="114"/>
      <c r="G811" s="120">
        <f>IF(ISERROR(MATCH(B811,MASTER!$B:$B,0)),B811,0)</f>
        <v>0</v>
      </c>
      <c r="H811" s="120">
        <f>IF(ISERROR(MATCH(MASTER!B816,'Peoplesoft Classlist'!$B:$B,0)),MASTER!B816,0)</f>
        <v>0</v>
      </c>
    </row>
    <row r="812" spans="2:8" x14ac:dyDescent="0.25">
      <c r="B812" s="114"/>
      <c r="C812" s="114"/>
      <c r="D812" s="114"/>
      <c r="G812" s="120">
        <f>IF(ISERROR(MATCH(B812,MASTER!$B:$B,0)),B812,0)</f>
        <v>0</v>
      </c>
      <c r="H812" s="120">
        <f>IF(ISERROR(MATCH(MASTER!B817,'Peoplesoft Classlist'!$B:$B,0)),MASTER!B817,0)</f>
        <v>0</v>
      </c>
    </row>
    <row r="813" spans="2:8" x14ac:dyDescent="0.25">
      <c r="B813" s="114"/>
      <c r="C813" s="114"/>
      <c r="D813" s="114"/>
      <c r="G813" s="120">
        <f>IF(ISERROR(MATCH(B813,MASTER!$B:$B,0)),B813,0)</f>
        <v>0</v>
      </c>
      <c r="H813" s="120">
        <f>IF(ISERROR(MATCH(MASTER!B818,'Peoplesoft Classlist'!$B:$B,0)),MASTER!B818,0)</f>
        <v>0</v>
      </c>
    </row>
    <row r="814" spans="2:8" x14ac:dyDescent="0.25">
      <c r="B814" s="114"/>
      <c r="C814" s="114"/>
      <c r="D814" s="114"/>
      <c r="G814" s="120">
        <f>IF(ISERROR(MATCH(B814,MASTER!$B:$B,0)),B814,0)</f>
        <v>0</v>
      </c>
      <c r="H814" s="120">
        <f>IF(ISERROR(MATCH(MASTER!B819,'Peoplesoft Classlist'!$B:$B,0)),MASTER!B819,0)</f>
        <v>0</v>
      </c>
    </row>
    <row r="815" spans="2:8" x14ac:dyDescent="0.25">
      <c r="B815" s="114"/>
      <c r="C815" s="114"/>
      <c r="D815" s="114"/>
      <c r="G815" s="120">
        <f>IF(ISERROR(MATCH(B815,MASTER!$B:$B,0)),B815,0)</f>
        <v>0</v>
      </c>
      <c r="H815" s="120">
        <f>IF(ISERROR(MATCH(MASTER!B820,'Peoplesoft Classlist'!$B:$B,0)),MASTER!B820,0)</f>
        <v>0</v>
      </c>
    </row>
    <row r="816" spans="2:8" x14ac:dyDescent="0.25">
      <c r="B816" s="114"/>
      <c r="C816" s="114"/>
      <c r="D816" s="114"/>
      <c r="G816" s="120">
        <f>IF(ISERROR(MATCH(B816,MASTER!$B:$B,0)),B816,0)</f>
        <v>0</v>
      </c>
      <c r="H816" s="120">
        <f>IF(ISERROR(MATCH(MASTER!B821,'Peoplesoft Classlist'!$B:$B,0)),MASTER!B821,0)</f>
        <v>0</v>
      </c>
    </row>
    <row r="817" spans="2:8" x14ac:dyDescent="0.25">
      <c r="B817" s="114"/>
      <c r="C817" s="114"/>
      <c r="D817" s="114"/>
      <c r="G817" s="120">
        <f>IF(ISERROR(MATCH(B817,MASTER!$B:$B,0)),B817,0)</f>
        <v>0</v>
      </c>
      <c r="H817" s="120">
        <f>IF(ISERROR(MATCH(MASTER!B822,'Peoplesoft Classlist'!$B:$B,0)),MASTER!B822,0)</f>
        <v>0</v>
      </c>
    </row>
    <row r="818" spans="2:8" x14ac:dyDescent="0.25">
      <c r="B818" s="114"/>
      <c r="C818" s="114"/>
      <c r="D818" s="114"/>
      <c r="G818" s="120">
        <f>IF(ISERROR(MATCH(B818,MASTER!$B:$B,0)),B818,0)</f>
        <v>0</v>
      </c>
      <c r="H818" s="120">
        <f>IF(ISERROR(MATCH(MASTER!B823,'Peoplesoft Classlist'!$B:$B,0)),MASTER!B823,0)</f>
        <v>0</v>
      </c>
    </row>
    <row r="819" spans="2:8" x14ac:dyDescent="0.25">
      <c r="B819" s="114"/>
      <c r="C819" s="114"/>
      <c r="D819" s="114"/>
      <c r="G819" s="120">
        <f>IF(ISERROR(MATCH(B819,MASTER!$B:$B,0)),B819,0)</f>
        <v>0</v>
      </c>
      <c r="H819" s="120">
        <f>IF(ISERROR(MATCH(MASTER!B824,'Peoplesoft Classlist'!$B:$B,0)),MASTER!B824,0)</f>
        <v>0</v>
      </c>
    </row>
    <row r="820" spans="2:8" x14ac:dyDescent="0.25">
      <c r="B820" s="114"/>
      <c r="C820" s="114"/>
      <c r="D820" s="114"/>
      <c r="G820" s="120">
        <f>IF(ISERROR(MATCH(B820,MASTER!$B:$B,0)),B820,0)</f>
        <v>0</v>
      </c>
      <c r="H820" s="120">
        <f>IF(ISERROR(MATCH(MASTER!B825,'Peoplesoft Classlist'!$B:$B,0)),MASTER!B825,0)</f>
        <v>0</v>
      </c>
    </row>
    <row r="821" spans="2:8" x14ac:dyDescent="0.25">
      <c r="B821" s="114"/>
      <c r="C821" s="114"/>
      <c r="D821" s="114"/>
      <c r="G821" s="120">
        <f>IF(ISERROR(MATCH(B821,MASTER!$B:$B,0)),B821,0)</f>
        <v>0</v>
      </c>
      <c r="H821" s="120">
        <f>IF(ISERROR(MATCH(MASTER!B826,'Peoplesoft Classlist'!$B:$B,0)),MASTER!B826,0)</f>
        <v>0</v>
      </c>
    </row>
    <row r="822" spans="2:8" x14ac:dyDescent="0.25">
      <c r="B822" s="114"/>
      <c r="C822" s="114"/>
      <c r="D822" s="114"/>
      <c r="G822" s="120">
        <f>IF(ISERROR(MATCH(B822,MASTER!$B:$B,0)),B822,0)</f>
        <v>0</v>
      </c>
      <c r="H822" s="120">
        <f>IF(ISERROR(MATCH(MASTER!B827,'Peoplesoft Classlist'!$B:$B,0)),MASTER!B827,0)</f>
        <v>0</v>
      </c>
    </row>
    <row r="823" spans="2:8" x14ac:dyDescent="0.25">
      <c r="B823" s="114"/>
      <c r="C823" s="114"/>
      <c r="D823" s="114"/>
      <c r="G823" s="120">
        <f>IF(ISERROR(MATCH(B823,MASTER!$B:$B,0)),B823,0)</f>
        <v>0</v>
      </c>
      <c r="H823" s="120">
        <f>IF(ISERROR(MATCH(MASTER!B828,'Peoplesoft Classlist'!$B:$B,0)),MASTER!B828,0)</f>
        <v>0</v>
      </c>
    </row>
    <row r="824" spans="2:8" x14ac:dyDescent="0.25">
      <c r="B824" s="114"/>
      <c r="C824" s="114"/>
      <c r="D824" s="114"/>
      <c r="G824" s="120">
        <f>IF(ISERROR(MATCH(B824,MASTER!$B:$B,0)),B824,0)</f>
        <v>0</v>
      </c>
      <c r="H824" s="120">
        <f>IF(ISERROR(MATCH(MASTER!B829,'Peoplesoft Classlist'!$B:$B,0)),MASTER!B829,0)</f>
        <v>0</v>
      </c>
    </row>
    <row r="825" spans="2:8" x14ac:dyDescent="0.25">
      <c r="B825" s="114"/>
      <c r="C825" s="114"/>
      <c r="D825" s="114"/>
      <c r="G825" s="120">
        <f>IF(ISERROR(MATCH(B825,MASTER!$B:$B,0)),B825,0)</f>
        <v>0</v>
      </c>
      <c r="H825" s="120">
        <f>IF(ISERROR(MATCH(MASTER!B830,'Peoplesoft Classlist'!$B:$B,0)),MASTER!B830,0)</f>
        <v>0</v>
      </c>
    </row>
    <row r="826" spans="2:8" x14ac:dyDescent="0.25">
      <c r="B826" s="114"/>
      <c r="C826" s="114"/>
      <c r="D826" s="114"/>
      <c r="G826" s="120">
        <f>IF(ISERROR(MATCH(B826,MASTER!$B:$B,0)),B826,0)</f>
        <v>0</v>
      </c>
      <c r="H826" s="120">
        <f>IF(ISERROR(MATCH(MASTER!B831,'Peoplesoft Classlist'!$B:$B,0)),MASTER!B831,0)</f>
        <v>0</v>
      </c>
    </row>
    <row r="827" spans="2:8" x14ac:dyDescent="0.25">
      <c r="B827" s="114"/>
      <c r="C827" s="114"/>
      <c r="D827" s="114"/>
      <c r="G827" s="120">
        <f>IF(ISERROR(MATCH(B827,MASTER!$B:$B,0)),B827,0)</f>
        <v>0</v>
      </c>
      <c r="H827" s="120">
        <f>IF(ISERROR(MATCH(MASTER!B832,'Peoplesoft Classlist'!$B:$B,0)),MASTER!B832,0)</f>
        <v>0</v>
      </c>
    </row>
    <row r="828" spans="2:8" x14ac:dyDescent="0.25">
      <c r="B828" s="114"/>
      <c r="C828" s="114"/>
      <c r="D828" s="114"/>
      <c r="G828" s="120">
        <f>IF(ISERROR(MATCH(B828,MASTER!$B:$B,0)),B828,0)</f>
        <v>0</v>
      </c>
      <c r="H828" s="120">
        <f>IF(ISERROR(MATCH(MASTER!B833,'Peoplesoft Classlist'!$B:$B,0)),MASTER!B833,0)</f>
        <v>0</v>
      </c>
    </row>
    <row r="829" spans="2:8" x14ac:dyDescent="0.25">
      <c r="B829" s="114"/>
      <c r="C829" s="114"/>
      <c r="D829" s="114"/>
      <c r="G829" s="120">
        <f>IF(ISERROR(MATCH(B829,MASTER!$B:$B,0)),B829,0)</f>
        <v>0</v>
      </c>
      <c r="H829" s="120">
        <f>IF(ISERROR(MATCH(MASTER!B834,'Peoplesoft Classlist'!$B:$B,0)),MASTER!B834,0)</f>
        <v>0</v>
      </c>
    </row>
    <row r="830" spans="2:8" x14ac:dyDescent="0.25">
      <c r="B830" s="114"/>
      <c r="C830" s="114"/>
      <c r="D830" s="114"/>
      <c r="G830" s="120">
        <f>IF(ISERROR(MATCH(B830,MASTER!$B:$B,0)),B830,0)</f>
        <v>0</v>
      </c>
      <c r="H830" s="120">
        <f>IF(ISERROR(MATCH(MASTER!B835,'Peoplesoft Classlist'!$B:$B,0)),MASTER!B835,0)</f>
        <v>0</v>
      </c>
    </row>
    <row r="831" spans="2:8" x14ac:dyDescent="0.25">
      <c r="B831" s="114"/>
      <c r="C831" s="114"/>
      <c r="D831" s="114"/>
      <c r="G831" s="120">
        <f>IF(ISERROR(MATCH(B831,MASTER!$B:$B,0)),B831,0)</f>
        <v>0</v>
      </c>
      <c r="H831" s="120">
        <f>IF(ISERROR(MATCH(MASTER!B836,'Peoplesoft Classlist'!$B:$B,0)),MASTER!B836,0)</f>
        <v>0</v>
      </c>
    </row>
    <row r="832" spans="2:8" x14ac:dyDescent="0.25">
      <c r="B832" s="114"/>
      <c r="C832" s="114"/>
      <c r="D832" s="114"/>
      <c r="G832" s="120">
        <f>IF(ISERROR(MATCH(B832,MASTER!$B:$B,0)),B832,0)</f>
        <v>0</v>
      </c>
      <c r="H832" s="120">
        <f>IF(ISERROR(MATCH(MASTER!B837,'Peoplesoft Classlist'!$B:$B,0)),MASTER!B837,0)</f>
        <v>0</v>
      </c>
    </row>
    <row r="833" spans="2:8" x14ac:dyDescent="0.25">
      <c r="B833" s="114"/>
      <c r="C833" s="114"/>
      <c r="D833" s="114"/>
      <c r="G833" s="120">
        <f>IF(ISERROR(MATCH(B833,MASTER!$B:$B,0)),B833,0)</f>
        <v>0</v>
      </c>
      <c r="H833" s="120">
        <f>IF(ISERROR(MATCH(MASTER!B838,'Peoplesoft Classlist'!$B:$B,0)),MASTER!B838,0)</f>
        <v>0</v>
      </c>
    </row>
    <row r="834" spans="2:8" x14ac:dyDescent="0.25">
      <c r="B834" s="114"/>
      <c r="C834" s="114"/>
      <c r="D834" s="114"/>
      <c r="G834" s="120">
        <f>IF(ISERROR(MATCH(B834,MASTER!$B:$B,0)),B834,0)</f>
        <v>0</v>
      </c>
      <c r="H834" s="120">
        <f>IF(ISERROR(MATCH(MASTER!B839,'Peoplesoft Classlist'!$B:$B,0)),MASTER!B839,0)</f>
        <v>0</v>
      </c>
    </row>
    <row r="835" spans="2:8" x14ac:dyDescent="0.25">
      <c r="B835" s="114"/>
      <c r="C835" s="114"/>
      <c r="D835" s="114"/>
      <c r="G835" s="120">
        <f>IF(ISERROR(MATCH(B835,MASTER!$B:$B,0)),B835,0)</f>
        <v>0</v>
      </c>
      <c r="H835" s="120">
        <f>IF(ISERROR(MATCH(MASTER!B840,'Peoplesoft Classlist'!$B:$B,0)),MASTER!B840,0)</f>
        <v>0</v>
      </c>
    </row>
    <row r="836" spans="2:8" x14ac:dyDescent="0.25">
      <c r="B836" s="114"/>
      <c r="C836" s="114"/>
      <c r="D836" s="114"/>
      <c r="G836" s="120">
        <f>IF(ISERROR(MATCH(B836,MASTER!$B:$B,0)),B836,0)</f>
        <v>0</v>
      </c>
      <c r="H836" s="120">
        <f>IF(ISERROR(MATCH(MASTER!B841,'Peoplesoft Classlist'!$B:$B,0)),MASTER!B841,0)</f>
        <v>0</v>
      </c>
    </row>
    <row r="837" spans="2:8" x14ac:dyDescent="0.25">
      <c r="B837" s="114"/>
      <c r="C837" s="114"/>
      <c r="D837" s="114"/>
      <c r="G837" s="120">
        <f>IF(ISERROR(MATCH(B837,MASTER!$B:$B,0)),B837,0)</f>
        <v>0</v>
      </c>
      <c r="H837" s="120">
        <f>IF(ISERROR(MATCH(MASTER!B842,'Peoplesoft Classlist'!$B:$B,0)),MASTER!B842,0)</f>
        <v>0</v>
      </c>
    </row>
    <row r="838" spans="2:8" x14ac:dyDescent="0.25">
      <c r="B838" s="114"/>
      <c r="C838" s="114"/>
      <c r="D838" s="114"/>
      <c r="G838" s="120">
        <f>IF(ISERROR(MATCH(B838,MASTER!$B:$B,0)),B838,0)</f>
        <v>0</v>
      </c>
      <c r="H838" s="120">
        <f>IF(ISERROR(MATCH(MASTER!B843,'Peoplesoft Classlist'!$B:$B,0)),MASTER!B843,0)</f>
        <v>0</v>
      </c>
    </row>
    <row r="839" spans="2:8" x14ac:dyDescent="0.25">
      <c r="B839" s="114"/>
      <c r="C839" s="114"/>
      <c r="D839" s="114"/>
      <c r="G839" s="120">
        <f>IF(ISERROR(MATCH(B839,MASTER!$B:$B,0)),B839,0)</f>
        <v>0</v>
      </c>
      <c r="H839" s="120">
        <f>IF(ISERROR(MATCH(MASTER!B844,'Peoplesoft Classlist'!$B:$B,0)),MASTER!B844,0)</f>
        <v>0</v>
      </c>
    </row>
    <row r="840" spans="2:8" x14ac:dyDescent="0.25">
      <c r="B840" s="114"/>
      <c r="C840" s="114"/>
      <c r="D840" s="114"/>
      <c r="G840" s="120">
        <f>IF(ISERROR(MATCH(B840,MASTER!$B:$B,0)),B840,0)</f>
        <v>0</v>
      </c>
      <c r="H840" s="120">
        <f>IF(ISERROR(MATCH(MASTER!B845,'Peoplesoft Classlist'!$B:$B,0)),MASTER!B845,0)</f>
        <v>0</v>
      </c>
    </row>
    <row r="841" spans="2:8" x14ac:dyDescent="0.25">
      <c r="B841" s="114"/>
      <c r="C841" s="114"/>
      <c r="D841" s="114"/>
      <c r="G841" s="120">
        <f>IF(ISERROR(MATCH(B841,MASTER!$B:$B,0)),B841,0)</f>
        <v>0</v>
      </c>
      <c r="H841" s="120">
        <f>IF(ISERROR(MATCH(MASTER!B846,'Peoplesoft Classlist'!$B:$B,0)),MASTER!B846,0)</f>
        <v>0</v>
      </c>
    </row>
    <row r="842" spans="2:8" x14ac:dyDescent="0.25">
      <c r="B842" s="114"/>
      <c r="C842" s="114"/>
      <c r="D842" s="114"/>
      <c r="G842" s="120">
        <f>IF(ISERROR(MATCH(B842,MASTER!$B:$B,0)),B842,0)</f>
        <v>0</v>
      </c>
      <c r="H842" s="120">
        <f>IF(ISERROR(MATCH(MASTER!B847,'Peoplesoft Classlist'!$B:$B,0)),MASTER!B847,0)</f>
        <v>0</v>
      </c>
    </row>
    <row r="843" spans="2:8" x14ac:dyDescent="0.25">
      <c r="B843" s="114"/>
      <c r="C843" s="114"/>
      <c r="D843" s="114"/>
      <c r="G843" s="120">
        <f>IF(ISERROR(MATCH(B843,MASTER!$B:$B,0)),B843,0)</f>
        <v>0</v>
      </c>
      <c r="H843" s="120">
        <f>IF(ISERROR(MATCH(MASTER!B848,'Peoplesoft Classlist'!$B:$B,0)),MASTER!B848,0)</f>
        <v>0</v>
      </c>
    </row>
    <row r="844" spans="2:8" x14ac:dyDescent="0.25">
      <c r="B844" s="114"/>
      <c r="C844" s="114"/>
      <c r="D844" s="114"/>
      <c r="G844" s="120">
        <f>IF(ISERROR(MATCH(B844,MASTER!$B:$B,0)),B844,0)</f>
        <v>0</v>
      </c>
      <c r="H844" s="120">
        <f>IF(ISERROR(MATCH(MASTER!B849,'Peoplesoft Classlist'!$B:$B,0)),MASTER!B849,0)</f>
        <v>0</v>
      </c>
    </row>
    <row r="845" spans="2:8" x14ac:dyDescent="0.25">
      <c r="B845" s="114"/>
      <c r="C845" s="114"/>
      <c r="D845" s="114"/>
      <c r="G845" s="120">
        <f>IF(ISERROR(MATCH(B845,MASTER!$B:$B,0)),B845,0)</f>
        <v>0</v>
      </c>
      <c r="H845" s="120">
        <f>IF(ISERROR(MATCH(MASTER!B850,'Peoplesoft Classlist'!$B:$B,0)),MASTER!B850,0)</f>
        <v>0</v>
      </c>
    </row>
    <row r="846" spans="2:8" x14ac:dyDescent="0.25">
      <c r="B846" s="114"/>
      <c r="C846" s="114"/>
      <c r="D846" s="114"/>
      <c r="G846" s="120">
        <f>IF(ISERROR(MATCH(B846,MASTER!$B:$B,0)),B846,0)</f>
        <v>0</v>
      </c>
      <c r="H846" s="120">
        <f>IF(ISERROR(MATCH(MASTER!B851,'Peoplesoft Classlist'!$B:$B,0)),MASTER!B851,0)</f>
        <v>0</v>
      </c>
    </row>
    <row r="847" spans="2:8" x14ac:dyDescent="0.25">
      <c r="B847" s="114"/>
      <c r="C847" s="114"/>
      <c r="D847" s="114"/>
      <c r="G847" s="120">
        <f>IF(ISERROR(MATCH(B847,MASTER!$B:$B,0)),B847,0)</f>
        <v>0</v>
      </c>
      <c r="H847" s="120">
        <f>IF(ISERROR(MATCH(MASTER!B852,'Peoplesoft Classlist'!$B:$B,0)),MASTER!B852,0)</f>
        <v>0</v>
      </c>
    </row>
    <row r="848" spans="2:8" x14ac:dyDescent="0.25">
      <c r="B848" s="114"/>
      <c r="C848" s="114"/>
      <c r="D848" s="114"/>
      <c r="G848" s="120">
        <f>IF(ISERROR(MATCH(B848,MASTER!$B:$B,0)),B848,0)</f>
        <v>0</v>
      </c>
      <c r="H848" s="120">
        <f>IF(ISERROR(MATCH(MASTER!B853,'Peoplesoft Classlist'!$B:$B,0)),MASTER!B853,0)</f>
        <v>0</v>
      </c>
    </row>
    <row r="849" spans="2:8" x14ac:dyDescent="0.25">
      <c r="B849" s="114"/>
      <c r="C849" s="114"/>
      <c r="D849" s="114"/>
      <c r="G849" s="120">
        <f>IF(ISERROR(MATCH(B849,MASTER!$B:$B,0)),B849,0)</f>
        <v>0</v>
      </c>
      <c r="H849" s="120">
        <f>IF(ISERROR(MATCH(MASTER!B854,'Peoplesoft Classlist'!$B:$B,0)),MASTER!B854,0)</f>
        <v>0</v>
      </c>
    </row>
    <row r="850" spans="2:8" x14ac:dyDescent="0.25">
      <c r="B850" s="114"/>
      <c r="C850" s="114"/>
      <c r="D850" s="114"/>
      <c r="G850" s="120">
        <f>IF(ISERROR(MATCH(B850,MASTER!$B:$B,0)),B850,0)</f>
        <v>0</v>
      </c>
      <c r="H850" s="120">
        <f>IF(ISERROR(MATCH(MASTER!B855,'Peoplesoft Classlist'!$B:$B,0)),MASTER!B855,0)</f>
        <v>0</v>
      </c>
    </row>
    <row r="851" spans="2:8" x14ac:dyDescent="0.25">
      <c r="B851" s="114"/>
      <c r="C851" s="114"/>
      <c r="D851" s="114"/>
      <c r="G851" s="120">
        <f>IF(ISERROR(MATCH(B851,MASTER!$B:$B,0)),B851,0)</f>
        <v>0</v>
      </c>
      <c r="H851" s="120">
        <f>IF(ISERROR(MATCH(MASTER!B856,'Peoplesoft Classlist'!$B:$B,0)),MASTER!B856,0)</f>
        <v>0</v>
      </c>
    </row>
    <row r="852" spans="2:8" x14ac:dyDescent="0.25">
      <c r="B852" s="114"/>
      <c r="C852" s="114"/>
      <c r="D852" s="114"/>
      <c r="G852" s="120">
        <f>IF(ISERROR(MATCH(B852,MASTER!$B:$B,0)),B852,0)</f>
        <v>0</v>
      </c>
      <c r="H852" s="120">
        <f>IF(ISERROR(MATCH(MASTER!B857,'Peoplesoft Classlist'!$B:$B,0)),MASTER!B857,0)</f>
        <v>0</v>
      </c>
    </row>
    <row r="853" spans="2:8" x14ac:dyDescent="0.25">
      <c r="B853" s="114"/>
      <c r="C853" s="114"/>
      <c r="D853" s="114"/>
      <c r="G853" s="120">
        <f>IF(ISERROR(MATCH(B853,MASTER!$B:$B,0)),B853,0)</f>
        <v>0</v>
      </c>
      <c r="H853" s="120">
        <f>IF(ISERROR(MATCH(MASTER!B858,'Peoplesoft Classlist'!$B:$B,0)),MASTER!B858,0)</f>
        <v>0</v>
      </c>
    </row>
    <row r="854" spans="2:8" x14ac:dyDescent="0.25">
      <c r="B854" s="114"/>
      <c r="C854" s="114"/>
      <c r="D854" s="114"/>
      <c r="G854" s="120">
        <f>IF(ISERROR(MATCH(B854,MASTER!$B:$B,0)),B854,0)</f>
        <v>0</v>
      </c>
      <c r="H854" s="120">
        <f>IF(ISERROR(MATCH(MASTER!B859,'Peoplesoft Classlist'!$B:$B,0)),MASTER!B859,0)</f>
        <v>0</v>
      </c>
    </row>
    <row r="855" spans="2:8" x14ac:dyDescent="0.25">
      <c r="B855" s="114"/>
      <c r="C855" s="114"/>
      <c r="D855" s="114"/>
      <c r="G855" s="120">
        <f>IF(ISERROR(MATCH(B855,MASTER!$B:$B,0)),B855,0)</f>
        <v>0</v>
      </c>
      <c r="H855" s="120">
        <f>IF(ISERROR(MATCH(MASTER!B860,'Peoplesoft Classlist'!$B:$B,0)),MASTER!B860,0)</f>
        <v>0</v>
      </c>
    </row>
    <row r="856" spans="2:8" x14ac:dyDescent="0.25">
      <c r="B856" s="114"/>
      <c r="C856" s="114"/>
      <c r="D856" s="114"/>
      <c r="G856" s="120">
        <f>IF(ISERROR(MATCH(B856,MASTER!$B:$B,0)),B856,0)</f>
        <v>0</v>
      </c>
      <c r="H856" s="120">
        <f>IF(ISERROR(MATCH(MASTER!B861,'Peoplesoft Classlist'!$B:$B,0)),MASTER!B861,0)</f>
        <v>0</v>
      </c>
    </row>
    <row r="857" spans="2:8" x14ac:dyDescent="0.25">
      <c r="B857" s="114"/>
      <c r="C857" s="114"/>
      <c r="D857" s="114"/>
      <c r="G857" s="120">
        <f>IF(ISERROR(MATCH(B857,MASTER!$B:$B,0)),B857,0)</f>
        <v>0</v>
      </c>
      <c r="H857" s="120">
        <f>IF(ISERROR(MATCH(MASTER!B862,'Peoplesoft Classlist'!$B:$B,0)),MASTER!B862,0)</f>
        <v>0</v>
      </c>
    </row>
    <row r="858" spans="2:8" x14ac:dyDescent="0.25">
      <c r="B858" s="114"/>
      <c r="C858" s="114"/>
      <c r="D858" s="114"/>
      <c r="G858" s="120">
        <f>IF(ISERROR(MATCH(B858,MASTER!$B:$B,0)),B858,0)</f>
        <v>0</v>
      </c>
      <c r="H858" s="120">
        <f>IF(ISERROR(MATCH(MASTER!B863,'Peoplesoft Classlist'!$B:$B,0)),MASTER!B863,0)</f>
        <v>0</v>
      </c>
    </row>
    <row r="859" spans="2:8" x14ac:dyDescent="0.25">
      <c r="B859" s="114"/>
      <c r="C859" s="114"/>
      <c r="D859" s="114"/>
      <c r="G859" s="120">
        <f>IF(ISERROR(MATCH(B859,MASTER!$B:$B,0)),B859,0)</f>
        <v>0</v>
      </c>
      <c r="H859" s="120">
        <f>IF(ISERROR(MATCH(MASTER!B864,'Peoplesoft Classlist'!$B:$B,0)),MASTER!B864,0)</f>
        <v>0</v>
      </c>
    </row>
    <row r="860" spans="2:8" x14ac:dyDescent="0.25">
      <c r="B860" s="114"/>
      <c r="C860" s="114"/>
      <c r="D860" s="114"/>
      <c r="G860" s="120">
        <f>IF(ISERROR(MATCH(B860,MASTER!$B:$B,0)),B860,0)</f>
        <v>0</v>
      </c>
      <c r="H860" s="120">
        <f>IF(ISERROR(MATCH(MASTER!B865,'Peoplesoft Classlist'!$B:$B,0)),MASTER!B865,0)</f>
        <v>0</v>
      </c>
    </row>
    <row r="861" spans="2:8" x14ac:dyDescent="0.25">
      <c r="B861" s="114"/>
      <c r="C861" s="114"/>
      <c r="D861" s="114"/>
      <c r="G861" s="120">
        <f>IF(ISERROR(MATCH(B861,MASTER!$B:$B,0)),B861,0)</f>
        <v>0</v>
      </c>
      <c r="H861" s="120">
        <f>IF(ISERROR(MATCH(MASTER!B866,'Peoplesoft Classlist'!$B:$B,0)),MASTER!B866,0)</f>
        <v>0</v>
      </c>
    </row>
    <row r="862" spans="2:8" x14ac:dyDescent="0.25">
      <c r="B862" s="114"/>
      <c r="C862" s="114"/>
      <c r="D862" s="114"/>
      <c r="G862" s="120">
        <f>IF(ISERROR(MATCH(B862,MASTER!$B:$B,0)),B862,0)</f>
        <v>0</v>
      </c>
      <c r="H862" s="120">
        <f>IF(ISERROR(MATCH(MASTER!B867,'Peoplesoft Classlist'!$B:$B,0)),MASTER!B867,0)</f>
        <v>0</v>
      </c>
    </row>
    <row r="863" spans="2:8" x14ac:dyDescent="0.25">
      <c r="B863" s="114"/>
      <c r="C863" s="114"/>
      <c r="D863" s="114"/>
      <c r="G863" s="120">
        <f>IF(ISERROR(MATCH(B863,MASTER!$B:$B,0)),B863,0)</f>
        <v>0</v>
      </c>
      <c r="H863" s="120">
        <f>IF(ISERROR(MATCH(MASTER!B868,'Peoplesoft Classlist'!$B:$B,0)),MASTER!B868,0)</f>
        <v>0</v>
      </c>
    </row>
    <row r="864" spans="2:8" x14ac:dyDescent="0.25">
      <c r="B864" s="114"/>
      <c r="C864" s="114"/>
      <c r="D864" s="114"/>
      <c r="G864" s="120">
        <f>IF(ISERROR(MATCH(B864,MASTER!$B:$B,0)),B864,0)</f>
        <v>0</v>
      </c>
      <c r="H864" s="120">
        <f>IF(ISERROR(MATCH(MASTER!B869,'Peoplesoft Classlist'!$B:$B,0)),MASTER!B869,0)</f>
        <v>0</v>
      </c>
    </row>
    <row r="865" spans="2:8" x14ac:dyDescent="0.25">
      <c r="B865" s="114"/>
      <c r="C865" s="114"/>
      <c r="D865" s="114"/>
      <c r="G865" s="120">
        <f>IF(ISERROR(MATCH(B865,MASTER!$B:$B,0)),B865,0)</f>
        <v>0</v>
      </c>
      <c r="H865" s="120">
        <f>IF(ISERROR(MATCH(MASTER!B870,'Peoplesoft Classlist'!$B:$B,0)),MASTER!B870,0)</f>
        <v>0</v>
      </c>
    </row>
    <row r="866" spans="2:8" x14ac:dyDescent="0.25">
      <c r="B866" s="114"/>
      <c r="C866" s="114"/>
      <c r="D866" s="114"/>
      <c r="G866" s="120">
        <f>IF(ISERROR(MATCH(B866,MASTER!$B:$B,0)),B866,0)</f>
        <v>0</v>
      </c>
      <c r="H866" s="120">
        <f>IF(ISERROR(MATCH(MASTER!B871,'Peoplesoft Classlist'!$B:$B,0)),MASTER!B871,0)</f>
        <v>0</v>
      </c>
    </row>
    <row r="867" spans="2:8" x14ac:dyDescent="0.25">
      <c r="B867" s="114"/>
      <c r="C867" s="114"/>
      <c r="D867" s="114"/>
      <c r="G867" s="120">
        <f>IF(ISERROR(MATCH(B867,MASTER!$B:$B,0)),B867,0)</f>
        <v>0</v>
      </c>
      <c r="H867" s="120">
        <f>IF(ISERROR(MATCH(MASTER!B872,'Peoplesoft Classlist'!$B:$B,0)),MASTER!B872,0)</f>
        <v>0</v>
      </c>
    </row>
    <row r="868" spans="2:8" x14ac:dyDescent="0.25">
      <c r="B868" s="114"/>
      <c r="C868" s="114"/>
      <c r="D868" s="114"/>
      <c r="G868" s="120">
        <f>IF(ISERROR(MATCH(B868,MASTER!$B:$B,0)),B868,0)</f>
        <v>0</v>
      </c>
      <c r="H868" s="120">
        <f>IF(ISERROR(MATCH(MASTER!B873,'Peoplesoft Classlist'!$B:$B,0)),MASTER!B873,0)</f>
        <v>0</v>
      </c>
    </row>
    <row r="869" spans="2:8" x14ac:dyDescent="0.25">
      <c r="B869" s="114"/>
      <c r="C869" s="114"/>
      <c r="D869" s="114"/>
      <c r="G869" s="120">
        <f>IF(ISERROR(MATCH(B869,MASTER!$B:$B,0)),B869,0)</f>
        <v>0</v>
      </c>
      <c r="H869" s="120">
        <f>IF(ISERROR(MATCH(MASTER!B874,'Peoplesoft Classlist'!$B:$B,0)),MASTER!B874,0)</f>
        <v>0</v>
      </c>
    </row>
    <row r="870" spans="2:8" x14ac:dyDescent="0.25">
      <c r="B870" s="114"/>
      <c r="C870" s="114"/>
      <c r="D870" s="114"/>
      <c r="G870" s="120">
        <f>IF(ISERROR(MATCH(B870,MASTER!$B:$B,0)),B870,0)</f>
        <v>0</v>
      </c>
      <c r="H870" s="120">
        <f>IF(ISERROR(MATCH(MASTER!B875,'Peoplesoft Classlist'!$B:$B,0)),MASTER!B875,0)</f>
        <v>0</v>
      </c>
    </row>
    <row r="871" spans="2:8" x14ac:dyDescent="0.25">
      <c r="B871" s="114"/>
      <c r="C871" s="114"/>
      <c r="D871" s="114"/>
      <c r="G871" s="120">
        <f>IF(ISERROR(MATCH(B871,MASTER!$B:$B,0)),B871,0)</f>
        <v>0</v>
      </c>
      <c r="H871" s="120">
        <f>IF(ISERROR(MATCH(MASTER!B876,'Peoplesoft Classlist'!$B:$B,0)),MASTER!B876,0)</f>
        <v>0</v>
      </c>
    </row>
    <row r="872" spans="2:8" x14ac:dyDescent="0.25">
      <c r="B872" s="114"/>
      <c r="C872" s="114"/>
      <c r="D872" s="114"/>
      <c r="G872" s="120">
        <f>IF(ISERROR(MATCH(B872,MASTER!$B:$B,0)),B872,0)</f>
        <v>0</v>
      </c>
      <c r="H872" s="120">
        <f>IF(ISERROR(MATCH(MASTER!B877,'Peoplesoft Classlist'!$B:$B,0)),MASTER!B877,0)</f>
        <v>0</v>
      </c>
    </row>
    <row r="873" spans="2:8" x14ac:dyDescent="0.25">
      <c r="B873" s="114"/>
      <c r="C873" s="114"/>
      <c r="D873" s="114"/>
      <c r="G873" s="120">
        <f>IF(ISERROR(MATCH(B873,MASTER!$B:$B,0)),B873,0)</f>
        <v>0</v>
      </c>
      <c r="H873" s="120">
        <f>IF(ISERROR(MATCH(MASTER!B878,'Peoplesoft Classlist'!$B:$B,0)),MASTER!B878,0)</f>
        <v>0</v>
      </c>
    </row>
    <row r="874" spans="2:8" x14ac:dyDescent="0.25">
      <c r="B874" s="114"/>
      <c r="C874" s="114"/>
      <c r="D874" s="114"/>
      <c r="G874" s="120">
        <f>IF(ISERROR(MATCH(B874,MASTER!$B:$B,0)),B874,0)</f>
        <v>0</v>
      </c>
      <c r="H874" s="120">
        <f>IF(ISERROR(MATCH(MASTER!B879,'Peoplesoft Classlist'!$B:$B,0)),MASTER!B879,0)</f>
        <v>0</v>
      </c>
    </row>
    <row r="875" spans="2:8" x14ac:dyDescent="0.25">
      <c r="B875" s="114"/>
      <c r="C875" s="114"/>
      <c r="D875" s="114"/>
      <c r="G875" s="120">
        <f>IF(ISERROR(MATCH(B875,MASTER!$B:$B,0)),B875,0)</f>
        <v>0</v>
      </c>
      <c r="H875" s="120">
        <f>IF(ISERROR(MATCH(MASTER!B880,'Peoplesoft Classlist'!$B:$B,0)),MASTER!B880,0)</f>
        <v>0</v>
      </c>
    </row>
    <row r="876" spans="2:8" x14ac:dyDescent="0.25">
      <c r="B876" s="114"/>
      <c r="C876" s="114"/>
      <c r="D876" s="114"/>
      <c r="G876" s="120">
        <f>IF(ISERROR(MATCH(B876,MASTER!$B:$B,0)),B876,0)</f>
        <v>0</v>
      </c>
      <c r="H876" s="120">
        <f>IF(ISERROR(MATCH(MASTER!B881,'Peoplesoft Classlist'!$B:$B,0)),MASTER!B881,0)</f>
        <v>0</v>
      </c>
    </row>
    <row r="877" spans="2:8" x14ac:dyDescent="0.25">
      <c r="B877" s="114"/>
      <c r="C877" s="114"/>
      <c r="D877" s="114"/>
      <c r="G877" s="120">
        <f>IF(ISERROR(MATCH(B877,MASTER!$B:$B,0)),B877,0)</f>
        <v>0</v>
      </c>
      <c r="H877" s="120">
        <f>IF(ISERROR(MATCH(MASTER!B882,'Peoplesoft Classlist'!$B:$B,0)),MASTER!B882,0)</f>
        <v>0</v>
      </c>
    </row>
    <row r="878" spans="2:8" x14ac:dyDescent="0.25">
      <c r="B878" s="114"/>
      <c r="C878" s="114"/>
      <c r="D878" s="114"/>
      <c r="G878" s="120">
        <f>IF(ISERROR(MATCH(B878,MASTER!$B:$B,0)),B878,0)</f>
        <v>0</v>
      </c>
      <c r="H878" s="120">
        <f>IF(ISERROR(MATCH(MASTER!B883,'Peoplesoft Classlist'!$B:$B,0)),MASTER!B883,0)</f>
        <v>0</v>
      </c>
    </row>
    <row r="879" spans="2:8" x14ac:dyDescent="0.25">
      <c r="B879" s="114"/>
      <c r="C879" s="114"/>
      <c r="D879" s="114"/>
      <c r="G879" s="120">
        <f>IF(ISERROR(MATCH(B879,MASTER!$B:$B,0)),B879,0)</f>
        <v>0</v>
      </c>
      <c r="H879" s="120">
        <f>IF(ISERROR(MATCH(MASTER!B884,'Peoplesoft Classlist'!$B:$B,0)),MASTER!B884,0)</f>
        <v>0</v>
      </c>
    </row>
    <row r="880" spans="2:8" x14ac:dyDescent="0.25">
      <c r="B880" s="114"/>
      <c r="C880" s="114"/>
      <c r="D880" s="114"/>
      <c r="G880" s="120">
        <f>IF(ISERROR(MATCH(B880,MASTER!$B:$B,0)),B880,0)</f>
        <v>0</v>
      </c>
      <c r="H880" s="120">
        <f>IF(ISERROR(MATCH(MASTER!B885,'Peoplesoft Classlist'!$B:$B,0)),MASTER!B885,0)</f>
        <v>0</v>
      </c>
    </row>
    <row r="881" spans="2:8" x14ac:dyDescent="0.25">
      <c r="B881" s="114"/>
      <c r="C881" s="114"/>
      <c r="D881" s="114"/>
      <c r="G881" s="120">
        <f>IF(ISERROR(MATCH(B881,MASTER!$B:$B,0)),B881,0)</f>
        <v>0</v>
      </c>
      <c r="H881" s="120">
        <f>IF(ISERROR(MATCH(MASTER!B886,'Peoplesoft Classlist'!$B:$B,0)),MASTER!B886,0)</f>
        <v>0</v>
      </c>
    </row>
    <row r="882" spans="2:8" x14ac:dyDescent="0.25">
      <c r="B882" s="114"/>
      <c r="C882" s="114"/>
      <c r="D882" s="114"/>
      <c r="G882" s="120">
        <f>IF(ISERROR(MATCH(B882,MASTER!$B:$B,0)),B882,0)</f>
        <v>0</v>
      </c>
      <c r="H882" s="120">
        <f>IF(ISERROR(MATCH(MASTER!B887,'Peoplesoft Classlist'!$B:$B,0)),MASTER!B887,0)</f>
        <v>0</v>
      </c>
    </row>
    <row r="883" spans="2:8" x14ac:dyDescent="0.25">
      <c r="B883" s="114"/>
      <c r="C883" s="114"/>
      <c r="D883" s="114"/>
      <c r="G883" s="120">
        <f>IF(ISERROR(MATCH(B883,MASTER!$B:$B,0)),B883,0)</f>
        <v>0</v>
      </c>
      <c r="H883" s="120">
        <f>IF(ISERROR(MATCH(MASTER!B888,'Peoplesoft Classlist'!$B:$B,0)),MASTER!B888,0)</f>
        <v>0</v>
      </c>
    </row>
    <row r="884" spans="2:8" x14ac:dyDescent="0.25">
      <c r="B884" s="114"/>
      <c r="C884" s="114"/>
      <c r="D884" s="114"/>
      <c r="G884" s="120">
        <f>IF(ISERROR(MATCH(B884,MASTER!$B:$B,0)),B884,0)</f>
        <v>0</v>
      </c>
      <c r="H884" s="120">
        <f>IF(ISERROR(MATCH(MASTER!B889,'Peoplesoft Classlist'!$B:$B,0)),MASTER!B889,0)</f>
        <v>0</v>
      </c>
    </row>
    <row r="885" spans="2:8" x14ac:dyDescent="0.25">
      <c r="B885" s="114"/>
      <c r="C885" s="114"/>
      <c r="D885" s="114"/>
      <c r="G885" s="120">
        <f>IF(ISERROR(MATCH(B885,MASTER!$B:$B,0)),B885,0)</f>
        <v>0</v>
      </c>
      <c r="H885" s="120">
        <f>IF(ISERROR(MATCH(MASTER!B890,'Peoplesoft Classlist'!$B:$B,0)),MASTER!B890,0)</f>
        <v>0</v>
      </c>
    </row>
    <row r="886" spans="2:8" x14ac:dyDescent="0.25">
      <c r="B886" s="114"/>
      <c r="C886" s="114"/>
      <c r="D886" s="114"/>
      <c r="G886" s="120">
        <f>IF(ISERROR(MATCH(B886,MASTER!$B:$B,0)),B886,0)</f>
        <v>0</v>
      </c>
      <c r="H886" s="120">
        <f>IF(ISERROR(MATCH(MASTER!B891,'Peoplesoft Classlist'!$B:$B,0)),MASTER!B891,0)</f>
        <v>0</v>
      </c>
    </row>
    <row r="887" spans="2:8" x14ac:dyDescent="0.25">
      <c r="B887" s="114"/>
      <c r="C887" s="114"/>
      <c r="D887" s="114"/>
      <c r="G887" s="120">
        <f>IF(ISERROR(MATCH(B887,MASTER!$B:$B,0)),B887,0)</f>
        <v>0</v>
      </c>
      <c r="H887" s="120">
        <f>IF(ISERROR(MATCH(MASTER!B892,'Peoplesoft Classlist'!$B:$B,0)),MASTER!B892,0)</f>
        <v>0</v>
      </c>
    </row>
    <row r="888" spans="2:8" x14ac:dyDescent="0.25">
      <c r="B888" s="114"/>
      <c r="C888" s="114"/>
      <c r="D888" s="114"/>
      <c r="G888" s="120">
        <f>IF(ISERROR(MATCH(B888,MASTER!$B:$B,0)),B888,0)</f>
        <v>0</v>
      </c>
      <c r="H888" s="120">
        <f>IF(ISERROR(MATCH(MASTER!B893,'Peoplesoft Classlist'!$B:$B,0)),MASTER!B893,0)</f>
        <v>0</v>
      </c>
    </row>
    <row r="889" spans="2:8" x14ac:dyDescent="0.25">
      <c r="B889" s="114"/>
      <c r="C889" s="114"/>
      <c r="D889" s="114"/>
      <c r="G889" s="120">
        <f>IF(ISERROR(MATCH(B889,MASTER!$B:$B,0)),B889,0)</f>
        <v>0</v>
      </c>
      <c r="H889" s="120">
        <f>IF(ISERROR(MATCH(MASTER!B894,'Peoplesoft Classlist'!$B:$B,0)),MASTER!B894,0)</f>
        <v>0</v>
      </c>
    </row>
    <row r="890" spans="2:8" x14ac:dyDescent="0.25">
      <c r="B890" s="114"/>
      <c r="C890" s="114"/>
      <c r="D890" s="114"/>
      <c r="G890" s="120">
        <f>IF(ISERROR(MATCH(B890,MASTER!$B:$B,0)),B890,0)</f>
        <v>0</v>
      </c>
      <c r="H890" s="120">
        <f>IF(ISERROR(MATCH(MASTER!B895,'Peoplesoft Classlist'!$B:$B,0)),MASTER!B895,0)</f>
        <v>0</v>
      </c>
    </row>
    <row r="891" spans="2:8" x14ac:dyDescent="0.25">
      <c r="B891" s="114"/>
      <c r="C891" s="114"/>
      <c r="D891" s="114"/>
      <c r="G891" s="120">
        <f>IF(ISERROR(MATCH(B891,MASTER!$B:$B,0)),B891,0)</f>
        <v>0</v>
      </c>
      <c r="H891" s="120">
        <f>IF(ISERROR(MATCH(MASTER!B896,'Peoplesoft Classlist'!$B:$B,0)),MASTER!B896,0)</f>
        <v>0</v>
      </c>
    </row>
    <row r="892" spans="2:8" x14ac:dyDescent="0.25">
      <c r="B892" s="114"/>
      <c r="C892" s="114"/>
      <c r="D892" s="114"/>
      <c r="G892" s="120">
        <f>IF(ISERROR(MATCH(B892,MASTER!$B:$B,0)),B892,0)</f>
        <v>0</v>
      </c>
      <c r="H892" s="120">
        <f>IF(ISERROR(MATCH(MASTER!B897,'Peoplesoft Classlist'!$B:$B,0)),MASTER!B897,0)</f>
        <v>0</v>
      </c>
    </row>
    <row r="893" spans="2:8" x14ac:dyDescent="0.25">
      <c r="B893" s="114"/>
      <c r="C893" s="114"/>
      <c r="D893" s="114"/>
      <c r="G893" s="120">
        <f>IF(ISERROR(MATCH(B893,MASTER!$B:$B,0)),B893,0)</f>
        <v>0</v>
      </c>
      <c r="H893" s="120">
        <f>IF(ISERROR(MATCH(MASTER!B898,'Peoplesoft Classlist'!$B:$B,0)),MASTER!B898,0)</f>
        <v>0</v>
      </c>
    </row>
    <row r="894" spans="2:8" x14ac:dyDescent="0.25">
      <c r="B894" s="114"/>
      <c r="C894" s="114"/>
      <c r="D894" s="114"/>
      <c r="G894" s="120">
        <f>IF(ISERROR(MATCH(B894,MASTER!$B:$B,0)),B894,0)</f>
        <v>0</v>
      </c>
      <c r="H894" s="120">
        <f>IF(ISERROR(MATCH(MASTER!B899,'Peoplesoft Classlist'!$B:$B,0)),MASTER!B899,0)</f>
        <v>0</v>
      </c>
    </row>
    <row r="895" spans="2:8" x14ac:dyDescent="0.25">
      <c r="B895" s="114"/>
      <c r="C895" s="114"/>
      <c r="D895" s="114"/>
      <c r="G895" s="120">
        <f>IF(ISERROR(MATCH(B895,MASTER!$B:$B,0)),B895,0)</f>
        <v>0</v>
      </c>
      <c r="H895" s="120">
        <f>IF(ISERROR(MATCH(MASTER!B900,'Peoplesoft Classlist'!$B:$B,0)),MASTER!B900,0)</f>
        <v>0</v>
      </c>
    </row>
    <row r="896" spans="2:8" x14ac:dyDescent="0.25">
      <c r="B896" s="114"/>
      <c r="C896" s="114"/>
      <c r="D896" s="114"/>
      <c r="G896" s="120">
        <f>IF(ISERROR(MATCH(B896,MASTER!$B:$B,0)),B896,0)</f>
        <v>0</v>
      </c>
      <c r="H896" s="120">
        <f>IF(ISERROR(MATCH(MASTER!B901,'Peoplesoft Classlist'!$B:$B,0)),MASTER!B901,0)</f>
        <v>0</v>
      </c>
    </row>
    <row r="897" spans="2:8" x14ac:dyDescent="0.25">
      <c r="B897" s="114"/>
      <c r="C897" s="114"/>
      <c r="D897" s="114"/>
      <c r="G897" s="120">
        <f>IF(ISERROR(MATCH(B897,MASTER!$B:$B,0)),B897,0)</f>
        <v>0</v>
      </c>
      <c r="H897" s="120">
        <f>IF(ISERROR(MATCH(MASTER!B902,'Peoplesoft Classlist'!$B:$B,0)),MASTER!B902,0)</f>
        <v>0</v>
      </c>
    </row>
    <row r="898" spans="2:8" x14ac:dyDescent="0.25">
      <c r="B898" s="114"/>
      <c r="C898" s="114"/>
      <c r="D898" s="114"/>
      <c r="G898" s="120">
        <f>IF(ISERROR(MATCH(B898,MASTER!$B:$B,0)),B898,0)</f>
        <v>0</v>
      </c>
      <c r="H898" s="120">
        <f>IF(ISERROR(MATCH(MASTER!B903,'Peoplesoft Classlist'!$B:$B,0)),MASTER!B903,0)</f>
        <v>0</v>
      </c>
    </row>
    <row r="899" spans="2:8" x14ac:dyDescent="0.25">
      <c r="B899" s="114"/>
      <c r="C899" s="114"/>
      <c r="D899" s="114"/>
      <c r="G899" s="120">
        <f>IF(ISERROR(MATCH(B899,MASTER!$B:$B,0)),B899,0)</f>
        <v>0</v>
      </c>
      <c r="H899" s="120">
        <f>IF(ISERROR(MATCH(MASTER!B904,'Peoplesoft Classlist'!$B:$B,0)),MASTER!B904,0)</f>
        <v>0</v>
      </c>
    </row>
    <row r="900" spans="2:8" x14ac:dyDescent="0.25">
      <c r="B900" s="114"/>
      <c r="C900" s="114"/>
      <c r="D900" s="114"/>
      <c r="G900" s="120">
        <f>IF(ISERROR(MATCH(B900,MASTER!$B:$B,0)),B900,0)</f>
        <v>0</v>
      </c>
      <c r="H900" s="120">
        <f>IF(ISERROR(MATCH(MASTER!B905,'Peoplesoft Classlist'!$B:$B,0)),MASTER!B905,0)</f>
        <v>0</v>
      </c>
    </row>
    <row r="901" spans="2:8" x14ac:dyDescent="0.25">
      <c r="B901" s="114"/>
      <c r="C901" s="114"/>
      <c r="D901" s="114"/>
      <c r="G901" s="120">
        <f>IF(ISERROR(MATCH(B901,MASTER!$B:$B,0)),B901,0)</f>
        <v>0</v>
      </c>
      <c r="H901" s="120">
        <f>IF(ISERROR(MATCH(MASTER!B906,'Peoplesoft Classlist'!$B:$B,0)),MASTER!B906,0)</f>
        <v>0</v>
      </c>
    </row>
    <row r="902" spans="2:8" x14ac:dyDescent="0.25">
      <c r="B902" s="114"/>
      <c r="C902" s="114"/>
      <c r="D902" s="114"/>
      <c r="G902" s="120">
        <f>IF(ISERROR(MATCH(B902,MASTER!$B:$B,0)),B902,0)</f>
        <v>0</v>
      </c>
      <c r="H902" s="120">
        <f>IF(ISERROR(MATCH(MASTER!B907,'Peoplesoft Classlist'!$B:$B,0)),MASTER!B907,0)</f>
        <v>0</v>
      </c>
    </row>
    <row r="903" spans="2:8" x14ac:dyDescent="0.25">
      <c r="B903" s="114"/>
      <c r="C903" s="114"/>
      <c r="D903" s="114"/>
      <c r="G903" s="120">
        <f>IF(ISERROR(MATCH(B903,MASTER!$B:$B,0)),B903,0)</f>
        <v>0</v>
      </c>
      <c r="H903" s="120">
        <f>IF(ISERROR(MATCH(MASTER!B908,'Peoplesoft Classlist'!$B:$B,0)),MASTER!B908,0)</f>
        <v>0</v>
      </c>
    </row>
    <row r="904" spans="2:8" x14ac:dyDescent="0.25">
      <c r="B904" s="114"/>
      <c r="C904" s="114"/>
      <c r="D904" s="114"/>
      <c r="G904" s="120">
        <f>IF(ISERROR(MATCH(B904,MASTER!$B:$B,0)),B904,0)</f>
        <v>0</v>
      </c>
      <c r="H904" s="120">
        <f>IF(ISERROR(MATCH(MASTER!B909,'Peoplesoft Classlist'!$B:$B,0)),MASTER!B909,0)</f>
        <v>0</v>
      </c>
    </row>
    <row r="905" spans="2:8" x14ac:dyDescent="0.25">
      <c r="B905" s="114"/>
      <c r="C905" s="114"/>
      <c r="D905" s="114"/>
      <c r="G905" s="120">
        <f>IF(ISERROR(MATCH(B905,MASTER!$B:$B,0)),B905,0)</f>
        <v>0</v>
      </c>
      <c r="H905" s="120">
        <f>IF(ISERROR(MATCH(MASTER!B910,'Peoplesoft Classlist'!$B:$B,0)),MASTER!B910,0)</f>
        <v>0</v>
      </c>
    </row>
    <row r="906" spans="2:8" x14ac:dyDescent="0.25">
      <c r="B906" s="114"/>
      <c r="C906" s="114"/>
      <c r="D906" s="114"/>
      <c r="G906" s="120">
        <f>IF(ISERROR(MATCH(B906,MASTER!$B:$B,0)),B906,0)</f>
        <v>0</v>
      </c>
      <c r="H906" s="120">
        <f>IF(ISERROR(MATCH(MASTER!B911,'Peoplesoft Classlist'!$B:$B,0)),MASTER!B911,0)</f>
        <v>0</v>
      </c>
    </row>
    <row r="907" spans="2:8" x14ac:dyDescent="0.25">
      <c r="B907" s="114"/>
      <c r="C907" s="114"/>
      <c r="D907" s="114"/>
      <c r="G907" s="120">
        <f>IF(ISERROR(MATCH(B907,MASTER!$B:$B,0)),B907,0)</f>
        <v>0</v>
      </c>
      <c r="H907" s="120">
        <f>IF(ISERROR(MATCH(MASTER!B912,'Peoplesoft Classlist'!$B:$B,0)),MASTER!B912,0)</f>
        <v>0</v>
      </c>
    </row>
    <row r="908" spans="2:8" x14ac:dyDescent="0.25">
      <c r="B908" s="114"/>
      <c r="C908" s="114"/>
      <c r="D908" s="114"/>
      <c r="G908" s="120">
        <f>IF(ISERROR(MATCH(B908,MASTER!$B:$B,0)),B908,0)</f>
        <v>0</v>
      </c>
      <c r="H908" s="120">
        <f>IF(ISERROR(MATCH(MASTER!B913,'Peoplesoft Classlist'!$B:$B,0)),MASTER!B913,0)</f>
        <v>0</v>
      </c>
    </row>
    <row r="909" spans="2:8" x14ac:dyDescent="0.25">
      <c r="B909" s="114"/>
      <c r="C909" s="114"/>
      <c r="D909" s="114"/>
      <c r="G909" s="120">
        <f>IF(ISERROR(MATCH(B909,MASTER!$B:$B,0)),B909,0)</f>
        <v>0</v>
      </c>
      <c r="H909" s="120">
        <f>IF(ISERROR(MATCH(MASTER!B914,'Peoplesoft Classlist'!$B:$B,0)),MASTER!B914,0)</f>
        <v>0</v>
      </c>
    </row>
    <row r="910" spans="2:8" x14ac:dyDescent="0.25">
      <c r="B910" s="114"/>
      <c r="C910" s="114"/>
      <c r="D910" s="114"/>
      <c r="G910" s="120">
        <f>IF(ISERROR(MATCH(B910,MASTER!$B:$B,0)),B910,0)</f>
        <v>0</v>
      </c>
      <c r="H910" s="120">
        <f>IF(ISERROR(MATCH(MASTER!B915,'Peoplesoft Classlist'!$B:$B,0)),MASTER!B915,0)</f>
        <v>0</v>
      </c>
    </row>
    <row r="911" spans="2:8" x14ac:dyDescent="0.25">
      <c r="B911" s="114"/>
      <c r="C911" s="114"/>
      <c r="D911" s="114"/>
      <c r="G911" s="120">
        <f>IF(ISERROR(MATCH(B911,MASTER!$B:$B,0)),B911,0)</f>
        <v>0</v>
      </c>
      <c r="H911" s="120">
        <f>IF(ISERROR(MATCH(MASTER!B916,'Peoplesoft Classlist'!$B:$B,0)),MASTER!B916,0)</f>
        <v>0</v>
      </c>
    </row>
    <row r="912" spans="2:8" x14ac:dyDescent="0.25">
      <c r="B912" s="114"/>
      <c r="C912" s="114"/>
      <c r="D912" s="114"/>
      <c r="G912" s="120">
        <f>IF(ISERROR(MATCH(B912,MASTER!$B:$B,0)),B912,0)</f>
        <v>0</v>
      </c>
      <c r="H912" s="120">
        <f>IF(ISERROR(MATCH(MASTER!B917,'Peoplesoft Classlist'!$B:$B,0)),MASTER!B917,0)</f>
        <v>0</v>
      </c>
    </row>
    <row r="913" spans="2:8" x14ac:dyDescent="0.25">
      <c r="B913" s="114"/>
      <c r="C913" s="114"/>
      <c r="D913" s="114"/>
      <c r="G913" s="120">
        <f>IF(ISERROR(MATCH(B913,MASTER!$B:$B,0)),B913,0)</f>
        <v>0</v>
      </c>
      <c r="H913" s="120">
        <f>IF(ISERROR(MATCH(MASTER!B918,'Peoplesoft Classlist'!$B:$B,0)),MASTER!B918,0)</f>
        <v>0</v>
      </c>
    </row>
    <row r="914" spans="2:8" x14ac:dyDescent="0.25">
      <c r="B914" s="114"/>
      <c r="C914" s="114"/>
      <c r="D914" s="114"/>
      <c r="G914" s="120">
        <f>IF(ISERROR(MATCH(B914,MASTER!$B:$B,0)),B914,0)</f>
        <v>0</v>
      </c>
      <c r="H914" s="120">
        <f>IF(ISERROR(MATCH(MASTER!B919,'Peoplesoft Classlist'!$B:$B,0)),MASTER!B919,0)</f>
        <v>0</v>
      </c>
    </row>
    <row r="915" spans="2:8" x14ac:dyDescent="0.25">
      <c r="B915" s="114"/>
      <c r="C915" s="114"/>
      <c r="D915" s="114"/>
      <c r="G915" s="120">
        <f>IF(ISERROR(MATCH(B915,MASTER!$B:$B,0)),B915,0)</f>
        <v>0</v>
      </c>
      <c r="H915" s="120">
        <f>IF(ISERROR(MATCH(MASTER!B920,'Peoplesoft Classlist'!$B:$B,0)),MASTER!B920,0)</f>
        <v>0</v>
      </c>
    </row>
    <row r="916" spans="2:8" x14ac:dyDescent="0.25">
      <c r="B916" s="114"/>
      <c r="C916" s="114"/>
      <c r="D916" s="114"/>
      <c r="G916" s="120">
        <f>IF(ISERROR(MATCH(B916,MASTER!$B:$B,0)),B916,0)</f>
        <v>0</v>
      </c>
      <c r="H916" s="120">
        <f>IF(ISERROR(MATCH(MASTER!B921,'Peoplesoft Classlist'!$B:$B,0)),MASTER!B921,0)</f>
        <v>0</v>
      </c>
    </row>
    <row r="917" spans="2:8" x14ac:dyDescent="0.25">
      <c r="B917" s="114"/>
      <c r="C917" s="114"/>
      <c r="D917" s="114"/>
      <c r="G917" s="120">
        <f>IF(ISERROR(MATCH(B917,MASTER!$B:$B,0)),B917,0)</f>
        <v>0</v>
      </c>
      <c r="H917" s="120">
        <f>IF(ISERROR(MATCH(MASTER!B922,'Peoplesoft Classlist'!$B:$B,0)),MASTER!B922,0)</f>
        <v>0</v>
      </c>
    </row>
    <row r="918" spans="2:8" x14ac:dyDescent="0.25">
      <c r="B918" s="114"/>
      <c r="C918" s="114"/>
      <c r="D918" s="114"/>
      <c r="G918" s="120">
        <f>IF(ISERROR(MATCH(B918,MASTER!$B:$B,0)),B918,0)</f>
        <v>0</v>
      </c>
      <c r="H918" s="120">
        <f>IF(ISERROR(MATCH(MASTER!B923,'Peoplesoft Classlist'!$B:$B,0)),MASTER!B923,0)</f>
        <v>0</v>
      </c>
    </row>
    <row r="919" spans="2:8" x14ac:dyDescent="0.25">
      <c r="B919" s="114"/>
      <c r="C919" s="114"/>
      <c r="D919" s="114"/>
      <c r="G919" s="120">
        <f>IF(ISERROR(MATCH(B919,MASTER!$B:$B,0)),B919,0)</f>
        <v>0</v>
      </c>
      <c r="H919" s="120">
        <f>IF(ISERROR(MATCH(MASTER!B924,'Peoplesoft Classlist'!$B:$B,0)),MASTER!B924,0)</f>
        <v>0</v>
      </c>
    </row>
    <row r="920" spans="2:8" x14ac:dyDescent="0.25">
      <c r="B920" s="114"/>
      <c r="C920" s="114"/>
      <c r="D920" s="114"/>
      <c r="G920" s="120">
        <f>IF(ISERROR(MATCH(B920,MASTER!$B:$B,0)),B920,0)</f>
        <v>0</v>
      </c>
      <c r="H920" s="120">
        <f>IF(ISERROR(MATCH(MASTER!B925,'Peoplesoft Classlist'!$B:$B,0)),MASTER!B925,0)</f>
        <v>0</v>
      </c>
    </row>
    <row r="921" spans="2:8" x14ac:dyDescent="0.25">
      <c r="B921" s="114"/>
      <c r="C921" s="114"/>
      <c r="D921" s="114"/>
      <c r="G921" s="120">
        <f>IF(ISERROR(MATCH(B921,MASTER!$B:$B,0)),B921,0)</f>
        <v>0</v>
      </c>
      <c r="H921" s="120">
        <f>IF(ISERROR(MATCH(MASTER!B926,'Peoplesoft Classlist'!$B:$B,0)),MASTER!B926,0)</f>
        <v>0</v>
      </c>
    </row>
    <row r="922" spans="2:8" x14ac:dyDescent="0.25">
      <c r="B922" s="114"/>
      <c r="C922" s="114"/>
      <c r="D922" s="114"/>
      <c r="G922" s="120">
        <f>IF(ISERROR(MATCH(B922,MASTER!$B:$B,0)),B922,0)</f>
        <v>0</v>
      </c>
      <c r="H922" s="120">
        <f>IF(ISERROR(MATCH(MASTER!B927,'Peoplesoft Classlist'!$B:$B,0)),MASTER!B927,0)</f>
        <v>0</v>
      </c>
    </row>
    <row r="923" spans="2:8" x14ac:dyDescent="0.25">
      <c r="B923" s="114"/>
      <c r="C923" s="114"/>
      <c r="D923" s="114"/>
      <c r="G923" s="120">
        <f>IF(ISERROR(MATCH(B923,MASTER!$B:$B,0)),B923,0)</f>
        <v>0</v>
      </c>
      <c r="H923" s="120">
        <f>IF(ISERROR(MATCH(MASTER!B928,'Peoplesoft Classlist'!$B:$B,0)),MASTER!B928,0)</f>
        <v>0</v>
      </c>
    </row>
    <row r="924" spans="2:8" x14ac:dyDescent="0.25">
      <c r="B924" s="114"/>
      <c r="C924" s="114"/>
      <c r="D924" s="114"/>
      <c r="G924" s="120">
        <f>IF(ISERROR(MATCH(B924,MASTER!$B:$B,0)),B924,0)</f>
        <v>0</v>
      </c>
      <c r="H924" s="120">
        <f>IF(ISERROR(MATCH(MASTER!B929,'Peoplesoft Classlist'!$B:$B,0)),MASTER!B929,0)</f>
        <v>0</v>
      </c>
    </row>
    <row r="925" spans="2:8" x14ac:dyDescent="0.25">
      <c r="B925" s="114"/>
      <c r="C925" s="114"/>
      <c r="D925" s="114"/>
      <c r="G925" s="120">
        <f>IF(ISERROR(MATCH(B925,MASTER!$B:$B,0)),B925,0)</f>
        <v>0</v>
      </c>
      <c r="H925" s="120">
        <f>IF(ISERROR(MATCH(MASTER!B930,'Peoplesoft Classlist'!$B:$B,0)),MASTER!B930,0)</f>
        <v>0</v>
      </c>
    </row>
    <row r="926" spans="2:8" x14ac:dyDescent="0.25">
      <c r="B926" s="114"/>
      <c r="C926" s="114"/>
      <c r="D926" s="114"/>
      <c r="G926" s="120">
        <f>IF(ISERROR(MATCH(B926,MASTER!$B:$B,0)),B926,0)</f>
        <v>0</v>
      </c>
      <c r="H926" s="120">
        <f>IF(ISERROR(MATCH(MASTER!B931,'Peoplesoft Classlist'!$B:$B,0)),MASTER!B931,0)</f>
        <v>0</v>
      </c>
    </row>
    <row r="927" spans="2:8" x14ac:dyDescent="0.25">
      <c r="B927" s="114"/>
      <c r="C927" s="114"/>
      <c r="D927" s="114"/>
      <c r="G927" s="120">
        <f>IF(ISERROR(MATCH(B927,MASTER!$B:$B,0)),B927,0)</f>
        <v>0</v>
      </c>
      <c r="H927" s="120">
        <f>IF(ISERROR(MATCH(MASTER!B932,'Peoplesoft Classlist'!$B:$B,0)),MASTER!B932,0)</f>
        <v>0</v>
      </c>
    </row>
    <row r="928" spans="2:8" x14ac:dyDescent="0.25">
      <c r="B928" s="114"/>
      <c r="C928" s="114"/>
      <c r="D928" s="114"/>
      <c r="G928" s="120">
        <f>IF(ISERROR(MATCH(B928,MASTER!$B:$B,0)),B928,0)</f>
        <v>0</v>
      </c>
      <c r="H928" s="120">
        <f>IF(ISERROR(MATCH(MASTER!B933,'Peoplesoft Classlist'!$B:$B,0)),MASTER!B933,0)</f>
        <v>0</v>
      </c>
    </row>
    <row r="929" spans="2:8" x14ac:dyDescent="0.25">
      <c r="B929" s="114"/>
      <c r="C929" s="114"/>
      <c r="D929" s="114"/>
      <c r="G929" s="120">
        <f>IF(ISERROR(MATCH(B929,MASTER!$B:$B,0)),B929,0)</f>
        <v>0</v>
      </c>
      <c r="H929" s="120">
        <f>IF(ISERROR(MATCH(MASTER!B934,'Peoplesoft Classlist'!$B:$B,0)),MASTER!B934,0)</f>
        <v>0</v>
      </c>
    </row>
    <row r="930" spans="2:8" x14ac:dyDescent="0.25">
      <c r="B930" s="114"/>
      <c r="C930" s="114"/>
      <c r="D930" s="114"/>
      <c r="G930" s="120">
        <f>IF(ISERROR(MATCH(B930,MASTER!$B:$B,0)),B930,0)</f>
        <v>0</v>
      </c>
      <c r="H930" s="120">
        <f>IF(ISERROR(MATCH(MASTER!B935,'Peoplesoft Classlist'!$B:$B,0)),MASTER!B935,0)</f>
        <v>0</v>
      </c>
    </row>
    <row r="931" spans="2:8" x14ac:dyDescent="0.25">
      <c r="B931" s="114"/>
      <c r="C931" s="114"/>
      <c r="D931" s="114"/>
      <c r="G931" s="120">
        <f>IF(ISERROR(MATCH(B931,MASTER!$B:$B,0)),B931,0)</f>
        <v>0</v>
      </c>
      <c r="H931" s="120">
        <f>IF(ISERROR(MATCH(MASTER!B936,'Peoplesoft Classlist'!$B:$B,0)),MASTER!B936,0)</f>
        <v>0</v>
      </c>
    </row>
    <row r="932" spans="2:8" x14ac:dyDescent="0.25">
      <c r="B932" s="114"/>
      <c r="C932" s="114"/>
      <c r="D932" s="114"/>
      <c r="G932" s="120">
        <f>IF(ISERROR(MATCH(B932,MASTER!$B:$B,0)),B932,0)</f>
        <v>0</v>
      </c>
      <c r="H932" s="120">
        <f>IF(ISERROR(MATCH(MASTER!B937,'Peoplesoft Classlist'!$B:$B,0)),MASTER!B937,0)</f>
        <v>0</v>
      </c>
    </row>
    <row r="933" spans="2:8" x14ac:dyDescent="0.25">
      <c r="B933" s="114"/>
      <c r="C933" s="114"/>
      <c r="D933" s="114"/>
      <c r="G933" s="120">
        <f>IF(ISERROR(MATCH(B933,MASTER!$B:$B,0)),B933,0)</f>
        <v>0</v>
      </c>
      <c r="H933" s="120">
        <f>IF(ISERROR(MATCH(MASTER!B938,'Peoplesoft Classlist'!$B:$B,0)),MASTER!B938,0)</f>
        <v>0</v>
      </c>
    </row>
    <row r="934" spans="2:8" x14ac:dyDescent="0.25">
      <c r="B934" s="114"/>
      <c r="C934" s="114"/>
      <c r="D934" s="114"/>
      <c r="G934" s="120">
        <f>IF(ISERROR(MATCH(B934,MASTER!$B:$B,0)),B934,0)</f>
        <v>0</v>
      </c>
      <c r="H934" s="120">
        <f>IF(ISERROR(MATCH(MASTER!B939,'Peoplesoft Classlist'!$B:$B,0)),MASTER!B939,0)</f>
        <v>0</v>
      </c>
    </row>
    <row r="935" spans="2:8" x14ac:dyDescent="0.25">
      <c r="B935" s="114"/>
      <c r="C935" s="114"/>
      <c r="D935" s="114"/>
      <c r="G935" s="120">
        <f>IF(ISERROR(MATCH(B935,MASTER!$B:$B,0)),B935,0)</f>
        <v>0</v>
      </c>
      <c r="H935" s="120">
        <f>IF(ISERROR(MATCH(MASTER!B940,'Peoplesoft Classlist'!$B:$B,0)),MASTER!B940,0)</f>
        <v>0</v>
      </c>
    </row>
    <row r="936" spans="2:8" x14ac:dyDescent="0.25">
      <c r="B936" s="114"/>
      <c r="C936" s="114"/>
      <c r="D936" s="114"/>
      <c r="G936" s="120">
        <f>IF(ISERROR(MATCH(B936,MASTER!$B:$B,0)),B936,0)</f>
        <v>0</v>
      </c>
      <c r="H936" s="120">
        <f>IF(ISERROR(MATCH(MASTER!B941,'Peoplesoft Classlist'!$B:$B,0)),MASTER!B941,0)</f>
        <v>0</v>
      </c>
    </row>
    <row r="937" spans="2:8" x14ac:dyDescent="0.25">
      <c r="B937" s="114"/>
      <c r="C937" s="114"/>
      <c r="D937" s="114"/>
      <c r="G937" s="120">
        <f>IF(ISERROR(MATCH(B937,MASTER!$B:$B,0)),B937,0)</f>
        <v>0</v>
      </c>
      <c r="H937" s="120">
        <f>IF(ISERROR(MATCH(MASTER!B942,'Peoplesoft Classlist'!$B:$B,0)),MASTER!B942,0)</f>
        <v>0</v>
      </c>
    </row>
    <row r="938" spans="2:8" x14ac:dyDescent="0.25">
      <c r="B938" s="114"/>
      <c r="C938" s="114"/>
      <c r="D938" s="114"/>
      <c r="G938" s="120">
        <f>IF(ISERROR(MATCH(B938,MASTER!$B:$B,0)),B938,0)</f>
        <v>0</v>
      </c>
      <c r="H938" s="120">
        <f>IF(ISERROR(MATCH(MASTER!B943,'Peoplesoft Classlist'!$B:$B,0)),MASTER!B943,0)</f>
        <v>0</v>
      </c>
    </row>
    <row r="939" spans="2:8" x14ac:dyDescent="0.25">
      <c r="B939" s="114"/>
      <c r="C939" s="114"/>
      <c r="D939" s="114"/>
      <c r="G939" s="120">
        <f>IF(ISERROR(MATCH(B939,MASTER!$B:$B,0)),B939,0)</f>
        <v>0</v>
      </c>
      <c r="H939" s="120">
        <f>IF(ISERROR(MATCH(MASTER!B944,'Peoplesoft Classlist'!$B:$B,0)),MASTER!B944,0)</f>
        <v>0</v>
      </c>
    </row>
    <row r="940" spans="2:8" x14ac:dyDescent="0.25">
      <c r="B940" s="114"/>
      <c r="C940" s="114"/>
      <c r="D940" s="114"/>
      <c r="G940" s="120">
        <f>IF(ISERROR(MATCH(B940,MASTER!$B:$B,0)),B940,0)</f>
        <v>0</v>
      </c>
      <c r="H940" s="120">
        <f>IF(ISERROR(MATCH(MASTER!B945,'Peoplesoft Classlist'!$B:$B,0)),MASTER!B945,0)</f>
        <v>0</v>
      </c>
    </row>
    <row r="941" spans="2:8" x14ac:dyDescent="0.25">
      <c r="B941" s="114"/>
      <c r="C941" s="114"/>
      <c r="D941" s="114"/>
      <c r="G941" s="120">
        <f>IF(ISERROR(MATCH(B941,MASTER!$B:$B,0)),B941,0)</f>
        <v>0</v>
      </c>
      <c r="H941" s="120">
        <f>IF(ISERROR(MATCH(MASTER!B946,'Peoplesoft Classlist'!$B:$B,0)),MASTER!B946,0)</f>
        <v>0</v>
      </c>
    </row>
    <row r="942" spans="2:8" x14ac:dyDescent="0.25">
      <c r="B942" s="114"/>
      <c r="C942" s="114"/>
      <c r="D942" s="114"/>
      <c r="G942" s="120">
        <f>IF(ISERROR(MATCH(B942,MASTER!$B:$B,0)),B942,0)</f>
        <v>0</v>
      </c>
      <c r="H942" s="120">
        <f>IF(ISERROR(MATCH(MASTER!B947,'Peoplesoft Classlist'!$B:$B,0)),MASTER!B947,0)</f>
        <v>0</v>
      </c>
    </row>
    <row r="943" spans="2:8" x14ac:dyDescent="0.25">
      <c r="B943" s="114"/>
      <c r="C943" s="114"/>
      <c r="D943" s="114"/>
      <c r="G943" s="120">
        <f>IF(ISERROR(MATCH(B943,MASTER!$B:$B,0)),B943,0)</f>
        <v>0</v>
      </c>
      <c r="H943" s="120">
        <f>IF(ISERROR(MATCH(MASTER!B948,'Peoplesoft Classlist'!$B:$B,0)),MASTER!B948,0)</f>
        <v>0</v>
      </c>
    </row>
    <row r="944" spans="2:8" x14ac:dyDescent="0.25">
      <c r="B944" s="114"/>
      <c r="C944" s="114"/>
      <c r="D944" s="114"/>
      <c r="G944" s="120">
        <f>IF(ISERROR(MATCH(B944,MASTER!$B:$B,0)),B944,0)</f>
        <v>0</v>
      </c>
      <c r="H944" s="120">
        <f>IF(ISERROR(MATCH(MASTER!B949,'Peoplesoft Classlist'!$B:$B,0)),MASTER!B949,0)</f>
        <v>0</v>
      </c>
    </row>
    <row r="945" spans="2:8" x14ac:dyDescent="0.25">
      <c r="B945" s="114"/>
      <c r="C945" s="114"/>
      <c r="D945" s="114"/>
      <c r="G945" s="120">
        <f>IF(ISERROR(MATCH(B945,MASTER!$B:$B,0)),B945,0)</f>
        <v>0</v>
      </c>
      <c r="H945" s="120">
        <f>IF(ISERROR(MATCH(MASTER!B950,'Peoplesoft Classlist'!$B:$B,0)),MASTER!B950,0)</f>
        <v>0</v>
      </c>
    </row>
    <row r="946" spans="2:8" x14ac:dyDescent="0.25">
      <c r="B946" s="114"/>
      <c r="C946" s="114"/>
      <c r="D946" s="114"/>
      <c r="G946" s="120">
        <f>IF(ISERROR(MATCH(B946,MASTER!$B:$B,0)),B946,0)</f>
        <v>0</v>
      </c>
      <c r="H946" s="120">
        <f>IF(ISERROR(MATCH(MASTER!B951,'Peoplesoft Classlist'!$B:$B,0)),MASTER!B951,0)</f>
        <v>0</v>
      </c>
    </row>
    <row r="947" spans="2:8" x14ac:dyDescent="0.25">
      <c r="B947" s="114"/>
      <c r="C947" s="114"/>
      <c r="D947" s="114"/>
      <c r="G947" s="120">
        <f>IF(ISERROR(MATCH(B947,MASTER!$B:$B,0)),B947,0)</f>
        <v>0</v>
      </c>
      <c r="H947" s="120">
        <f>IF(ISERROR(MATCH(MASTER!B952,'Peoplesoft Classlist'!$B:$B,0)),MASTER!B952,0)</f>
        <v>0</v>
      </c>
    </row>
    <row r="948" spans="2:8" x14ac:dyDescent="0.25">
      <c r="B948" s="114"/>
      <c r="C948" s="114"/>
      <c r="D948" s="114"/>
      <c r="G948" s="120">
        <f>IF(ISERROR(MATCH(B948,MASTER!$B:$B,0)),B948,0)</f>
        <v>0</v>
      </c>
      <c r="H948" s="120">
        <f>IF(ISERROR(MATCH(MASTER!B953,'Peoplesoft Classlist'!$B:$B,0)),MASTER!B953,0)</f>
        <v>0</v>
      </c>
    </row>
    <row r="949" spans="2:8" x14ac:dyDescent="0.25">
      <c r="B949" s="114"/>
      <c r="C949" s="114"/>
      <c r="D949" s="114"/>
      <c r="G949" s="120">
        <f>IF(ISERROR(MATCH(B949,MASTER!$B:$B,0)),B949,0)</f>
        <v>0</v>
      </c>
      <c r="H949" s="120">
        <f>IF(ISERROR(MATCH(MASTER!B954,'Peoplesoft Classlist'!$B:$B,0)),MASTER!B954,0)</f>
        <v>0</v>
      </c>
    </row>
    <row r="950" spans="2:8" x14ac:dyDescent="0.25">
      <c r="B950" s="114"/>
      <c r="C950" s="114"/>
      <c r="D950" s="114"/>
      <c r="G950" s="120">
        <f>IF(ISERROR(MATCH(B950,MASTER!$B:$B,0)),B950,0)</f>
        <v>0</v>
      </c>
      <c r="H950" s="120">
        <f>IF(ISERROR(MATCH(MASTER!B955,'Peoplesoft Classlist'!$B:$B,0)),MASTER!B955,0)</f>
        <v>0</v>
      </c>
    </row>
    <row r="951" spans="2:8" x14ac:dyDescent="0.25">
      <c r="B951" s="114"/>
      <c r="C951" s="114"/>
      <c r="D951" s="114"/>
      <c r="G951" s="120">
        <f>IF(ISERROR(MATCH(B951,MASTER!$B:$B,0)),B951,0)</f>
        <v>0</v>
      </c>
      <c r="H951" s="120">
        <f>IF(ISERROR(MATCH(MASTER!B956,'Peoplesoft Classlist'!$B:$B,0)),MASTER!B956,0)</f>
        <v>0</v>
      </c>
    </row>
    <row r="952" spans="2:8" x14ac:dyDescent="0.25">
      <c r="B952" s="114"/>
      <c r="C952" s="114"/>
      <c r="D952" s="114"/>
      <c r="G952" s="120">
        <f>IF(ISERROR(MATCH(B952,MASTER!$B:$B,0)),B952,0)</f>
        <v>0</v>
      </c>
      <c r="H952" s="120">
        <f>IF(ISERROR(MATCH(MASTER!B957,'Peoplesoft Classlist'!$B:$B,0)),MASTER!B957,0)</f>
        <v>0</v>
      </c>
    </row>
    <row r="953" spans="2:8" x14ac:dyDescent="0.25">
      <c r="B953" s="114"/>
      <c r="C953" s="114"/>
      <c r="D953" s="114"/>
      <c r="G953" s="120">
        <f>IF(ISERROR(MATCH(B953,MASTER!$B:$B,0)),B953,0)</f>
        <v>0</v>
      </c>
      <c r="H953" s="120">
        <f>IF(ISERROR(MATCH(MASTER!B958,'Peoplesoft Classlist'!$B:$B,0)),MASTER!B958,0)</f>
        <v>0</v>
      </c>
    </row>
    <row r="954" spans="2:8" x14ac:dyDescent="0.25">
      <c r="B954" s="114"/>
      <c r="C954" s="114"/>
      <c r="D954" s="114"/>
      <c r="G954" s="120">
        <f>IF(ISERROR(MATCH(B954,MASTER!$B:$B,0)),B954,0)</f>
        <v>0</v>
      </c>
      <c r="H954" s="120">
        <f>IF(ISERROR(MATCH(MASTER!B959,'Peoplesoft Classlist'!$B:$B,0)),MASTER!B959,0)</f>
        <v>0</v>
      </c>
    </row>
    <row r="955" spans="2:8" x14ac:dyDescent="0.25">
      <c r="B955" s="114"/>
      <c r="C955" s="114"/>
      <c r="D955" s="114"/>
      <c r="G955" s="120">
        <f>IF(ISERROR(MATCH(B955,MASTER!$B:$B,0)),B955,0)</f>
        <v>0</v>
      </c>
      <c r="H955" s="120">
        <f>IF(ISERROR(MATCH(MASTER!B960,'Peoplesoft Classlist'!$B:$B,0)),MASTER!B960,0)</f>
        <v>0</v>
      </c>
    </row>
    <row r="956" spans="2:8" x14ac:dyDescent="0.25">
      <c r="B956" s="114"/>
      <c r="C956" s="114"/>
      <c r="D956" s="114"/>
      <c r="G956" s="120">
        <f>IF(ISERROR(MATCH(B956,MASTER!$B:$B,0)),B956,0)</f>
        <v>0</v>
      </c>
      <c r="H956" s="120">
        <f>IF(ISERROR(MATCH(MASTER!B961,'Peoplesoft Classlist'!$B:$B,0)),MASTER!B961,0)</f>
        <v>0</v>
      </c>
    </row>
    <row r="957" spans="2:8" x14ac:dyDescent="0.25">
      <c r="B957" s="114"/>
      <c r="C957" s="114"/>
      <c r="D957" s="114"/>
      <c r="G957" s="120">
        <f>IF(ISERROR(MATCH(B957,MASTER!$B:$B,0)),B957,0)</f>
        <v>0</v>
      </c>
      <c r="H957" s="120">
        <f>IF(ISERROR(MATCH(MASTER!B962,'Peoplesoft Classlist'!$B:$B,0)),MASTER!B962,0)</f>
        <v>0</v>
      </c>
    </row>
    <row r="958" spans="2:8" x14ac:dyDescent="0.25">
      <c r="B958" s="114"/>
      <c r="C958" s="114"/>
      <c r="D958" s="114"/>
      <c r="G958" s="120">
        <f>IF(ISERROR(MATCH(B958,MASTER!$B:$B,0)),B958,0)</f>
        <v>0</v>
      </c>
      <c r="H958" s="120">
        <f>IF(ISERROR(MATCH(MASTER!B963,'Peoplesoft Classlist'!$B:$B,0)),MASTER!B963,0)</f>
        <v>0</v>
      </c>
    </row>
    <row r="959" spans="2:8" x14ac:dyDescent="0.25">
      <c r="B959" s="114"/>
      <c r="C959" s="114"/>
      <c r="D959" s="114"/>
      <c r="G959" s="120">
        <f>IF(ISERROR(MATCH(B959,MASTER!$B:$B,0)),B959,0)</f>
        <v>0</v>
      </c>
      <c r="H959" s="120">
        <f>IF(ISERROR(MATCH(MASTER!B964,'Peoplesoft Classlist'!$B:$B,0)),MASTER!B964,0)</f>
        <v>0</v>
      </c>
    </row>
    <row r="960" spans="2:8" x14ac:dyDescent="0.25">
      <c r="B960" s="114"/>
      <c r="C960" s="114"/>
      <c r="D960" s="114"/>
      <c r="G960" s="120">
        <f>IF(ISERROR(MATCH(B960,MASTER!$B:$B,0)),B960,0)</f>
        <v>0</v>
      </c>
      <c r="H960" s="120">
        <f>IF(ISERROR(MATCH(MASTER!B965,'Peoplesoft Classlist'!$B:$B,0)),MASTER!B965,0)</f>
        <v>0</v>
      </c>
    </row>
    <row r="961" spans="2:8" x14ac:dyDescent="0.25">
      <c r="B961" s="114"/>
      <c r="C961" s="114"/>
      <c r="D961" s="114"/>
      <c r="G961" s="120">
        <f>IF(ISERROR(MATCH(B961,MASTER!$B:$B,0)),B961,0)</f>
        <v>0</v>
      </c>
      <c r="H961" s="120">
        <f>IF(ISERROR(MATCH(MASTER!B966,'Peoplesoft Classlist'!$B:$B,0)),MASTER!B966,0)</f>
        <v>0</v>
      </c>
    </row>
    <row r="962" spans="2:8" x14ac:dyDescent="0.25">
      <c r="B962" s="114"/>
      <c r="C962" s="114"/>
      <c r="D962" s="114"/>
      <c r="G962" s="120">
        <f>IF(ISERROR(MATCH(B962,MASTER!$B:$B,0)),B962,0)</f>
        <v>0</v>
      </c>
      <c r="H962" s="120">
        <f>IF(ISERROR(MATCH(MASTER!B967,'Peoplesoft Classlist'!$B:$B,0)),MASTER!B967,0)</f>
        <v>0</v>
      </c>
    </row>
    <row r="963" spans="2:8" x14ac:dyDescent="0.25">
      <c r="B963" s="114"/>
      <c r="C963" s="114"/>
      <c r="D963" s="114"/>
      <c r="G963" s="120">
        <f>IF(ISERROR(MATCH(B963,MASTER!$B:$B,0)),B963,0)</f>
        <v>0</v>
      </c>
      <c r="H963" s="120">
        <f>IF(ISERROR(MATCH(MASTER!B968,'Peoplesoft Classlist'!$B:$B,0)),MASTER!B968,0)</f>
        <v>0</v>
      </c>
    </row>
    <row r="964" spans="2:8" x14ac:dyDescent="0.25">
      <c r="B964" s="114"/>
      <c r="C964" s="114"/>
      <c r="D964" s="114"/>
      <c r="G964" s="120">
        <f>IF(ISERROR(MATCH(B964,MASTER!$B:$B,0)),B964,0)</f>
        <v>0</v>
      </c>
      <c r="H964" s="120">
        <f>IF(ISERROR(MATCH(MASTER!B969,'Peoplesoft Classlist'!$B:$B,0)),MASTER!B969,0)</f>
        <v>0</v>
      </c>
    </row>
    <row r="965" spans="2:8" x14ac:dyDescent="0.25">
      <c r="B965" s="114"/>
      <c r="C965" s="114"/>
      <c r="D965" s="114"/>
      <c r="G965" s="120">
        <f>IF(ISERROR(MATCH(B965,MASTER!$B:$B,0)),B965,0)</f>
        <v>0</v>
      </c>
      <c r="H965" s="120">
        <f>IF(ISERROR(MATCH(MASTER!B970,'Peoplesoft Classlist'!$B:$B,0)),MASTER!B970,0)</f>
        <v>0</v>
      </c>
    </row>
    <row r="966" spans="2:8" x14ac:dyDescent="0.25">
      <c r="B966" s="114"/>
      <c r="C966" s="114"/>
      <c r="D966" s="114"/>
      <c r="G966" s="120">
        <f>IF(ISERROR(MATCH(B966,MASTER!$B:$B,0)),B966,0)</f>
        <v>0</v>
      </c>
      <c r="H966" s="120">
        <f>IF(ISERROR(MATCH(MASTER!B971,'Peoplesoft Classlist'!$B:$B,0)),MASTER!B971,0)</f>
        <v>0</v>
      </c>
    </row>
    <row r="967" spans="2:8" x14ac:dyDescent="0.25">
      <c r="B967" s="114"/>
      <c r="C967" s="114"/>
      <c r="D967" s="114"/>
      <c r="G967" s="120">
        <f>IF(ISERROR(MATCH(B967,MASTER!$B:$B,0)),B967,0)</f>
        <v>0</v>
      </c>
      <c r="H967" s="120">
        <f>IF(ISERROR(MATCH(MASTER!B972,'Peoplesoft Classlist'!$B:$B,0)),MASTER!B972,0)</f>
        <v>0</v>
      </c>
    </row>
    <row r="968" spans="2:8" x14ac:dyDescent="0.25">
      <c r="B968" s="114"/>
      <c r="C968" s="114"/>
      <c r="D968" s="114"/>
      <c r="G968" s="120">
        <f>IF(ISERROR(MATCH(B968,MASTER!$B:$B,0)),B968,0)</f>
        <v>0</v>
      </c>
      <c r="H968" s="120">
        <f>IF(ISERROR(MATCH(MASTER!B973,'Peoplesoft Classlist'!$B:$B,0)),MASTER!B973,0)</f>
        <v>0</v>
      </c>
    </row>
    <row r="969" spans="2:8" x14ac:dyDescent="0.25">
      <c r="B969" s="114"/>
      <c r="C969" s="114"/>
      <c r="D969" s="114"/>
      <c r="G969" s="120">
        <f>IF(ISERROR(MATCH(B969,MASTER!$B:$B,0)),B969,0)</f>
        <v>0</v>
      </c>
      <c r="H969" s="120">
        <f>IF(ISERROR(MATCH(MASTER!B974,'Peoplesoft Classlist'!$B:$B,0)),MASTER!B974,0)</f>
        <v>0</v>
      </c>
    </row>
    <row r="970" spans="2:8" x14ac:dyDescent="0.25">
      <c r="B970" s="114"/>
      <c r="C970" s="114"/>
      <c r="D970" s="114"/>
      <c r="G970" s="120">
        <f>IF(ISERROR(MATCH(B970,MASTER!$B:$B,0)),B970,0)</f>
        <v>0</v>
      </c>
      <c r="H970" s="120">
        <f>IF(ISERROR(MATCH(MASTER!B975,'Peoplesoft Classlist'!$B:$B,0)),MASTER!B975,0)</f>
        <v>0</v>
      </c>
    </row>
    <row r="971" spans="2:8" x14ac:dyDescent="0.25">
      <c r="B971" s="114"/>
      <c r="C971" s="114"/>
      <c r="D971" s="114"/>
      <c r="G971" s="120">
        <f>IF(ISERROR(MATCH(B971,MASTER!$B:$B,0)),B971,0)</f>
        <v>0</v>
      </c>
      <c r="H971" s="120">
        <f>IF(ISERROR(MATCH(MASTER!B976,'Peoplesoft Classlist'!$B:$B,0)),MASTER!B976,0)</f>
        <v>0</v>
      </c>
    </row>
    <row r="972" spans="2:8" x14ac:dyDescent="0.25">
      <c r="B972" s="114"/>
      <c r="C972" s="114"/>
      <c r="D972" s="114"/>
      <c r="G972" s="120">
        <f>IF(ISERROR(MATCH(B972,MASTER!$B:$B,0)),B972,0)</f>
        <v>0</v>
      </c>
      <c r="H972" s="120">
        <f>IF(ISERROR(MATCH(MASTER!B977,'Peoplesoft Classlist'!$B:$B,0)),MASTER!B977,0)</f>
        <v>0</v>
      </c>
    </row>
    <row r="973" spans="2:8" x14ac:dyDescent="0.25">
      <c r="B973" s="114"/>
      <c r="C973" s="114"/>
      <c r="D973" s="114"/>
      <c r="G973" s="120">
        <f>IF(ISERROR(MATCH(B973,MASTER!$B:$B,0)),B973,0)</f>
        <v>0</v>
      </c>
      <c r="H973" s="120">
        <f>IF(ISERROR(MATCH(MASTER!B978,'Peoplesoft Classlist'!$B:$B,0)),MASTER!B978,0)</f>
        <v>0</v>
      </c>
    </row>
    <row r="974" spans="2:8" x14ac:dyDescent="0.25">
      <c r="B974" s="114"/>
      <c r="C974" s="114"/>
      <c r="D974" s="114"/>
      <c r="G974" s="120">
        <f>IF(ISERROR(MATCH(B974,MASTER!$B:$B,0)),B974,0)</f>
        <v>0</v>
      </c>
      <c r="H974" s="120">
        <f>IF(ISERROR(MATCH(MASTER!B979,'Peoplesoft Classlist'!$B:$B,0)),MASTER!B979,0)</f>
        <v>0</v>
      </c>
    </row>
    <row r="975" spans="2:8" x14ac:dyDescent="0.25">
      <c r="B975" s="114"/>
      <c r="C975" s="114"/>
      <c r="D975" s="114"/>
      <c r="G975" s="120">
        <f>IF(ISERROR(MATCH(B975,MASTER!$B:$B,0)),B975,0)</f>
        <v>0</v>
      </c>
      <c r="H975" s="120">
        <f>IF(ISERROR(MATCH(MASTER!B980,'Peoplesoft Classlist'!$B:$B,0)),MASTER!B980,0)</f>
        <v>0</v>
      </c>
    </row>
    <row r="976" spans="2:8" x14ac:dyDescent="0.25">
      <c r="B976" s="114"/>
      <c r="C976" s="114"/>
      <c r="D976" s="114"/>
      <c r="G976" s="120">
        <f>IF(ISERROR(MATCH(B976,MASTER!$B:$B,0)),B976,0)</f>
        <v>0</v>
      </c>
      <c r="H976" s="120">
        <f>IF(ISERROR(MATCH(MASTER!B981,'Peoplesoft Classlist'!$B:$B,0)),MASTER!B981,0)</f>
        <v>0</v>
      </c>
    </row>
    <row r="977" spans="2:8" x14ac:dyDescent="0.25">
      <c r="B977" s="114"/>
      <c r="C977" s="114"/>
      <c r="D977" s="114"/>
      <c r="G977" s="120">
        <f>IF(ISERROR(MATCH(B977,MASTER!$B:$B,0)),B977,0)</f>
        <v>0</v>
      </c>
      <c r="H977" s="120">
        <f>IF(ISERROR(MATCH(MASTER!B982,'Peoplesoft Classlist'!$B:$B,0)),MASTER!B982,0)</f>
        <v>0</v>
      </c>
    </row>
    <row r="978" spans="2:8" x14ac:dyDescent="0.25">
      <c r="B978" s="114"/>
      <c r="C978" s="114"/>
      <c r="D978" s="114"/>
      <c r="G978" s="120">
        <f>IF(ISERROR(MATCH(B978,MASTER!$B:$B,0)),B978,0)</f>
        <v>0</v>
      </c>
      <c r="H978" s="120">
        <f>IF(ISERROR(MATCH(MASTER!B983,'Peoplesoft Classlist'!$B:$B,0)),MASTER!B983,0)</f>
        <v>0</v>
      </c>
    </row>
    <row r="979" spans="2:8" x14ac:dyDescent="0.25">
      <c r="B979" s="114"/>
      <c r="C979" s="114"/>
      <c r="D979" s="114"/>
      <c r="G979" s="120">
        <f>IF(ISERROR(MATCH(B979,MASTER!$B:$B,0)),B979,0)</f>
        <v>0</v>
      </c>
      <c r="H979" s="120">
        <f>IF(ISERROR(MATCH(MASTER!B984,'Peoplesoft Classlist'!$B:$B,0)),MASTER!B984,0)</f>
        <v>0</v>
      </c>
    </row>
    <row r="980" spans="2:8" x14ac:dyDescent="0.25">
      <c r="B980" s="114"/>
      <c r="C980" s="114"/>
      <c r="D980" s="114"/>
      <c r="G980" s="120">
        <f>IF(ISERROR(MATCH(B980,MASTER!$B:$B,0)),B980,0)</f>
        <v>0</v>
      </c>
      <c r="H980" s="120">
        <f>IF(ISERROR(MATCH(MASTER!B985,'Peoplesoft Classlist'!$B:$B,0)),MASTER!B985,0)</f>
        <v>0</v>
      </c>
    </row>
    <row r="981" spans="2:8" x14ac:dyDescent="0.25">
      <c r="B981" s="114"/>
      <c r="C981" s="114"/>
      <c r="D981" s="114"/>
      <c r="G981" s="120">
        <f>IF(ISERROR(MATCH(B981,MASTER!$B:$B,0)),B981,0)</f>
        <v>0</v>
      </c>
      <c r="H981" s="120">
        <f>IF(ISERROR(MATCH(MASTER!B986,'Peoplesoft Classlist'!$B:$B,0)),MASTER!B986,0)</f>
        <v>0</v>
      </c>
    </row>
    <row r="982" spans="2:8" x14ac:dyDescent="0.25">
      <c r="B982" s="114"/>
      <c r="C982" s="114"/>
      <c r="D982" s="114"/>
      <c r="G982" s="120">
        <f>IF(ISERROR(MATCH(B982,MASTER!$B:$B,0)),B982,0)</f>
        <v>0</v>
      </c>
      <c r="H982" s="120">
        <f>IF(ISERROR(MATCH(MASTER!B987,'Peoplesoft Classlist'!$B:$B,0)),MASTER!B987,0)</f>
        <v>0</v>
      </c>
    </row>
    <row r="983" spans="2:8" x14ac:dyDescent="0.25">
      <c r="B983" s="114"/>
      <c r="C983" s="114"/>
      <c r="D983" s="114"/>
      <c r="G983" s="120">
        <f>IF(ISERROR(MATCH(B983,MASTER!$B:$B,0)),B983,0)</f>
        <v>0</v>
      </c>
      <c r="H983" s="120">
        <f>IF(ISERROR(MATCH(MASTER!B988,'Peoplesoft Classlist'!$B:$B,0)),MASTER!B988,0)</f>
        <v>0</v>
      </c>
    </row>
    <row r="984" spans="2:8" x14ac:dyDescent="0.25">
      <c r="B984" s="114"/>
      <c r="C984" s="114"/>
      <c r="D984" s="114"/>
      <c r="G984" s="120">
        <f>IF(ISERROR(MATCH(B984,MASTER!$B:$B,0)),B984,0)</f>
        <v>0</v>
      </c>
      <c r="H984" s="120">
        <f>IF(ISERROR(MATCH(MASTER!B989,'Peoplesoft Classlist'!$B:$B,0)),MASTER!B989,0)</f>
        <v>0</v>
      </c>
    </row>
    <row r="985" spans="2:8" x14ac:dyDescent="0.25">
      <c r="B985" s="114"/>
      <c r="C985" s="114"/>
      <c r="D985" s="114"/>
      <c r="G985" s="120">
        <f>IF(ISERROR(MATCH(B985,MASTER!$B:$B,0)),B985,0)</f>
        <v>0</v>
      </c>
      <c r="H985" s="120">
        <f>IF(ISERROR(MATCH(MASTER!B990,'Peoplesoft Classlist'!$B:$B,0)),MASTER!B990,0)</f>
        <v>0</v>
      </c>
    </row>
    <row r="986" spans="2:8" x14ac:dyDescent="0.25">
      <c r="B986" s="114"/>
      <c r="C986" s="114"/>
      <c r="D986" s="114"/>
      <c r="G986" s="120">
        <f>IF(ISERROR(MATCH(B986,MASTER!$B:$B,0)),B986,0)</f>
        <v>0</v>
      </c>
      <c r="H986" s="120">
        <f>IF(ISERROR(MATCH(MASTER!B991,'Peoplesoft Classlist'!$B:$B,0)),MASTER!B991,0)</f>
        <v>0</v>
      </c>
    </row>
    <row r="987" spans="2:8" x14ac:dyDescent="0.25">
      <c r="B987" s="114"/>
      <c r="C987" s="114"/>
      <c r="D987" s="114"/>
      <c r="G987" s="120">
        <f>IF(ISERROR(MATCH(B987,MASTER!$B:$B,0)),B987,0)</f>
        <v>0</v>
      </c>
      <c r="H987" s="120">
        <f>IF(ISERROR(MATCH(MASTER!B992,'Peoplesoft Classlist'!$B:$B,0)),MASTER!B992,0)</f>
        <v>0</v>
      </c>
    </row>
    <row r="988" spans="2:8" x14ac:dyDescent="0.25">
      <c r="B988" s="114"/>
      <c r="C988" s="114"/>
      <c r="D988" s="114"/>
      <c r="G988" s="120">
        <f>IF(ISERROR(MATCH(B988,MASTER!$B:$B,0)),B988,0)</f>
        <v>0</v>
      </c>
      <c r="H988" s="120">
        <f>IF(ISERROR(MATCH(MASTER!B993,'Peoplesoft Classlist'!$B:$B,0)),MASTER!B993,0)</f>
        <v>0</v>
      </c>
    </row>
    <row r="989" spans="2:8" x14ac:dyDescent="0.25">
      <c r="B989" s="114"/>
      <c r="C989" s="114"/>
      <c r="D989" s="114"/>
      <c r="G989" s="120">
        <f>IF(ISERROR(MATCH(B989,MASTER!$B:$B,0)),B989,0)</f>
        <v>0</v>
      </c>
      <c r="H989" s="120">
        <f>IF(ISERROR(MATCH(MASTER!B994,'Peoplesoft Classlist'!$B:$B,0)),MASTER!B994,0)</f>
        <v>0</v>
      </c>
    </row>
    <row r="990" spans="2:8" x14ac:dyDescent="0.25">
      <c r="B990" s="114"/>
      <c r="C990" s="114"/>
      <c r="D990" s="114"/>
      <c r="G990" s="120">
        <f>IF(ISERROR(MATCH(B990,MASTER!$B:$B,0)),B990,0)</f>
        <v>0</v>
      </c>
      <c r="H990" s="120">
        <f>IF(ISERROR(MATCH(MASTER!B995,'Peoplesoft Classlist'!$B:$B,0)),MASTER!B995,0)</f>
        <v>0</v>
      </c>
    </row>
    <row r="991" spans="2:8" x14ac:dyDescent="0.25">
      <c r="B991" s="114"/>
      <c r="C991" s="114"/>
      <c r="D991" s="114"/>
      <c r="G991" s="120">
        <f>IF(ISERROR(MATCH(B991,MASTER!$B:$B,0)),B991,0)</f>
        <v>0</v>
      </c>
      <c r="H991" s="120">
        <f>IF(ISERROR(MATCH(MASTER!B996,'Peoplesoft Classlist'!$B:$B,0)),MASTER!B996,0)</f>
        <v>0</v>
      </c>
    </row>
    <row r="992" spans="2:8" x14ac:dyDescent="0.25">
      <c r="B992" s="114"/>
      <c r="C992" s="114"/>
      <c r="D992" s="114"/>
      <c r="G992" s="120">
        <f>IF(ISERROR(MATCH(B992,MASTER!$B:$B,0)),B992,0)</f>
        <v>0</v>
      </c>
      <c r="H992" s="120">
        <f>IF(ISERROR(MATCH(MASTER!B997,'Peoplesoft Classlist'!$B:$B,0)),MASTER!B997,0)</f>
        <v>0</v>
      </c>
    </row>
    <row r="993" spans="2:8" x14ac:dyDescent="0.25">
      <c r="B993" s="114"/>
      <c r="C993" s="114"/>
      <c r="D993" s="114"/>
      <c r="G993" s="120">
        <f>IF(ISERROR(MATCH(B993,MASTER!$B:$B,0)),B993,0)</f>
        <v>0</v>
      </c>
      <c r="H993" s="120">
        <f>IF(ISERROR(MATCH(MASTER!B998,'Peoplesoft Classlist'!$B:$B,0)),MASTER!B998,0)</f>
        <v>0</v>
      </c>
    </row>
    <row r="994" spans="2:8" x14ac:dyDescent="0.25">
      <c r="B994" s="114"/>
      <c r="C994" s="114"/>
      <c r="D994" s="114"/>
      <c r="G994" s="120">
        <f>IF(ISERROR(MATCH(B994,MASTER!$B:$B,0)),B994,0)</f>
        <v>0</v>
      </c>
      <c r="H994" s="120">
        <f>IF(ISERROR(MATCH(MASTER!B999,'Peoplesoft Classlist'!$B:$B,0)),MASTER!B999,0)</f>
        <v>0</v>
      </c>
    </row>
    <row r="995" spans="2:8" x14ac:dyDescent="0.25">
      <c r="B995" s="114"/>
      <c r="C995" s="114"/>
      <c r="D995" s="114"/>
      <c r="G995" s="120">
        <f>IF(ISERROR(MATCH(B995,MASTER!$B:$B,0)),B995,0)</f>
        <v>0</v>
      </c>
      <c r="H995" s="120">
        <f>IF(ISERROR(MATCH(MASTER!B1000,'Peoplesoft Classlist'!$B:$B,0)),MASTER!B1000,0)</f>
        <v>0</v>
      </c>
    </row>
    <row r="996" spans="2:8" x14ac:dyDescent="0.25">
      <c r="B996" s="114"/>
      <c r="C996" s="114"/>
      <c r="D996" s="114"/>
      <c r="G996" s="120">
        <f>IF(ISERROR(MATCH(B996,MASTER!$B:$B,0)),B996,0)</f>
        <v>0</v>
      </c>
      <c r="H996" s="120">
        <f>IF(ISERROR(MATCH(MASTER!B1001,'Peoplesoft Classlist'!$B:$B,0)),MASTER!B1001,0)</f>
        <v>0</v>
      </c>
    </row>
    <row r="997" spans="2:8" x14ac:dyDescent="0.25">
      <c r="B997" s="114"/>
      <c r="C997" s="114"/>
      <c r="D997" s="114"/>
      <c r="G997" s="120">
        <f>IF(ISERROR(MATCH(B997,MASTER!$B:$B,0)),B997,0)</f>
        <v>0</v>
      </c>
      <c r="H997" s="120">
        <f>IF(ISERROR(MATCH(MASTER!B1002,'Peoplesoft Classlist'!$B:$B,0)),MASTER!B1002,0)</f>
        <v>0</v>
      </c>
    </row>
    <row r="998" spans="2:8" x14ac:dyDescent="0.25">
      <c r="B998" s="114"/>
      <c r="C998" s="114"/>
      <c r="D998" s="114"/>
      <c r="G998" s="120">
        <f>IF(ISERROR(MATCH(B998,MASTER!$B:$B,0)),B998,0)</f>
        <v>0</v>
      </c>
      <c r="H998" s="120">
        <f>IF(ISERROR(MATCH(MASTER!B1003,'Peoplesoft Classlist'!$B:$B,0)),MASTER!B1003,0)</f>
        <v>0</v>
      </c>
    </row>
    <row r="999" spans="2:8" x14ac:dyDescent="0.25">
      <c r="B999" s="114"/>
      <c r="C999" s="114"/>
      <c r="D999" s="114"/>
      <c r="G999" s="120">
        <f>IF(ISERROR(MATCH(B999,MASTER!$B:$B,0)),B999,0)</f>
        <v>0</v>
      </c>
      <c r="H999" s="120">
        <f>IF(ISERROR(MATCH(MASTER!B1004,'Peoplesoft Classlist'!$B:$B,0)),MASTER!B1004,0)</f>
        <v>0</v>
      </c>
    </row>
    <row r="1000" spans="2:8" x14ac:dyDescent="0.25">
      <c r="B1000" s="114"/>
      <c r="C1000" s="114"/>
      <c r="D1000" s="114"/>
      <c r="G1000" s="120">
        <f>IF(ISERROR(MATCH(B1000,MASTER!$B:$B,0)),B1000,0)</f>
        <v>0</v>
      </c>
      <c r="H1000" s="120">
        <f>IF(ISERROR(MATCH(MASTER!B1005,'Peoplesoft Classlist'!$B:$B,0)),MASTER!B1005,0)</f>
        <v>0</v>
      </c>
    </row>
    <row r="1001" spans="2:8" x14ac:dyDescent="0.25">
      <c r="B1001" s="114"/>
      <c r="C1001" s="114"/>
      <c r="D1001" s="114"/>
      <c r="G1001" s="120">
        <f>IF(ISERROR(MATCH(B1001,MASTER!$B:$B,0)),B1001,0)</f>
        <v>0</v>
      </c>
      <c r="H1001" s="120">
        <f>IF(ISERROR(MATCH(MASTER!B1006,'Peoplesoft Classlist'!$B:$B,0)),MASTER!B1006,0)</f>
        <v>0</v>
      </c>
    </row>
    <row r="1002" spans="2:8" x14ac:dyDescent="0.25">
      <c r="B1002" s="114"/>
      <c r="C1002" s="114"/>
      <c r="D1002" s="114"/>
      <c r="G1002" s="120">
        <f>IF(ISERROR(MATCH(B1002,MASTER!$B:$B,0)),B1002,0)</f>
        <v>0</v>
      </c>
      <c r="H1002" s="120">
        <f>IF(ISERROR(MATCH(MASTER!B1007,'Peoplesoft Classlist'!$B:$B,0)),MASTER!B1007,0)</f>
        <v>0</v>
      </c>
    </row>
    <row r="1003" spans="2:8" x14ac:dyDescent="0.25">
      <c r="B1003" s="114"/>
      <c r="C1003" s="114"/>
      <c r="D1003" s="114"/>
      <c r="G1003" s="120">
        <f>IF(ISERROR(MATCH(B1003,MASTER!$B:$B,0)),B1003,0)</f>
        <v>0</v>
      </c>
      <c r="H1003" s="120">
        <f>IF(ISERROR(MATCH(MASTER!B1008,'Peoplesoft Classlist'!$B:$B,0)),MASTER!B1008,0)</f>
        <v>0</v>
      </c>
    </row>
    <row r="1004" spans="2:8" x14ac:dyDescent="0.25">
      <c r="B1004" s="114"/>
      <c r="C1004" s="114"/>
      <c r="D1004" s="114"/>
      <c r="G1004" s="120">
        <f>IF(ISERROR(MATCH(B1004,MASTER!$B:$B,0)),B1004,0)</f>
        <v>0</v>
      </c>
      <c r="H1004" s="120">
        <f>IF(ISERROR(MATCH(MASTER!B1009,'Peoplesoft Classlist'!$B:$B,0)),MASTER!B1009,0)</f>
        <v>0</v>
      </c>
    </row>
    <row r="1005" spans="2:8" x14ac:dyDescent="0.25">
      <c r="B1005" s="114"/>
      <c r="C1005" s="114"/>
      <c r="D1005" s="114"/>
      <c r="G1005" s="120">
        <f>IF(ISERROR(MATCH(B1005,MASTER!$B:$B,0)),B1005,0)</f>
        <v>0</v>
      </c>
      <c r="H1005" s="120">
        <f>IF(ISERROR(MATCH(MASTER!B1010,'Peoplesoft Classlist'!$B:$B,0)),MASTER!B1010,0)</f>
        <v>0</v>
      </c>
    </row>
    <row r="1006" spans="2:8" x14ac:dyDescent="0.25">
      <c r="B1006" s="114"/>
      <c r="C1006" s="114"/>
      <c r="D1006" s="114"/>
      <c r="G1006" s="120">
        <f>IF(ISERROR(MATCH(B1006,MASTER!$B:$B,0)),B1006,0)</f>
        <v>0</v>
      </c>
      <c r="H1006" s="120">
        <f>IF(ISERROR(MATCH(MASTER!B1011,'Peoplesoft Classlist'!$B:$B,0)),MASTER!B1011,0)</f>
        <v>0</v>
      </c>
    </row>
    <row r="1007" spans="2:8" x14ac:dyDescent="0.25">
      <c r="B1007" s="114"/>
      <c r="C1007" s="114"/>
      <c r="D1007" s="114"/>
      <c r="G1007" s="120">
        <f>IF(ISERROR(MATCH(B1007,MASTER!$B:$B,0)),B1007,0)</f>
        <v>0</v>
      </c>
      <c r="H1007" s="120">
        <f>IF(ISERROR(MATCH(MASTER!B1012,'Peoplesoft Classlist'!$B:$B,0)),MASTER!B1012,0)</f>
        <v>0</v>
      </c>
    </row>
    <row r="1008" spans="2:8" x14ac:dyDescent="0.25">
      <c r="B1008" s="114"/>
      <c r="C1008" s="114"/>
      <c r="D1008" s="114"/>
      <c r="G1008" s="120">
        <f>IF(ISERROR(MATCH(B1008,MASTER!$B:$B,0)),B1008,0)</f>
        <v>0</v>
      </c>
      <c r="H1008" s="120">
        <f>IF(ISERROR(MATCH(MASTER!B1013,'Peoplesoft Classlist'!$B:$B,0)),MASTER!B1013,0)</f>
        <v>0</v>
      </c>
    </row>
    <row r="1009" spans="2:8" x14ac:dyDescent="0.25">
      <c r="B1009" s="114"/>
      <c r="C1009" s="114"/>
      <c r="D1009" s="114"/>
      <c r="G1009" s="120">
        <f>IF(ISERROR(MATCH(B1009,MASTER!$B:$B,0)),B1009,0)</f>
        <v>0</v>
      </c>
      <c r="H1009" s="120">
        <f>IF(ISERROR(MATCH(MASTER!B1014,'Peoplesoft Classlist'!$B:$B,0)),MASTER!B1014,0)</f>
        <v>0</v>
      </c>
    </row>
    <row r="1010" spans="2:8" x14ac:dyDescent="0.25">
      <c r="B1010" s="114"/>
      <c r="C1010" s="114"/>
      <c r="D1010" s="114"/>
      <c r="G1010" s="120">
        <f>IF(ISERROR(MATCH(B1010,MASTER!$B:$B,0)),B1010,0)</f>
        <v>0</v>
      </c>
      <c r="H1010" s="120">
        <f>IF(ISERROR(MATCH(MASTER!B1015,'Peoplesoft Classlist'!$B:$B,0)),MASTER!B1015,0)</f>
        <v>0</v>
      </c>
    </row>
    <row r="1011" spans="2:8" x14ac:dyDescent="0.25">
      <c r="B1011" s="114"/>
      <c r="C1011" s="114"/>
      <c r="D1011" s="114"/>
      <c r="G1011" s="120">
        <f>IF(ISERROR(MATCH(B1011,MASTER!$B:$B,0)),B1011,0)</f>
        <v>0</v>
      </c>
      <c r="H1011" s="120">
        <f>IF(ISERROR(MATCH(MASTER!B1016,'Peoplesoft Classlist'!$B:$B,0)),MASTER!B1016,0)</f>
        <v>0</v>
      </c>
    </row>
    <row r="1012" spans="2:8" x14ac:dyDescent="0.25">
      <c r="B1012" s="114"/>
      <c r="C1012" s="114"/>
      <c r="D1012" s="114"/>
      <c r="G1012" s="120">
        <f>IF(ISERROR(MATCH(B1012,MASTER!$B:$B,0)),B1012,0)</f>
        <v>0</v>
      </c>
      <c r="H1012" s="120">
        <f>IF(ISERROR(MATCH(MASTER!B1017,'Peoplesoft Classlist'!$B:$B,0)),MASTER!B1017,0)</f>
        <v>0</v>
      </c>
    </row>
    <row r="1013" spans="2:8" x14ac:dyDescent="0.25">
      <c r="B1013" s="114"/>
      <c r="C1013" s="114"/>
      <c r="D1013" s="114"/>
      <c r="G1013" s="120">
        <f>IF(ISERROR(MATCH(B1013,MASTER!$B:$B,0)),B1013,0)</f>
        <v>0</v>
      </c>
      <c r="H1013" s="120">
        <f>IF(ISERROR(MATCH(MASTER!B1018,'Peoplesoft Classlist'!$B:$B,0)),MASTER!B1018,0)</f>
        <v>0</v>
      </c>
    </row>
    <row r="1014" spans="2:8" x14ac:dyDescent="0.25">
      <c r="B1014" s="114"/>
      <c r="C1014" s="114"/>
      <c r="D1014" s="114"/>
      <c r="G1014" s="120">
        <f>IF(ISERROR(MATCH(B1014,MASTER!$B:$B,0)),B1014,0)</f>
        <v>0</v>
      </c>
      <c r="H1014" s="120">
        <f>IF(ISERROR(MATCH(MASTER!B1019,'Peoplesoft Classlist'!$B:$B,0)),MASTER!B1019,0)</f>
        <v>0</v>
      </c>
    </row>
    <row r="1015" spans="2:8" x14ac:dyDescent="0.25">
      <c r="B1015" s="114"/>
      <c r="C1015" s="114"/>
      <c r="D1015" s="114"/>
      <c r="G1015" s="120">
        <f>IF(ISERROR(MATCH(B1015,MASTER!$B:$B,0)),B1015,0)</f>
        <v>0</v>
      </c>
      <c r="H1015" s="120">
        <f>IF(ISERROR(MATCH(MASTER!B1020,'Peoplesoft Classlist'!$B:$B,0)),MASTER!B1020,0)</f>
        <v>0</v>
      </c>
    </row>
    <row r="1016" spans="2:8" x14ac:dyDescent="0.25">
      <c r="B1016" s="114"/>
      <c r="C1016" s="114"/>
      <c r="D1016" s="114"/>
      <c r="G1016" s="120">
        <f>IF(ISERROR(MATCH(B1016,MASTER!$B:$B,0)),B1016,0)</f>
        <v>0</v>
      </c>
      <c r="H1016" s="120">
        <f>IF(ISERROR(MATCH(MASTER!B1021,'Peoplesoft Classlist'!$B:$B,0)),MASTER!B1021,0)</f>
        <v>0</v>
      </c>
    </row>
    <row r="1017" spans="2:8" x14ac:dyDescent="0.25">
      <c r="B1017" s="114"/>
      <c r="C1017" s="114"/>
      <c r="D1017" s="114"/>
      <c r="G1017" s="120">
        <f>IF(ISERROR(MATCH(B1017,MASTER!$B:$B,0)),B1017,0)</f>
        <v>0</v>
      </c>
      <c r="H1017" s="120">
        <f>IF(ISERROR(MATCH(MASTER!B1022,'Peoplesoft Classlist'!$B:$B,0)),MASTER!B1022,0)</f>
        <v>0</v>
      </c>
    </row>
    <row r="1018" spans="2:8" x14ac:dyDescent="0.25">
      <c r="B1018" s="114"/>
      <c r="C1018" s="114"/>
      <c r="D1018" s="114"/>
      <c r="G1018" s="120">
        <f>IF(ISERROR(MATCH(B1018,MASTER!$B:$B,0)),B1018,0)</f>
        <v>0</v>
      </c>
      <c r="H1018" s="120">
        <f>IF(ISERROR(MATCH(MASTER!B1023,'Peoplesoft Classlist'!$B:$B,0)),MASTER!B1023,0)</f>
        <v>0</v>
      </c>
    </row>
    <row r="1019" spans="2:8" x14ac:dyDescent="0.25">
      <c r="B1019" s="114"/>
      <c r="C1019" s="114"/>
      <c r="D1019" s="114"/>
      <c r="G1019" s="120">
        <f>IF(ISERROR(MATCH(B1019,MASTER!$B:$B,0)),B1019,0)</f>
        <v>0</v>
      </c>
      <c r="H1019" s="120">
        <f>IF(ISERROR(MATCH(MASTER!B1024,'Peoplesoft Classlist'!$B:$B,0)),MASTER!B1024,0)</f>
        <v>0</v>
      </c>
    </row>
    <row r="1020" spans="2:8" x14ac:dyDescent="0.25">
      <c r="B1020" s="114"/>
      <c r="C1020" s="114"/>
      <c r="D1020" s="114"/>
      <c r="G1020" s="120">
        <f>IF(ISERROR(MATCH(B1020,MASTER!$B:$B,0)),B1020,0)</f>
        <v>0</v>
      </c>
      <c r="H1020" s="120">
        <f>IF(ISERROR(MATCH(MASTER!B1025,'Peoplesoft Classlist'!$B:$B,0)),MASTER!B1025,0)</f>
        <v>0</v>
      </c>
    </row>
    <row r="1021" spans="2:8" x14ac:dyDescent="0.25">
      <c r="B1021" s="114"/>
      <c r="C1021" s="114"/>
      <c r="D1021" s="114"/>
      <c r="G1021" s="120">
        <f>IF(ISERROR(MATCH(B1021,MASTER!$B:$B,0)),B1021,0)</f>
        <v>0</v>
      </c>
      <c r="H1021" s="120">
        <f>IF(ISERROR(MATCH(MASTER!B1026,'Peoplesoft Classlist'!$B:$B,0)),MASTER!B1026,0)</f>
        <v>0</v>
      </c>
    </row>
    <row r="1022" spans="2:8" x14ac:dyDescent="0.25">
      <c r="B1022" s="114"/>
      <c r="C1022" s="114"/>
      <c r="D1022" s="114"/>
      <c r="G1022" s="120">
        <f>IF(ISERROR(MATCH(B1022,MASTER!$B:$B,0)),B1022,0)</f>
        <v>0</v>
      </c>
      <c r="H1022" s="120">
        <f>IF(ISERROR(MATCH(MASTER!B1027,'Peoplesoft Classlist'!$B:$B,0)),MASTER!B1027,0)</f>
        <v>0</v>
      </c>
    </row>
    <row r="1023" spans="2:8" x14ac:dyDescent="0.25">
      <c r="B1023" s="114"/>
      <c r="C1023" s="114"/>
      <c r="D1023" s="114"/>
      <c r="G1023" s="120">
        <f>IF(ISERROR(MATCH(B1023,MASTER!$B:$B,0)),B1023,0)</f>
        <v>0</v>
      </c>
      <c r="H1023" s="120">
        <f>IF(ISERROR(MATCH(MASTER!B1028,'Peoplesoft Classlist'!$B:$B,0)),MASTER!B1028,0)</f>
        <v>0</v>
      </c>
    </row>
    <row r="1024" spans="2:8" x14ac:dyDescent="0.25">
      <c r="B1024" s="114"/>
      <c r="C1024" s="114"/>
      <c r="D1024" s="114"/>
      <c r="G1024" s="120">
        <f>IF(ISERROR(MATCH(B1024,MASTER!$B:$B,0)),B1024,0)</f>
        <v>0</v>
      </c>
      <c r="H1024" s="120">
        <f>IF(ISERROR(MATCH(MASTER!B1029,'Peoplesoft Classlist'!$B:$B,0)),MASTER!B1029,0)</f>
        <v>0</v>
      </c>
    </row>
    <row r="1025" spans="2:8" x14ac:dyDescent="0.25">
      <c r="B1025" s="114"/>
      <c r="C1025" s="114"/>
      <c r="D1025" s="114"/>
      <c r="G1025" s="120">
        <f>IF(ISERROR(MATCH(B1025,MASTER!$B:$B,0)),B1025,0)</f>
        <v>0</v>
      </c>
      <c r="H1025" s="120">
        <f>IF(ISERROR(MATCH(MASTER!B1030,'Peoplesoft Classlist'!$B:$B,0)),MASTER!B1030,0)</f>
        <v>0</v>
      </c>
    </row>
    <row r="1026" spans="2:8" x14ac:dyDescent="0.25">
      <c r="B1026" s="114"/>
      <c r="C1026" s="114"/>
      <c r="D1026" s="114"/>
      <c r="G1026" s="120">
        <f>IF(ISERROR(MATCH(B1026,MASTER!$B:$B,0)),B1026,0)</f>
        <v>0</v>
      </c>
      <c r="H1026" s="120">
        <f>IF(ISERROR(MATCH(MASTER!B1031,'Peoplesoft Classlist'!$B:$B,0)),MASTER!B1031,0)</f>
        <v>0</v>
      </c>
    </row>
    <row r="1027" spans="2:8" x14ac:dyDescent="0.25">
      <c r="B1027" s="114"/>
      <c r="C1027" s="114"/>
      <c r="D1027" s="114"/>
      <c r="G1027" s="120">
        <f>IF(ISERROR(MATCH(B1027,MASTER!$B:$B,0)),B1027,0)</f>
        <v>0</v>
      </c>
      <c r="H1027" s="120">
        <f>IF(ISERROR(MATCH(MASTER!B1032,'Peoplesoft Classlist'!$B:$B,0)),MASTER!B1032,0)</f>
        <v>0</v>
      </c>
    </row>
    <row r="1028" spans="2:8" x14ac:dyDescent="0.25">
      <c r="B1028" s="114"/>
      <c r="C1028" s="114"/>
      <c r="D1028" s="114"/>
      <c r="G1028" s="120">
        <f>IF(ISERROR(MATCH(B1028,MASTER!$B:$B,0)),B1028,0)</f>
        <v>0</v>
      </c>
      <c r="H1028" s="120">
        <f>IF(ISERROR(MATCH(MASTER!B1033,'Peoplesoft Classlist'!$B:$B,0)),MASTER!B1033,0)</f>
        <v>0</v>
      </c>
    </row>
    <row r="1029" spans="2:8" x14ac:dyDescent="0.25">
      <c r="B1029" s="114"/>
      <c r="C1029" s="114"/>
      <c r="D1029" s="114"/>
      <c r="G1029" s="120">
        <f>IF(ISERROR(MATCH(B1029,MASTER!$B:$B,0)),B1029,0)</f>
        <v>0</v>
      </c>
      <c r="H1029" s="120">
        <f>IF(ISERROR(MATCH(MASTER!B1034,'Peoplesoft Classlist'!$B:$B,0)),MASTER!B1034,0)</f>
        <v>0</v>
      </c>
    </row>
    <row r="1030" spans="2:8" x14ac:dyDescent="0.25">
      <c r="B1030" s="114"/>
      <c r="C1030" s="114"/>
      <c r="D1030" s="114"/>
      <c r="G1030" s="120">
        <f>IF(ISERROR(MATCH(B1030,MASTER!$B:$B,0)),B1030,0)</f>
        <v>0</v>
      </c>
      <c r="H1030" s="120">
        <f>IF(ISERROR(MATCH(MASTER!B1035,'Peoplesoft Classlist'!$B:$B,0)),MASTER!B1035,0)</f>
        <v>0</v>
      </c>
    </row>
    <row r="1031" spans="2:8" x14ac:dyDescent="0.25">
      <c r="B1031" s="114"/>
      <c r="C1031" s="114"/>
      <c r="D1031" s="114"/>
      <c r="G1031" s="120">
        <f>IF(ISERROR(MATCH(B1031,MASTER!$B:$B,0)),B1031,0)</f>
        <v>0</v>
      </c>
      <c r="H1031" s="120">
        <f>IF(ISERROR(MATCH(MASTER!B1036,'Peoplesoft Classlist'!$B:$B,0)),MASTER!B1036,0)</f>
        <v>0</v>
      </c>
    </row>
    <row r="1032" spans="2:8" x14ac:dyDescent="0.25">
      <c r="B1032" s="114"/>
      <c r="C1032" s="114"/>
      <c r="D1032" s="114"/>
      <c r="G1032" s="120">
        <f>IF(ISERROR(MATCH(B1032,MASTER!$B:$B,0)),B1032,0)</f>
        <v>0</v>
      </c>
      <c r="H1032" s="120">
        <f>IF(ISERROR(MATCH(MASTER!B1037,'Peoplesoft Classlist'!$B:$B,0)),MASTER!B1037,0)</f>
        <v>0</v>
      </c>
    </row>
    <row r="1033" spans="2:8" x14ac:dyDescent="0.25">
      <c r="B1033" s="114"/>
      <c r="C1033" s="114"/>
      <c r="D1033" s="114"/>
      <c r="G1033" s="120">
        <f>IF(ISERROR(MATCH(B1033,MASTER!$B:$B,0)),B1033,0)</f>
        <v>0</v>
      </c>
      <c r="H1033" s="120">
        <f>IF(ISERROR(MATCH(MASTER!B1038,'Peoplesoft Classlist'!$B:$B,0)),MASTER!B1038,0)</f>
        <v>0</v>
      </c>
    </row>
    <row r="1034" spans="2:8" x14ac:dyDescent="0.25">
      <c r="B1034" s="114"/>
      <c r="C1034" s="114"/>
      <c r="D1034" s="114"/>
      <c r="G1034" s="120">
        <f>IF(ISERROR(MATCH(B1034,MASTER!$B:$B,0)),B1034,0)</f>
        <v>0</v>
      </c>
      <c r="H1034" s="120">
        <f>IF(ISERROR(MATCH(MASTER!B1039,'Peoplesoft Classlist'!$B:$B,0)),MASTER!B1039,0)</f>
        <v>0</v>
      </c>
    </row>
    <row r="1035" spans="2:8" x14ac:dyDescent="0.25">
      <c r="B1035" s="114"/>
      <c r="C1035" s="114"/>
      <c r="D1035" s="114"/>
      <c r="G1035" s="120">
        <f>IF(ISERROR(MATCH(B1035,MASTER!$B:$B,0)),B1035,0)</f>
        <v>0</v>
      </c>
      <c r="H1035" s="120">
        <f>IF(ISERROR(MATCH(MASTER!B1040,'Peoplesoft Classlist'!$B:$B,0)),MASTER!B1040,0)</f>
        <v>0</v>
      </c>
    </row>
    <row r="1036" spans="2:8" x14ac:dyDescent="0.25">
      <c r="B1036" s="114"/>
      <c r="C1036" s="114"/>
      <c r="D1036" s="114"/>
      <c r="G1036" s="120">
        <f>IF(ISERROR(MATCH(B1036,MASTER!$B:$B,0)),B1036,0)</f>
        <v>0</v>
      </c>
      <c r="H1036" s="120">
        <f>IF(ISERROR(MATCH(MASTER!B1041,'Peoplesoft Classlist'!$B:$B,0)),MASTER!B1041,0)</f>
        <v>0</v>
      </c>
    </row>
    <row r="1037" spans="2:8" x14ac:dyDescent="0.25">
      <c r="B1037" s="114"/>
      <c r="C1037" s="114"/>
      <c r="D1037" s="114"/>
      <c r="G1037" s="120">
        <f>IF(ISERROR(MATCH(B1037,MASTER!$B:$B,0)),B1037,0)</f>
        <v>0</v>
      </c>
      <c r="H1037" s="120">
        <f>IF(ISERROR(MATCH(MASTER!B1042,'Peoplesoft Classlist'!$B:$B,0)),MASTER!B1042,0)</f>
        <v>0</v>
      </c>
    </row>
    <row r="1038" spans="2:8" x14ac:dyDescent="0.25">
      <c r="B1038" s="114"/>
      <c r="C1038" s="114"/>
      <c r="D1038" s="114"/>
      <c r="G1038" s="120">
        <f>IF(ISERROR(MATCH(B1038,MASTER!$B:$B,0)),B1038,0)</f>
        <v>0</v>
      </c>
      <c r="H1038" s="120">
        <f>IF(ISERROR(MATCH(MASTER!B1043,'Peoplesoft Classlist'!$B:$B,0)),MASTER!B1043,0)</f>
        <v>0</v>
      </c>
    </row>
    <row r="1039" spans="2:8" x14ac:dyDescent="0.25">
      <c r="B1039" s="114"/>
      <c r="C1039" s="114"/>
      <c r="D1039" s="114"/>
      <c r="G1039" s="120">
        <f>IF(ISERROR(MATCH(B1039,MASTER!$B:$B,0)),B1039,0)</f>
        <v>0</v>
      </c>
      <c r="H1039" s="120">
        <f>IF(ISERROR(MATCH(MASTER!B1044,'Peoplesoft Classlist'!$B:$B,0)),MASTER!B1044,0)</f>
        <v>0</v>
      </c>
    </row>
    <row r="1040" spans="2:8" x14ac:dyDescent="0.25">
      <c r="B1040" s="114"/>
      <c r="C1040" s="114"/>
      <c r="D1040" s="114"/>
      <c r="G1040" s="120">
        <f>IF(ISERROR(MATCH(B1040,MASTER!$B:$B,0)),B1040,0)</f>
        <v>0</v>
      </c>
      <c r="H1040" s="120">
        <f>IF(ISERROR(MATCH(MASTER!B1045,'Peoplesoft Classlist'!$B:$B,0)),MASTER!B1045,0)</f>
        <v>0</v>
      </c>
    </row>
    <row r="1041" spans="2:8" x14ac:dyDescent="0.25">
      <c r="B1041" s="114"/>
      <c r="C1041" s="114"/>
      <c r="D1041" s="114"/>
      <c r="G1041" s="120">
        <f>IF(ISERROR(MATCH(B1041,MASTER!$B:$B,0)),B1041,0)</f>
        <v>0</v>
      </c>
      <c r="H1041" s="120">
        <f>IF(ISERROR(MATCH(MASTER!B1046,'Peoplesoft Classlist'!$B:$B,0)),MASTER!B1046,0)</f>
        <v>0</v>
      </c>
    </row>
    <row r="1042" spans="2:8" x14ac:dyDescent="0.25">
      <c r="B1042" s="114"/>
      <c r="C1042" s="114"/>
      <c r="D1042" s="114"/>
      <c r="G1042" s="120">
        <f>IF(ISERROR(MATCH(B1042,MASTER!$B:$B,0)),B1042,0)</f>
        <v>0</v>
      </c>
      <c r="H1042" s="120">
        <f>IF(ISERROR(MATCH(MASTER!B1047,'Peoplesoft Classlist'!$B:$B,0)),MASTER!B1047,0)</f>
        <v>0</v>
      </c>
    </row>
    <row r="1043" spans="2:8" x14ac:dyDescent="0.25">
      <c r="B1043" s="114"/>
      <c r="C1043" s="114"/>
      <c r="D1043" s="114"/>
      <c r="G1043" s="120">
        <f>IF(ISERROR(MATCH(B1043,MASTER!$B:$B,0)),B1043,0)</f>
        <v>0</v>
      </c>
      <c r="H1043" s="120">
        <f>IF(ISERROR(MATCH(MASTER!B1048,'Peoplesoft Classlist'!$B:$B,0)),MASTER!B1048,0)</f>
        <v>0</v>
      </c>
    </row>
    <row r="1044" spans="2:8" x14ac:dyDescent="0.25">
      <c r="B1044" s="114"/>
      <c r="C1044" s="114"/>
      <c r="D1044" s="114"/>
      <c r="G1044" s="120">
        <f>IF(ISERROR(MATCH(B1044,MASTER!$B:$B,0)),B1044,0)</f>
        <v>0</v>
      </c>
      <c r="H1044" s="120">
        <f>IF(ISERROR(MATCH(MASTER!B1049,'Peoplesoft Classlist'!$B:$B,0)),MASTER!B1049,0)</f>
        <v>0</v>
      </c>
    </row>
    <row r="1045" spans="2:8" x14ac:dyDescent="0.25">
      <c r="B1045" s="114"/>
      <c r="C1045" s="114"/>
      <c r="D1045" s="114"/>
      <c r="G1045" s="120">
        <f>IF(ISERROR(MATCH(B1045,MASTER!$B:$B,0)),B1045,0)</f>
        <v>0</v>
      </c>
      <c r="H1045" s="120">
        <f>IF(ISERROR(MATCH(MASTER!B1050,'Peoplesoft Classlist'!$B:$B,0)),MASTER!B1050,0)</f>
        <v>0</v>
      </c>
    </row>
    <row r="1046" spans="2:8" x14ac:dyDescent="0.25">
      <c r="B1046" s="114"/>
      <c r="C1046" s="114"/>
      <c r="D1046" s="114"/>
      <c r="G1046" s="120">
        <f>IF(ISERROR(MATCH(B1046,MASTER!$B:$B,0)),B1046,0)</f>
        <v>0</v>
      </c>
      <c r="H1046" s="120">
        <f>IF(ISERROR(MATCH(MASTER!B1051,'Peoplesoft Classlist'!$B:$B,0)),MASTER!B1051,0)</f>
        <v>0</v>
      </c>
    </row>
    <row r="1047" spans="2:8" x14ac:dyDescent="0.25">
      <c r="B1047" s="114"/>
      <c r="C1047" s="114"/>
      <c r="D1047" s="114"/>
      <c r="G1047" s="120">
        <f>IF(ISERROR(MATCH(B1047,MASTER!$B:$B,0)),B1047,0)</f>
        <v>0</v>
      </c>
      <c r="H1047" s="120">
        <f>IF(ISERROR(MATCH(MASTER!B1052,'Peoplesoft Classlist'!$B:$B,0)),MASTER!B1052,0)</f>
        <v>0</v>
      </c>
    </row>
    <row r="1048" spans="2:8" x14ac:dyDescent="0.25">
      <c r="B1048" s="114"/>
      <c r="C1048" s="114"/>
      <c r="D1048" s="114"/>
      <c r="G1048" s="120">
        <f>IF(ISERROR(MATCH(B1048,MASTER!$B:$B,0)),B1048,0)</f>
        <v>0</v>
      </c>
      <c r="H1048" s="120">
        <f>IF(ISERROR(MATCH(MASTER!B1053,'Peoplesoft Classlist'!$B:$B,0)),MASTER!B1053,0)</f>
        <v>0</v>
      </c>
    </row>
    <row r="1049" spans="2:8" x14ac:dyDescent="0.25">
      <c r="B1049" s="114"/>
      <c r="C1049" s="114"/>
      <c r="D1049" s="114"/>
      <c r="G1049" s="120">
        <f>IF(ISERROR(MATCH(B1049,MASTER!$B:$B,0)),B1049,0)</f>
        <v>0</v>
      </c>
      <c r="H1049" s="120">
        <f>IF(ISERROR(MATCH(MASTER!B1054,'Peoplesoft Classlist'!$B:$B,0)),MASTER!B1054,0)</f>
        <v>0</v>
      </c>
    </row>
    <row r="1050" spans="2:8" x14ac:dyDescent="0.25">
      <c r="B1050" s="114"/>
      <c r="C1050" s="114"/>
      <c r="D1050" s="114"/>
      <c r="G1050" s="120">
        <f>IF(ISERROR(MATCH(B1050,MASTER!$B:$B,0)),B1050,0)</f>
        <v>0</v>
      </c>
      <c r="H1050" s="120">
        <f>IF(ISERROR(MATCH(MASTER!B1055,'Peoplesoft Classlist'!$B:$B,0)),MASTER!B1055,0)</f>
        <v>0</v>
      </c>
    </row>
    <row r="1051" spans="2:8" x14ac:dyDescent="0.25">
      <c r="B1051" s="114"/>
      <c r="C1051" s="114"/>
      <c r="D1051" s="114"/>
      <c r="G1051" s="120">
        <f>IF(ISERROR(MATCH(B1051,MASTER!$B:$B,0)),B1051,0)</f>
        <v>0</v>
      </c>
      <c r="H1051" s="120">
        <f>IF(ISERROR(MATCH(MASTER!B1056,'Peoplesoft Classlist'!$B:$B,0)),MASTER!B1056,0)</f>
        <v>0</v>
      </c>
    </row>
    <row r="1052" spans="2:8" x14ac:dyDescent="0.25">
      <c r="B1052" s="114"/>
      <c r="C1052" s="114"/>
      <c r="D1052" s="114"/>
      <c r="G1052" s="120">
        <f>IF(ISERROR(MATCH(B1052,MASTER!$B:$B,0)),B1052,0)</f>
        <v>0</v>
      </c>
      <c r="H1052" s="120">
        <f>IF(ISERROR(MATCH(MASTER!B1057,'Peoplesoft Classlist'!$B:$B,0)),MASTER!B1057,0)</f>
        <v>0</v>
      </c>
    </row>
    <row r="1053" spans="2:8" x14ac:dyDescent="0.25">
      <c r="B1053" s="114"/>
      <c r="C1053" s="114"/>
      <c r="D1053" s="114"/>
      <c r="G1053" s="120">
        <f>IF(ISERROR(MATCH(B1053,MASTER!$B:$B,0)),B1053,0)</f>
        <v>0</v>
      </c>
      <c r="H1053" s="120">
        <f>IF(ISERROR(MATCH(MASTER!B1058,'Peoplesoft Classlist'!$B:$B,0)),MASTER!B1058,0)</f>
        <v>0</v>
      </c>
    </row>
    <row r="1054" spans="2:8" x14ac:dyDescent="0.25">
      <c r="B1054" s="114"/>
      <c r="C1054" s="114"/>
      <c r="D1054" s="114"/>
      <c r="G1054" s="120">
        <f>IF(ISERROR(MATCH(B1054,MASTER!$B:$B,0)),B1054,0)</f>
        <v>0</v>
      </c>
      <c r="H1054" s="120">
        <f>IF(ISERROR(MATCH(MASTER!B1059,'Peoplesoft Classlist'!$B:$B,0)),MASTER!B1059,0)</f>
        <v>0</v>
      </c>
    </row>
    <row r="1055" spans="2:8" x14ac:dyDescent="0.25">
      <c r="B1055" s="114"/>
      <c r="C1055" s="114"/>
      <c r="D1055" s="114"/>
      <c r="G1055" s="120">
        <f>IF(ISERROR(MATCH(B1055,MASTER!$B:$B,0)),B1055,0)</f>
        <v>0</v>
      </c>
      <c r="H1055" s="120">
        <f>IF(ISERROR(MATCH(MASTER!B1060,'Peoplesoft Classlist'!$B:$B,0)),MASTER!B1060,0)</f>
        <v>0</v>
      </c>
    </row>
    <row r="1056" spans="2:8" x14ac:dyDescent="0.25">
      <c r="B1056" s="114"/>
      <c r="C1056" s="114"/>
      <c r="D1056" s="114"/>
      <c r="G1056" s="120">
        <f>IF(ISERROR(MATCH(B1056,MASTER!$B:$B,0)),B1056,0)</f>
        <v>0</v>
      </c>
      <c r="H1056" s="120">
        <f>IF(ISERROR(MATCH(MASTER!B1061,'Peoplesoft Classlist'!$B:$B,0)),MASTER!B1061,0)</f>
        <v>0</v>
      </c>
    </row>
    <row r="1057" spans="2:8" x14ac:dyDescent="0.25">
      <c r="B1057" s="114"/>
      <c r="C1057" s="114"/>
      <c r="D1057" s="114"/>
      <c r="G1057" s="120">
        <f>IF(ISERROR(MATCH(B1057,MASTER!$B:$B,0)),B1057,0)</f>
        <v>0</v>
      </c>
      <c r="H1057" s="120">
        <f>IF(ISERROR(MATCH(MASTER!B1062,'Peoplesoft Classlist'!$B:$B,0)),MASTER!B1062,0)</f>
        <v>0</v>
      </c>
    </row>
    <row r="1058" spans="2:8" x14ac:dyDescent="0.25">
      <c r="B1058" s="114"/>
      <c r="C1058" s="114"/>
      <c r="D1058" s="114"/>
      <c r="G1058" s="120">
        <f>IF(ISERROR(MATCH(B1058,MASTER!$B:$B,0)),B1058,0)</f>
        <v>0</v>
      </c>
      <c r="H1058" s="120">
        <f>IF(ISERROR(MATCH(MASTER!B1063,'Peoplesoft Classlist'!$B:$B,0)),MASTER!B1063,0)</f>
        <v>0</v>
      </c>
    </row>
    <row r="1059" spans="2:8" x14ac:dyDescent="0.25">
      <c r="B1059" s="114"/>
      <c r="C1059" s="114"/>
      <c r="D1059" s="114"/>
      <c r="G1059" s="120">
        <f>IF(ISERROR(MATCH(B1059,MASTER!$B:$B,0)),B1059,0)</f>
        <v>0</v>
      </c>
      <c r="H1059" s="120">
        <f>IF(ISERROR(MATCH(MASTER!B1064,'Peoplesoft Classlist'!$B:$B,0)),MASTER!B1064,0)</f>
        <v>0</v>
      </c>
    </row>
    <row r="1060" spans="2:8" x14ac:dyDescent="0.25">
      <c r="B1060" s="114"/>
      <c r="C1060" s="114"/>
      <c r="D1060" s="114"/>
      <c r="G1060" s="120">
        <f>IF(ISERROR(MATCH(B1060,MASTER!$B:$B,0)),B1060,0)</f>
        <v>0</v>
      </c>
      <c r="H1060" s="120">
        <f>IF(ISERROR(MATCH(MASTER!B1065,'Peoplesoft Classlist'!$B:$B,0)),MASTER!B1065,0)</f>
        <v>0</v>
      </c>
    </row>
    <row r="1061" spans="2:8" x14ac:dyDescent="0.25">
      <c r="B1061" s="114"/>
      <c r="C1061" s="114"/>
      <c r="D1061" s="114"/>
      <c r="G1061" s="120">
        <f>IF(ISERROR(MATCH(B1061,MASTER!$B:$B,0)),B1061,0)</f>
        <v>0</v>
      </c>
      <c r="H1061" s="120">
        <f>IF(ISERROR(MATCH(MASTER!B1066,'Peoplesoft Classlist'!$B:$B,0)),MASTER!B1066,0)</f>
        <v>0</v>
      </c>
    </row>
    <row r="1062" spans="2:8" x14ac:dyDescent="0.25">
      <c r="B1062" s="114"/>
      <c r="C1062" s="114"/>
      <c r="D1062" s="114"/>
      <c r="G1062" s="120">
        <f>IF(ISERROR(MATCH(B1062,MASTER!$B:$B,0)),B1062,0)</f>
        <v>0</v>
      </c>
      <c r="H1062" s="120">
        <f>IF(ISERROR(MATCH(MASTER!B1067,'Peoplesoft Classlist'!$B:$B,0)),MASTER!B1067,0)</f>
        <v>0</v>
      </c>
    </row>
    <row r="1063" spans="2:8" x14ac:dyDescent="0.25">
      <c r="B1063" s="114"/>
      <c r="C1063" s="114"/>
      <c r="D1063" s="114"/>
      <c r="G1063" s="120">
        <f>IF(ISERROR(MATCH(B1063,MASTER!$B:$B,0)),B1063,0)</f>
        <v>0</v>
      </c>
      <c r="H1063" s="120">
        <f>IF(ISERROR(MATCH(MASTER!B1068,'Peoplesoft Classlist'!$B:$B,0)),MASTER!B1068,0)</f>
        <v>0</v>
      </c>
    </row>
    <row r="1064" spans="2:8" x14ac:dyDescent="0.25">
      <c r="B1064" s="114"/>
      <c r="C1064" s="114"/>
      <c r="D1064" s="114"/>
      <c r="G1064" s="120">
        <f>IF(ISERROR(MATCH(B1064,MASTER!$B:$B,0)),B1064,0)</f>
        <v>0</v>
      </c>
      <c r="H1064" s="120">
        <f>IF(ISERROR(MATCH(MASTER!B1069,'Peoplesoft Classlist'!$B:$B,0)),MASTER!B1069,0)</f>
        <v>0</v>
      </c>
    </row>
    <row r="1065" spans="2:8" x14ac:dyDescent="0.25">
      <c r="B1065" s="114"/>
      <c r="C1065" s="114"/>
      <c r="D1065" s="114"/>
      <c r="G1065" s="120">
        <f>IF(ISERROR(MATCH(B1065,MASTER!$B:$B,0)),B1065,0)</f>
        <v>0</v>
      </c>
      <c r="H1065" s="120">
        <f>IF(ISERROR(MATCH(MASTER!B1070,'Peoplesoft Classlist'!$B:$B,0)),MASTER!B1070,0)</f>
        <v>0</v>
      </c>
    </row>
    <row r="1066" spans="2:8" x14ac:dyDescent="0.25">
      <c r="B1066" s="114"/>
      <c r="C1066" s="114"/>
      <c r="D1066" s="114"/>
      <c r="G1066" s="120">
        <f>IF(ISERROR(MATCH(B1066,MASTER!$B:$B,0)),B1066,0)</f>
        <v>0</v>
      </c>
      <c r="H1066" s="120">
        <f>IF(ISERROR(MATCH(MASTER!B1071,'Peoplesoft Classlist'!$B:$B,0)),MASTER!B1071,0)</f>
        <v>0</v>
      </c>
    </row>
    <row r="1067" spans="2:8" x14ac:dyDescent="0.25">
      <c r="B1067" s="114"/>
      <c r="C1067" s="114"/>
      <c r="D1067" s="114"/>
      <c r="G1067" s="120">
        <f>IF(ISERROR(MATCH(B1067,MASTER!$B:$B,0)),B1067,0)</f>
        <v>0</v>
      </c>
      <c r="H1067" s="120">
        <f>IF(ISERROR(MATCH(MASTER!B1072,'Peoplesoft Classlist'!$B:$B,0)),MASTER!B1072,0)</f>
        <v>0</v>
      </c>
    </row>
    <row r="1068" spans="2:8" x14ac:dyDescent="0.25">
      <c r="B1068" s="114"/>
      <c r="C1068" s="114"/>
      <c r="D1068" s="114"/>
      <c r="G1068" s="120">
        <f>IF(ISERROR(MATCH(B1068,MASTER!$B:$B,0)),B1068,0)</f>
        <v>0</v>
      </c>
      <c r="H1068" s="120">
        <f>IF(ISERROR(MATCH(MASTER!B1073,'Peoplesoft Classlist'!$B:$B,0)),MASTER!B1073,0)</f>
        <v>0</v>
      </c>
    </row>
    <row r="1069" spans="2:8" x14ac:dyDescent="0.25">
      <c r="B1069" s="114"/>
      <c r="C1069" s="114"/>
      <c r="D1069" s="114"/>
      <c r="G1069" s="120">
        <f>IF(ISERROR(MATCH(B1069,MASTER!$B:$B,0)),B1069,0)</f>
        <v>0</v>
      </c>
      <c r="H1069" s="120">
        <f>IF(ISERROR(MATCH(MASTER!B1074,'Peoplesoft Classlist'!$B:$B,0)),MASTER!B1074,0)</f>
        <v>0</v>
      </c>
    </row>
    <row r="1070" spans="2:8" x14ac:dyDescent="0.25">
      <c r="B1070" s="114"/>
      <c r="C1070" s="114"/>
      <c r="D1070" s="114"/>
      <c r="G1070" s="120">
        <f>IF(ISERROR(MATCH(B1070,MASTER!$B:$B,0)),B1070,0)</f>
        <v>0</v>
      </c>
      <c r="H1070" s="120">
        <f>IF(ISERROR(MATCH(MASTER!B1075,'Peoplesoft Classlist'!$B:$B,0)),MASTER!B1075,0)</f>
        <v>0</v>
      </c>
    </row>
    <row r="1071" spans="2:8" x14ac:dyDescent="0.25">
      <c r="B1071" s="114"/>
      <c r="C1071" s="114"/>
      <c r="D1071" s="114"/>
      <c r="G1071" s="120">
        <f>IF(ISERROR(MATCH(B1071,MASTER!$B:$B,0)),B1071,0)</f>
        <v>0</v>
      </c>
      <c r="H1071" s="120">
        <f>IF(ISERROR(MATCH(MASTER!B1076,'Peoplesoft Classlist'!$B:$B,0)),MASTER!B1076,0)</f>
        <v>0</v>
      </c>
    </row>
    <row r="1072" spans="2:8" x14ac:dyDescent="0.25">
      <c r="B1072" s="114"/>
      <c r="C1072" s="114"/>
      <c r="D1072" s="114"/>
      <c r="G1072" s="120">
        <f>IF(ISERROR(MATCH(B1072,MASTER!$B:$B,0)),B1072,0)</f>
        <v>0</v>
      </c>
      <c r="H1072" s="120">
        <f>IF(ISERROR(MATCH(MASTER!B1077,'Peoplesoft Classlist'!$B:$B,0)),MASTER!B1077,0)</f>
        <v>0</v>
      </c>
    </row>
    <row r="1073" spans="2:8" x14ac:dyDescent="0.25">
      <c r="B1073" s="114"/>
      <c r="C1073" s="114"/>
      <c r="D1073" s="114"/>
      <c r="G1073" s="120">
        <f>IF(ISERROR(MATCH(B1073,MASTER!$B:$B,0)),B1073,0)</f>
        <v>0</v>
      </c>
      <c r="H1073" s="120">
        <f>IF(ISERROR(MATCH(MASTER!B1078,'Peoplesoft Classlist'!$B:$B,0)),MASTER!B1078,0)</f>
        <v>0</v>
      </c>
    </row>
    <row r="1074" spans="2:8" x14ac:dyDescent="0.25">
      <c r="B1074" s="114"/>
      <c r="C1074" s="114"/>
      <c r="D1074" s="114"/>
      <c r="G1074" s="120">
        <f>IF(ISERROR(MATCH(B1074,MASTER!$B:$B,0)),B1074,0)</f>
        <v>0</v>
      </c>
      <c r="H1074" s="120">
        <f>IF(ISERROR(MATCH(MASTER!B1079,'Peoplesoft Classlist'!$B:$B,0)),MASTER!B1079,0)</f>
        <v>0</v>
      </c>
    </row>
    <row r="1075" spans="2:8" x14ac:dyDescent="0.25">
      <c r="B1075" s="114"/>
      <c r="C1075" s="114"/>
      <c r="D1075" s="114"/>
      <c r="G1075" s="120">
        <f>IF(ISERROR(MATCH(B1075,MASTER!$B:$B,0)),B1075,0)</f>
        <v>0</v>
      </c>
      <c r="H1075" s="120">
        <f>IF(ISERROR(MATCH(MASTER!B1080,'Peoplesoft Classlist'!$B:$B,0)),MASTER!B1080,0)</f>
        <v>0</v>
      </c>
    </row>
    <row r="1076" spans="2:8" x14ac:dyDescent="0.25">
      <c r="B1076" s="114"/>
      <c r="C1076" s="114"/>
      <c r="D1076" s="114"/>
      <c r="G1076" s="120">
        <f>IF(ISERROR(MATCH(B1076,MASTER!$B:$B,0)),B1076,0)</f>
        <v>0</v>
      </c>
      <c r="H1076" s="120">
        <f>IF(ISERROR(MATCH(MASTER!B1081,'Peoplesoft Classlist'!$B:$B,0)),MASTER!B1081,0)</f>
        <v>0</v>
      </c>
    </row>
    <row r="1077" spans="2:8" x14ac:dyDescent="0.25">
      <c r="B1077" s="114"/>
      <c r="C1077" s="114"/>
      <c r="D1077" s="114"/>
      <c r="G1077" s="120">
        <f>IF(ISERROR(MATCH(B1077,MASTER!$B:$B,0)),B1077,0)</f>
        <v>0</v>
      </c>
      <c r="H1077" s="120">
        <f>IF(ISERROR(MATCH(MASTER!B1082,'Peoplesoft Classlist'!$B:$B,0)),MASTER!B1082,0)</f>
        <v>0</v>
      </c>
    </row>
    <row r="1078" spans="2:8" x14ac:dyDescent="0.25">
      <c r="B1078" s="114"/>
      <c r="C1078" s="114"/>
      <c r="D1078" s="114"/>
      <c r="G1078" s="120">
        <f>IF(ISERROR(MATCH(B1078,MASTER!$B:$B,0)),B1078,0)</f>
        <v>0</v>
      </c>
      <c r="H1078" s="120">
        <f>IF(ISERROR(MATCH(MASTER!B1083,'Peoplesoft Classlist'!$B:$B,0)),MASTER!B1083,0)</f>
        <v>0</v>
      </c>
    </row>
    <row r="1079" spans="2:8" x14ac:dyDescent="0.25">
      <c r="B1079" s="114"/>
      <c r="C1079" s="114"/>
      <c r="D1079" s="114"/>
      <c r="G1079" s="120">
        <f>IF(ISERROR(MATCH(B1079,MASTER!$B:$B,0)),B1079,0)</f>
        <v>0</v>
      </c>
      <c r="H1079" s="120">
        <f>IF(ISERROR(MATCH(MASTER!B1084,'Peoplesoft Classlist'!$B:$B,0)),MASTER!B1084,0)</f>
        <v>0</v>
      </c>
    </row>
    <row r="1080" spans="2:8" x14ac:dyDescent="0.25">
      <c r="B1080" s="114"/>
      <c r="C1080" s="114"/>
      <c r="D1080" s="114"/>
      <c r="G1080" s="120">
        <f>IF(ISERROR(MATCH(B1080,MASTER!$B:$B,0)),B1080,0)</f>
        <v>0</v>
      </c>
      <c r="H1080" s="120">
        <f>IF(ISERROR(MATCH(MASTER!B1085,'Peoplesoft Classlist'!$B:$B,0)),MASTER!B1085,0)</f>
        <v>0</v>
      </c>
    </row>
    <row r="1081" spans="2:8" x14ac:dyDescent="0.25">
      <c r="B1081" s="114"/>
      <c r="C1081" s="114"/>
      <c r="D1081" s="114"/>
      <c r="G1081" s="120">
        <f>IF(ISERROR(MATCH(B1081,MASTER!$B:$B,0)),B1081,0)</f>
        <v>0</v>
      </c>
      <c r="H1081" s="120">
        <f>IF(ISERROR(MATCH(MASTER!B1086,'Peoplesoft Classlist'!$B:$B,0)),MASTER!B1086,0)</f>
        <v>0</v>
      </c>
    </row>
    <row r="1082" spans="2:8" x14ac:dyDescent="0.25">
      <c r="B1082" s="114"/>
      <c r="C1082" s="114"/>
      <c r="D1082" s="114"/>
      <c r="G1082" s="120">
        <f>IF(ISERROR(MATCH(B1082,MASTER!$B:$B,0)),B1082,0)</f>
        <v>0</v>
      </c>
      <c r="H1082" s="120">
        <f>IF(ISERROR(MATCH(MASTER!B1087,'Peoplesoft Classlist'!$B:$B,0)),MASTER!B1087,0)</f>
        <v>0</v>
      </c>
    </row>
    <row r="1083" spans="2:8" x14ac:dyDescent="0.25">
      <c r="B1083" s="114"/>
      <c r="C1083" s="114"/>
      <c r="D1083" s="114"/>
      <c r="G1083" s="120">
        <f>IF(ISERROR(MATCH(B1083,MASTER!$B:$B,0)),B1083,0)</f>
        <v>0</v>
      </c>
      <c r="H1083" s="120">
        <f>IF(ISERROR(MATCH(MASTER!B1088,'Peoplesoft Classlist'!$B:$B,0)),MASTER!B1088,0)</f>
        <v>0</v>
      </c>
    </row>
    <row r="1084" spans="2:8" x14ac:dyDescent="0.25">
      <c r="B1084" s="114"/>
      <c r="C1084" s="114"/>
      <c r="D1084" s="114"/>
      <c r="G1084" s="120">
        <f>IF(ISERROR(MATCH(B1084,MASTER!$B:$B,0)),B1084,0)</f>
        <v>0</v>
      </c>
      <c r="H1084" s="120">
        <f>IF(ISERROR(MATCH(MASTER!B1089,'Peoplesoft Classlist'!$B:$B,0)),MASTER!B1089,0)</f>
        <v>0</v>
      </c>
    </row>
    <row r="1085" spans="2:8" x14ac:dyDescent="0.25">
      <c r="B1085" s="114"/>
      <c r="C1085" s="114"/>
      <c r="D1085" s="114"/>
      <c r="G1085" s="120">
        <f>IF(ISERROR(MATCH(B1085,MASTER!$B:$B,0)),B1085,0)</f>
        <v>0</v>
      </c>
      <c r="H1085" s="120">
        <f>IF(ISERROR(MATCH(MASTER!B1090,'Peoplesoft Classlist'!$B:$B,0)),MASTER!B1090,0)</f>
        <v>0</v>
      </c>
    </row>
    <row r="1086" spans="2:8" x14ac:dyDescent="0.25">
      <c r="B1086" s="114"/>
      <c r="C1086" s="114"/>
      <c r="D1086" s="114"/>
      <c r="G1086" s="120">
        <f>IF(ISERROR(MATCH(B1086,MASTER!$B:$B,0)),B1086,0)</f>
        <v>0</v>
      </c>
      <c r="H1086" s="120">
        <f>IF(ISERROR(MATCH(MASTER!B1091,'Peoplesoft Classlist'!$B:$B,0)),MASTER!B1091,0)</f>
        <v>0</v>
      </c>
    </row>
    <row r="1087" spans="2:8" x14ac:dyDescent="0.25">
      <c r="B1087" s="114"/>
      <c r="C1087" s="114"/>
      <c r="D1087" s="114"/>
      <c r="G1087" s="120">
        <f>IF(ISERROR(MATCH(B1087,MASTER!$B:$B,0)),B1087,0)</f>
        <v>0</v>
      </c>
      <c r="H1087" s="120">
        <f>IF(ISERROR(MATCH(MASTER!B1092,'Peoplesoft Classlist'!$B:$B,0)),MASTER!B1092,0)</f>
        <v>0</v>
      </c>
    </row>
    <row r="1088" spans="2:8" x14ac:dyDescent="0.25">
      <c r="B1088" s="114"/>
      <c r="C1088" s="114"/>
      <c r="D1088" s="114"/>
      <c r="G1088" s="120">
        <f>IF(ISERROR(MATCH(B1088,MASTER!$B:$B,0)),B1088,0)</f>
        <v>0</v>
      </c>
      <c r="H1088" s="120">
        <f>IF(ISERROR(MATCH(MASTER!B1093,'Peoplesoft Classlist'!$B:$B,0)),MASTER!B1093,0)</f>
        <v>0</v>
      </c>
    </row>
    <row r="1089" spans="2:8" x14ac:dyDescent="0.25">
      <c r="B1089" s="114"/>
      <c r="C1089" s="114"/>
      <c r="D1089" s="114"/>
      <c r="G1089" s="120">
        <f>IF(ISERROR(MATCH(B1089,MASTER!$B:$B,0)),B1089,0)</f>
        <v>0</v>
      </c>
      <c r="H1089" s="120">
        <f>IF(ISERROR(MATCH(MASTER!B1094,'Peoplesoft Classlist'!$B:$B,0)),MASTER!B1094,0)</f>
        <v>0</v>
      </c>
    </row>
    <row r="1090" spans="2:8" x14ac:dyDescent="0.25">
      <c r="B1090" s="114"/>
      <c r="C1090" s="114"/>
      <c r="D1090" s="114"/>
      <c r="G1090" s="120">
        <f>IF(ISERROR(MATCH(B1090,MASTER!$B:$B,0)),B1090,0)</f>
        <v>0</v>
      </c>
      <c r="H1090" s="120">
        <f>IF(ISERROR(MATCH(MASTER!B1095,'Peoplesoft Classlist'!$B:$B,0)),MASTER!B1095,0)</f>
        <v>0</v>
      </c>
    </row>
    <row r="1091" spans="2:8" x14ac:dyDescent="0.25">
      <c r="B1091" s="114"/>
      <c r="C1091" s="114"/>
      <c r="D1091" s="114"/>
      <c r="G1091" s="120">
        <f>IF(ISERROR(MATCH(B1091,MASTER!$B:$B,0)),B1091,0)</f>
        <v>0</v>
      </c>
      <c r="H1091" s="120">
        <f>IF(ISERROR(MATCH(MASTER!B1096,'Peoplesoft Classlist'!$B:$B,0)),MASTER!B1096,0)</f>
        <v>0</v>
      </c>
    </row>
    <row r="1092" spans="2:8" x14ac:dyDescent="0.25">
      <c r="B1092" s="114"/>
      <c r="C1092" s="114"/>
      <c r="D1092" s="114"/>
      <c r="G1092" s="120">
        <f>IF(ISERROR(MATCH(B1092,MASTER!$B:$B,0)),B1092,0)</f>
        <v>0</v>
      </c>
      <c r="H1092" s="120">
        <f>IF(ISERROR(MATCH(MASTER!B1097,'Peoplesoft Classlist'!$B:$B,0)),MASTER!B1097,0)</f>
        <v>0</v>
      </c>
    </row>
    <row r="1093" spans="2:8" x14ac:dyDescent="0.25">
      <c r="B1093" s="114"/>
      <c r="C1093" s="114"/>
      <c r="D1093" s="114"/>
      <c r="G1093" s="120">
        <f>IF(ISERROR(MATCH(B1093,MASTER!$B:$B,0)),B1093,0)</f>
        <v>0</v>
      </c>
      <c r="H1093" s="120">
        <f>IF(ISERROR(MATCH(MASTER!B1098,'Peoplesoft Classlist'!$B:$B,0)),MASTER!B1098,0)</f>
        <v>0</v>
      </c>
    </row>
    <row r="1094" spans="2:8" x14ac:dyDescent="0.25">
      <c r="B1094" s="114"/>
      <c r="C1094" s="114"/>
      <c r="D1094" s="114"/>
      <c r="G1094" s="120">
        <f>IF(ISERROR(MATCH(B1094,MASTER!$B:$B,0)),B1094,0)</f>
        <v>0</v>
      </c>
      <c r="H1094" s="120">
        <f>IF(ISERROR(MATCH(MASTER!B1099,'Peoplesoft Classlist'!$B:$B,0)),MASTER!B1099,0)</f>
        <v>0</v>
      </c>
    </row>
    <row r="1095" spans="2:8" x14ac:dyDescent="0.25">
      <c r="B1095" s="114"/>
      <c r="C1095" s="114"/>
      <c r="D1095" s="114"/>
      <c r="G1095" s="120">
        <f>IF(ISERROR(MATCH(B1095,MASTER!$B:$B,0)),B1095,0)</f>
        <v>0</v>
      </c>
      <c r="H1095" s="120">
        <f>IF(ISERROR(MATCH(MASTER!B1100,'Peoplesoft Classlist'!$B:$B,0)),MASTER!B1100,0)</f>
        <v>0</v>
      </c>
    </row>
    <row r="1096" spans="2:8" x14ac:dyDescent="0.25">
      <c r="B1096" s="114"/>
      <c r="C1096" s="114"/>
      <c r="D1096" s="114"/>
      <c r="G1096" s="120">
        <f>IF(ISERROR(MATCH(B1096,MASTER!$B:$B,0)),B1096,0)</f>
        <v>0</v>
      </c>
      <c r="H1096" s="120">
        <f>IF(ISERROR(MATCH(MASTER!B1101,'Peoplesoft Classlist'!$B:$B,0)),MASTER!B1101,0)</f>
        <v>0</v>
      </c>
    </row>
    <row r="1097" spans="2:8" x14ac:dyDescent="0.25">
      <c r="B1097" s="114"/>
      <c r="C1097" s="114"/>
      <c r="D1097" s="114"/>
      <c r="G1097" s="120">
        <f>IF(ISERROR(MATCH(B1097,MASTER!$B:$B,0)),B1097,0)</f>
        <v>0</v>
      </c>
      <c r="H1097" s="120">
        <f>IF(ISERROR(MATCH(MASTER!B1102,'Peoplesoft Classlist'!$B:$B,0)),MASTER!B1102,0)</f>
        <v>0</v>
      </c>
    </row>
    <row r="1098" spans="2:8" x14ac:dyDescent="0.25">
      <c r="B1098" s="114"/>
      <c r="C1098" s="114"/>
      <c r="D1098" s="114"/>
      <c r="G1098" s="120">
        <f>IF(ISERROR(MATCH(B1098,MASTER!$B:$B,0)),B1098,0)</f>
        <v>0</v>
      </c>
      <c r="H1098" s="120">
        <f>IF(ISERROR(MATCH(MASTER!B1103,'Peoplesoft Classlist'!$B:$B,0)),MASTER!B1103,0)</f>
        <v>0</v>
      </c>
    </row>
    <row r="1099" spans="2:8" x14ac:dyDescent="0.25">
      <c r="B1099" s="114"/>
      <c r="C1099" s="114"/>
      <c r="D1099" s="114"/>
      <c r="G1099" s="120">
        <f>IF(ISERROR(MATCH(B1099,MASTER!$B:$B,0)),B1099,0)</f>
        <v>0</v>
      </c>
      <c r="H1099" s="120">
        <f>IF(ISERROR(MATCH(MASTER!B1104,'Peoplesoft Classlist'!$B:$B,0)),MASTER!B1104,0)</f>
        <v>0</v>
      </c>
    </row>
    <row r="1100" spans="2:8" x14ac:dyDescent="0.25">
      <c r="B1100" s="114"/>
      <c r="C1100" s="114"/>
      <c r="D1100" s="114"/>
      <c r="G1100" s="120">
        <f>IF(ISERROR(MATCH(B1100,MASTER!$B:$B,0)),B1100,0)</f>
        <v>0</v>
      </c>
      <c r="H1100" s="120">
        <f>IF(ISERROR(MATCH(MASTER!B1105,'Peoplesoft Classlist'!$B:$B,0)),MASTER!B1105,0)</f>
        <v>0</v>
      </c>
    </row>
    <row r="1101" spans="2:8" x14ac:dyDescent="0.25">
      <c r="B1101" s="114"/>
      <c r="C1101" s="114"/>
      <c r="D1101" s="114"/>
      <c r="G1101" s="120">
        <f>IF(ISERROR(MATCH(B1101,MASTER!$B:$B,0)),B1101,0)</f>
        <v>0</v>
      </c>
      <c r="H1101" s="120">
        <f>IF(ISERROR(MATCH(MASTER!B1106,'Peoplesoft Classlist'!$B:$B,0)),MASTER!B1106,0)</f>
        <v>0</v>
      </c>
    </row>
    <row r="1102" spans="2:8" x14ac:dyDescent="0.25">
      <c r="B1102" s="114"/>
      <c r="C1102" s="114"/>
      <c r="D1102" s="114"/>
      <c r="G1102" s="120">
        <f>IF(ISERROR(MATCH(B1102,MASTER!$B:$B,0)),B1102,0)</f>
        <v>0</v>
      </c>
      <c r="H1102" s="120">
        <f>IF(ISERROR(MATCH(MASTER!B1107,'Peoplesoft Classlist'!$B:$B,0)),MASTER!B1107,0)</f>
        <v>0</v>
      </c>
    </row>
    <row r="1103" spans="2:8" x14ac:dyDescent="0.25">
      <c r="B1103" s="114"/>
      <c r="C1103" s="114"/>
      <c r="D1103" s="114"/>
      <c r="G1103" s="120">
        <f>IF(ISERROR(MATCH(B1103,MASTER!$B:$B,0)),B1103,0)</f>
        <v>0</v>
      </c>
      <c r="H1103" s="120">
        <f>IF(ISERROR(MATCH(MASTER!B1108,'Peoplesoft Classlist'!$B:$B,0)),MASTER!B1108,0)</f>
        <v>0</v>
      </c>
    </row>
    <row r="1104" spans="2:8" x14ac:dyDescent="0.25">
      <c r="B1104" s="114"/>
      <c r="C1104" s="114"/>
      <c r="D1104" s="114"/>
      <c r="G1104" s="120">
        <f>IF(ISERROR(MATCH(B1104,MASTER!$B:$B,0)),B1104,0)</f>
        <v>0</v>
      </c>
      <c r="H1104" s="120">
        <f>IF(ISERROR(MATCH(MASTER!B1109,'Peoplesoft Classlist'!$B:$B,0)),MASTER!B1109,0)</f>
        <v>0</v>
      </c>
    </row>
    <row r="1105" spans="2:8" x14ac:dyDescent="0.25">
      <c r="B1105" s="114"/>
      <c r="C1105" s="114"/>
      <c r="D1105" s="114"/>
      <c r="G1105" s="120">
        <f>IF(ISERROR(MATCH(B1105,MASTER!$B:$B,0)),B1105,0)</f>
        <v>0</v>
      </c>
      <c r="H1105" s="120">
        <f>IF(ISERROR(MATCH(MASTER!B1110,'Peoplesoft Classlist'!$B:$B,0)),MASTER!B1110,0)</f>
        <v>0</v>
      </c>
    </row>
    <row r="1106" spans="2:8" x14ac:dyDescent="0.25">
      <c r="B1106" s="114"/>
      <c r="C1106" s="114"/>
      <c r="D1106" s="114"/>
      <c r="G1106" s="120">
        <f>IF(ISERROR(MATCH(B1106,MASTER!$B:$B,0)),B1106,0)</f>
        <v>0</v>
      </c>
      <c r="H1106" s="120">
        <f>IF(ISERROR(MATCH(MASTER!B1111,'Peoplesoft Classlist'!$B:$B,0)),MASTER!B1111,0)</f>
        <v>0</v>
      </c>
    </row>
    <row r="1107" spans="2:8" x14ac:dyDescent="0.25">
      <c r="B1107" s="114"/>
      <c r="C1107" s="114"/>
      <c r="D1107" s="114"/>
      <c r="G1107" s="120">
        <f>IF(ISERROR(MATCH(B1107,MASTER!$B:$B,0)),B1107,0)</f>
        <v>0</v>
      </c>
      <c r="H1107" s="120">
        <f>IF(ISERROR(MATCH(MASTER!B1112,'Peoplesoft Classlist'!$B:$B,0)),MASTER!B1112,0)</f>
        <v>0</v>
      </c>
    </row>
    <row r="1108" spans="2:8" x14ac:dyDescent="0.25">
      <c r="B1108" s="114"/>
      <c r="C1108" s="114"/>
      <c r="D1108" s="114"/>
      <c r="G1108" s="120">
        <f>IF(ISERROR(MATCH(B1108,MASTER!$B:$B,0)),B1108,0)</f>
        <v>0</v>
      </c>
      <c r="H1108" s="120">
        <f>IF(ISERROR(MATCH(MASTER!B1113,'Peoplesoft Classlist'!$B:$B,0)),MASTER!B1113,0)</f>
        <v>0</v>
      </c>
    </row>
    <row r="1109" spans="2:8" x14ac:dyDescent="0.25">
      <c r="B1109" s="114"/>
      <c r="C1109" s="114"/>
      <c r="D1109" s="114"/>
      <c r="G1109" s="120">
        <f>IF(ISERROR(MATCH(B1109,MASTER!$B:$B,0)),B1109,0)</f>
        <v>0</v>
      </c>
      <c r="H1109" s="120">
        <f>IF(ISERROR(MATCH(MASTER!B1114,'Peoplesoft Classlist'!$B:$B,0)),MASTER!B1114,0)</f>
        <v>0</v>
      </c>
    </row>
    <row r="1110" spans="2:8" x14ac:dyDescent="0.25">
      <c r="B1110" s="114"/>
      <c r="C1110" s="114"/>
      <c r="D1110" s="114"/>
      <c r="G1110" s="120">
        <f>IF(ISERROR(MATCH(B1110,MASTER!$B:$B,0)),B1110,0)</f>
        <v>0</v>
      </c>
      <c r="H1110" s="120">
        <f>IF(ISERROR(MATCH(MASTER!B1115,'Peoplesoft Classlist'!$B:$B,0)),MASTER!B1115,0)</f>
        <v>0</v>
      </c>
    </row>
    <row r="1111" spans="2:8" x14ac:dyDescent="0.25">
      <c r="B1111" s="114"/>
      <c r="C1111" s="114"/>
      <c r="D1111" s="114"/>
      <c r="G1111" s="120">
        <f>IF(ISERROR(MATCH(B1111,MASTER!$B:$B,0)),B1111,0)</f>
        <v>0</v>
      </c>
      <c r="H1111" s="120">
        <f>IF(ISERROR(MATCH(MASTER!B1116,'Peoplesoft Classlist'!$B:$B,0)),MASTER!B1116,0)</f>
        <v>0</v>
      </c>
    </row>
    <row r="1112" spans="2:8" x14ac:dyDescent="0.25">
      <c r="B1112" s="114"/>
      <c r="C1112" s="114"/>
      <c r="D1112" s="114"/>
      <c r="G1112" s="120">
        <f>IF(ISERROR(MATCH(B1112,MASTER!$B:$B,0)),B1112,0)</f>
        <v>0</v>
      </c>
      <c r="H1112" s="120">
        <f>IF(ISERROR(MATCH(MASTER!B1117,'Peoplesoft Classlist'!$B:$B,0)),MASTER!B1117,0)</f>
        <v>0</v>
      </c>
    </row>
    <row r="1113" spans="2:8" x14ac:dyDescent="0.25">
      <c r="B1113" s="114"/>
      <c r="C1113" s="114"/>
      <c r="D1113" s="114"/>
      <c r="G1113" s="120">
        <f>IF(ISERROR(MATCH(B1113,MASTER!$B:$B,0)),B1113,0)</f>
        <v>0</v>
      </c>
      <c r="H1113" s="120">
        <f>IF(ISERROR(MATCH(MASTER!B1118,'Peoplesoft Classlist'!$B:$B,0)),MASTER!B1118,0)</f>
        <v>0</v>
      </c>
    </row>
    <row r="1114" spans="2:8" x14ac:dyDescent="0.25">
      <c r="B1114" s="114"/>
      <c r="C1114" s="114"/>
      <c r="D1114" s="114"/>
      <c r="G1114" s="120">
        <f>IF(ISERROR(MATCH(B1114,MASTER!$B:$B,0)),B1114,0)</f>
        <v>0</v>
      </c>
      <c r="H1114" s="120">
        <f>IF(ISERROR(MATCH(MASTER!B1119,'Peoplesoft Classlist'!$B:$B,0)),MASTER!B1119,0)</f>
        <v>0</v>
      </c>
    </row>
    <row r="1115" spans="2:8" x14ac:dyDescent="0.25">
      <c r="B1115" s="114"/>
      <c r="C1115" s="114"/>
      <c r="D1115" s="114"/>
      <c r="G1115" s="120">
        <f>IF(ISERROR(MATCH(B1115,MASTER!$B:$B,0)),B1115,0)</f>
        <v>0</v>
      </c>
      <c r="H1115" s="120">
        <f>IF(ISERROR(MATCH(MASTER!B1120,'Peoplesoft Classlist'!$B:$B,0)),MASTER!B1120,0)</f>
        <v>0</v>
      </c>
    </row>
    <row r="1116" spans="2:8" x14ac:dyDescent="0.25">
      <c r="B1116" s="114"/>
      <c r="C1116" s="114"/>
      <c r="D1116" s="114"/>
      <c r="G1116" s="120">
        <f>IF(ISERROR(MATCH(B1116,MASTER!$B:$B,0)),B1116,0)</f>
        <v>0</v>
      </c>
      <c r="H1116" s="120">
        <f>IF(ISERROR(MATCH(MASTER!B1121,'Peoplesoft Classlist'!$B:$B,0)),MASTER!B1121,0)</f>
        <v>0</v>
      </c>
    </row>
    <row r="1117" spans="2:8" x14ac:dyDescent="0.25">
      <c r="B1117" s="114"/>
      <c r="C1117" s="114"/>
      <c r="D1117" s="114"/>
      <c r="G1117" s="120">
        <f>IF(ISERROR(MATCH(B1117,MASTER!$B:$B,0)),B1117,0)</f>
        <v>0</v>
      </c>
      <c r="H1117" s="120">
        <f>IF(ISERROR(MATCH(MASTER!B1122,'Peoplesoft Classlist'!$B:$B,0)),MASTER!B1122,0)</f>
        <v>0</v>
      </c>
    </row>
    <row r="1118" spans="2:8" x14ac:dyDescent="0.25">
      <c r="B1118" s="114"/>
      <c r="C1118" s="114"/>
      <c r="D1118" s="114"/>
      <c r="G1118" s="120">
        <f>IF(ISERROR(MATCH(B1118,MASTER!$B:$B,0)),B1118,0)</f>
        <v>0</v>
      </c>
      <c r="H1118" s="120">
        <f>IF(ISERROR(MATCH(MASTER!B1123,'Peoplesoft Classlist'!$B:$B,0)),MASTER!B1123,0)</f>
        <v>0</v>
      </c>
    </row>
    <row r="1119" spans="2:8" x14ac:dyDescent="0.25">
      <c r="B1119" s="114"/>
      <c r="C1119" s="114"/>
      <c r="D1119" s="114"/>
      <c r="G1119" s="120">
        <f>IF(ISERROR(MATCH(B1119,MASTER!$B:$B,0)),B1119,0)</f>
        <v>0</v>
      </c>
      <c r="H1119" s="120">
        <f>IF(ISERROR(MATCH(MASTER!B1124,'Peoplesoft Classlist'!$B:$B,0)),MASTER!B1124,0)</f>
        <v>0</v>
      </c>
    </row>
    <row r="1120" spans="2:8" x14ac:dyDescent="0.25">
      <c r="B1120" s="114"/>
      <c r="C1120" s="114"/>
      <c r="D1120" s="114"/>
      <c r="G1120" s="120">
        <f>IF(ISERROR(MATCH(B1120,MASTER!$B:$B,0)),B1120,0)</f>
        <v>0</v>
      </c>
      <c r="H1120" s="120">
        <f>IF(ISERROR(MATCH(MASTER!B1125,'Peoplesoft Classlist'!$B:$B,0)),MASTER!B1125,0)</f>
        <v>0</v>
      </c>
    </row>
    <row r="1121" spans="2:8" x14ac:dyDescent="0.25">
      <c r="B1121" s="114"/>
      <c r="C1121" s="114"/>
      <c r="D1121" s="114"/>
      <c r="G1121" s="120">
        <f>IF(ISERROR(MATCH(B1121,MASTER!$B:$B,0)),B1121,0)</f>
        <v>0</v>
      </c>
      <c r="H1121" s="120">
        <f>IF(ISERROR(MATCH(MASTER!B1126,'Peoplesoft Classlist'!$B:$B,0)),MASTER!B1126,0)</f>
        <v>0</v>
      </c>
    </row>
    <row r="1122" spans="2:8" x14ac:dyDescent="0.25">
      <c r="B1122" s="114"/>
      <c r="C1122" s="114"/>
      <c r="D1122" s="114"/>
      <c r="G1122" s="120">
        <f>IF(ISERROR(MATCH(B1122,MASTER!$B:$B,0)),B1122,0)</f>
        <v>0</v>
      </c>
      <c r="H1122" s="120">
        <f>IF(ISERROR(MATCH(MASTER!B1127,'Peoplesoft Classlist'!$B:$B,0)),MASTER!B1127,0)</f>
        <v>0</v>
      </c>
    </row>
    <row r="1123" spans="2:8" x14ac:dyDescent="0.25">
      <c r="B1123" s="114"/>
      <c r="C1123" s="114"/>
      <c r="D1123" s="114"/>
      <c r="G1123" s="120">
        <f>IF(ISERROR(MATCH(B1123,MASTER!$B:$B,0)),B1123,0)</f>
        <v>0</v>
      </c>
      <c r="H1123" s="120">
        <f>IF(ISERROR(MATCH(MASTER!B1128,'Peoplesoft Classlist'!$B:$B,0)),MASTER!B1128,0)</f>
        <v>0</v>
      </c>
    </row>
    <row r="1124" spans="2:8" x14ac:dyDescent="0.25">
      <c r="B1124" s="114"/>
      <c r="C1124" s="114"/>
      <c r="D1124" s="114"/>
      <c r="G1124" s="120">
        <f>IF(ISERROR(MATCH(B1124,MASTER!$B:$B,0)),B1124,0)</f>
        <v>0</v>
      </c>
      <c r="H1124" s="120">
        <f>IF(ISERROR(MATCH(MASTER!B1129,'Peoplesoft Classlist'!$B:$B,0)),MASTER!B1129,0)</f>
        <v>0</v>
      </c>
    </row>
    <row r="1125" spans="2:8" x14ac:dyDescent="0.25">
      <c r="B1125" s="114"/>
      <c r="C1125" s="114"/>
      <c r="D1125" s="114"/>
      <c r="G1125" s="120">
        <f>IF(ISERROR(MATCH(B1125,MASTER!$B:$B,0)),B1125,0)</f>
        <v>0</v>
      </c>
      <c r="H1125" s="120">
        <f>IF(ISERROR(MATCH(MASTER!B1130,'Peoplesoft Classlist'!$B:$B,0)),MASTER!B1130,0)</f>
        <v>0</v>
      </c>
    </row>
    <row r="1126" spans="2:8" x14ac:dyDescent="0.25">
      <c r="B1126" s="114"/>
      <c r="C1126" s="114"/>
      <c r="D1126" s="114"/>
      <c r="G1126" s="120">
        <f>IF(ISERROR(MATCH(B1126,MASTER!$B:$B,0)),B1126,0)</f>
        <v>0</v>
      </c>
      <c r="H1126" s="120">
        <f>IF(ISERROR(MATCH(MASTER!B1131,'Peoplesoft Classlist'!$B:$B,0)),MASTER!B1131,0)</f>
        <v>0</v>
      </c>
    </row>
    <row r="1127" spans="2:8" x14ac:dyDescent="0.25">
      <c r="B1127" s="114"/>
      <c r="C1127" s="114"/>
      <c r="D1127" s="114"/>
      <c r="G1127" s="120">
        <f>IF(ISERROR(MATCH(B1127,MASTER!$B:$B,0)),B1127,0)</f>
        <v>0</v>
      </c>
      <c r="H1127" s="120">
        <f>IF(ISERROR(MATCH(MASTER!B1132,'Peoplesoft Classlist'!$B:$B,0)),MASTER!B1132,0)</f>
        <v>0</v>
      </c>
    </row>
    <row r="1128" spans="2:8" x14ac:dyDescent="0.25">
      <c r="B1128" s="114"/>
      <c r="C1128" s="114"/>
      <c r="D1128" s="114"/>
      <c r="G1128" s="120">
        <f>IF(ISERROR(MATCH(B1128,MASTER!$B:$B,0)),B1128,0)</f>
        <v>0</v>
      </c>
      <c r="H1128" s="120">
        <f>IF(ISERROR(MATCH(MASTER!B1133,'Peoplesoft Classlist'!$B:$B,0)),MASTER!B1133,0)</f>
        <v>0</v>
      </c>
    </row>
    <row r="1129" spans="2:8" x14ac:dyDescent="0.25">
      <c r="B1129" s="114"/>
      <c r="C1129" s="114"/>
      <c r="D1129" s="114"/>
      <c r="G1129" s="120">
        <f>IF(ISERROR(MATCH(B1129,MASTER!$B:$B,0)),B1129,0)</f>
        <v>0</v>
      </c>
      <c r="H1129" s="120">
        <f>IF(ISERROR(MATCH(MASTER!B1134,'Peoplesoft Classlist'!$B:$B,0)),MASTER!B1134,0)</f>
        <v>0</v>
      </c>
    </row>
    <row r="1130" spans="2:8" x14ac:dyDescent="0.25">
      <c r="B1130" s="114"/>
      <c r="C1130" s="114"/>
      <c r="D1130" s="114"/>
      <c r="G1130" s="120">
        <f>IF(ISERROR(MATCH(B1130,MASTER!$B:$B,0)),B1130,0)</f>
        <v>0</v>
      </c>
      <c r="H1130" s="120">
        <f>IF(ISERROR(MATCH(MASTER!B1135,'Peoplesoft Classlist'!$B:$B,0)),MASTER!B1135,0)</f>
        <v>0</v>
      </c>
    </row>
    <row r="1131" spans="2:8" x14ac:dyDescent="0.25">
      <c r="B1131" s="114"/>
      <c r="C1131" s="114"/>
      <c r="D1131" s="114"/>
      <c r="G1131" s="120">
        <f>IF(ISERROR(MATCH(B1131,MASTER!$B:$B,0)),B1131,0)</f>
        <v>0</v>
      </c>
      <c r="H1131" s="120">
        <f>IF(ISERROR(MATCH(MASTER!B1136,'Peoplesoft Classlist'!$B:$B,0)),MASTER!B1136,0)</f>
        <v>0</v>
      </c>
    </row>
    <row r="1132" spans="2:8" x14ac:dyDescent="0.25">
      <c r="B1132" s="114"/>
      <c r="C1132" s="114"/>
      <c r="D1132" s="114"/>
      <c r="G1132" s="120">
        <f>IF(ISERROR(MATCH(B1132,MASTER!$B:$B,0)),B1132,0)</f>
        <v>0</v>
      </c>
      <c r="H1132" s="120">
        <f>IF(ISERROR(MATCH(MASTER!B1137,'Peoplesoft Classlist'!$B:$B,0)),MASTER!B1137,0)</f>
        <v>0</v>
      </c>
    </row>
    <row r="1133" spans="2:8" x14ac:dyDescent="0.25">
      <c r="B1133" s="114"/>
      <c r="C1133" s="114"/>
      <c r="D1133" s="114"/>
      <c r="G1133" s="120">
        <f>IF(ISERROR(MATCH(B1133,MASTER!$B:$B,0)),B1133,0)</f>
        <v>0</v>
      </c>
      <c r="H1133" s="120">
        <f>IF(ISERROR(MATCH(MASTER!B1138,'Peoplesoft Classlist'!$B:$B,0)),MASTER!B1138,0)</f>
        <v>0</v>
      </c>
    </row>
    <row r="1134" spans="2:8" x14ac:dyDescent="0.25">
      <c r="B1134" s="114"/>
      <c r="C1134" s="114"/>
      <c r="D1134" s="114"/>
      <c r="G1134" s="120">
        <f>IF(ISERROR(MATCH(B1134,MASTER!$B:$B,0)),B1134,0)</f>
        <v>0</v>
      </c>
      <c r="H1134" s="120">
        <f>IF(ISERROR(MATCH(MASTER!B1139,'Peoplesoft Classlist'!$B:$B,0)),MASTER!B1139,0)</f>
        <v>0</v>
      </c>
    </row>
    <row r="1135" spans="2:8" x14ac:dyDescent="0.25">
      <c r="B1135" s="114"/>
      <c r="C1135" s="114"/>
      <c r="D1135" s="114"/>
      <c r="G1135" s="120">
        <f>IF(ISERROR(MATCH(B1135,MASTER!$B:$B,0)),B1135,0)</f>
        <v>0</v>
      </c>
      <c r="H1135" s="120">
        <f>IF(ISERROR(MATCH(MASTER!B1140,'Peoplesoft Classlist'!$B:$B,0)),MASTER!B1140,0)</f>
        <v>0</v>
      </c>
    </row>
    <row r="1136" spans="2:8" x14ac:dyDescent="0.25">
      <c r="B1136" s="114"/>
      <c r="C1136" s="114"/>
      <c r="D1136" s="114"/>
      <c r="G1136" s="120">
        <f>IF(ISERROR(MATCH(B1136,MASTER!$B:$B,0)),B1136,0)</f>
        <v>0</v>
      </c>
      <c r="H1136" s="120">
        <f>IF(ISERROR(MATCH(MASTER!B1141,'Peoplesoft Classlist'!$B:$B,0)),MASTER!B1141,0)</f>
        <v>0</v>
      </c>
    </row>
    <row r="1137" spans="2:8" x14ac:dyDescent="0.25">
      <c r="B1137" s="114"/>
      <c r="C1137" s="114"/>
      <c r="D1137" s="114"/>
      <c r="G1137" s="120">
        <f>IF(ISERROR(MATCH(B1137,MASTER!$B:$B,0)),B1137,0)</f>
        <v>0</v>
      </c>
      <c r="H1137" s="120">
        <f>IF(ISERROR(MATCH(MASTER!B1142,'Peoplesoft Classlist'!$B:$B,0)),MASTER!B1142,0)</f>
        <v>0</v>
      </c>
    </row>
    <row r="1138" spans="2:8" x14ac:dyDescent="0.25">
      <c r="B1138" s="114"/>
      <c r="C1138" s="114"/>
      <c r="D1138" s="114"/>
      <c r="G1138" s="120">
        <f>IF(ISERROR(MATCH(B1138,MASTER!$B:$B,0)),B1138,0)</f>
        <v>0</v>
      </c>
      <c r="H1138" s="120">
        <f>IF(ISERROR(MATCH(MASTER!B1143,'Peoplesoft Classlist'!$B:$B,0)),MASTER!B1143,0)</f>
        <v>0</v>
      </c>
    </row>
    <row r="1139" spans="2:8" x14ac:dyDescent="0.25">
      <c r="B1139" s="114"/>
      <c r="C1139" s="114"/>
      <c r="D1139" s="114"/>
      <c r="G1139" s="120">
        <f>IF(ISERROR(MATCH(B1139,MASTER!$B:$B,0)),B1139,0)</f>
        <v>0</v>
      </c>
      <c r="H1139" s="120">
        <f>IF(ISERROR(MATCH(MASTER!B1144,'Peoplesoft Classlist'!$B:$B,0)),MASTER!B1144,0)</f>
        <v>0</v>
      </c>
    </row>
    <row r="1140" spans="2:8" x14ac:dyDescent="0.25">
      <c r="B1140" s="114"/>
      <c r="C1140" s="114"/>
      <c r="D1140" s="114"/>
      <c r="G1140" s="120">
        <f>IF(ISERROR(MATCH(B1140,MASTER!$B:$B,0)),B1140,0)</f>
        <v>0</v>
      </c>
      <c r="H1140" s="120">
        <f>IF(ISERROR(MATCH(MASTER!B1145,'Peoplesoft Classlist'!$B:$B,0)),MASTER!B1145,0)</f>
        <v>0</v>
      </c>
    </row>
    <row r="1141" spans="2:8" x14ac:dyDescent="0.25">
      <c r="B1141" s="114"/>
      <c r="C1141" s="114"/>
      <c r="D1141" s="114"/>
      <c r="G1141" s="120">
        <f>IF(ISERROR(MATCH(B1141,MASTER!$B:$B,0)),B1141,0)</f>
        <v>0</v>
      </c>
      <c r="H1141" s="120">
        <f>IF(ISERROR(MATCH(MASTER!B1146,'Peoplesoft Classlist'!$B:$B,0)),MASTER!B1146,0)</f>
        <v>0</v>
      </c>
    </row>
    <row r="1142" spans="2:8" x14ac:dyDescent="0.25">
      <c r="B1142" s="114"/>
      <c r="C1142" s="114"/>
      <c r="D1142" s="114"/>
      <c r="G1142" s="120">
        <f>IF(ISERROR(MATCH(B1142,MASTER!$B:$B,0)),B1142,0)</f>
        <v>0</v>
      </c>
      <c r="H1142" s="120">
        <f>IF(ISERROR(MATCH(MASTER!B1147,'Peoplesoft Classlist'!$B:$B,0)),MASTER!B1147,0)</f>
        <v>0</v>
      </c>
    </row>
    <row r="1143" spans="2:8" x14ac:dyDescent="0.25">
      <c r="B1143" s="114"/>
      <c r="C1143" s="114"/>
      <c r="D1143" s="114"/>
      <c r="G1143" s="120">
        <f>IF(ISERROR(MATCH(B1143,MASTER!$B:$B,0)),B1143,0)</f>
        <v>0</v>
      </c>
      <c r="H1143" s="120">
        <f>IF(ISERROR(MATCH(MASTER!B1148,'Peoplesoft Classlist'!$B:$B,0)),MASTER!B1148,0)</f>
        <v>0</v>
      </c>
    </row>
    <row r="1144" spans="2:8" x14ac:dyDescent="0.25">
      <c r="B1144" s="114"/>
      <c r="C1144" s="114"/>
      <c r="D1144" s="114"/>
      <c r="G1144" s="120">
        <f>IF(ISERROR(MATCH(B1144,MASTER!$B:$B,0)),B1144,0)</f>
        <v>0</v>
      </c>
      <c r="H1144" s="120">
        <f>IF(ISERROR(MATCH(MASTER!B1149,'Peoplesoft Classlist'!$B:$B,0)),MASTER!B1149,0)</f>
        <v>0</v>
      </c>
    </row>
    <row r="1145" spans="2:8" x14ac:dyDescent="0.25">
      <c r="B1145" s="114"/>
      <c r="C1145" s="114"/>
      <c r="D1145" s="114"/>
      <c r="G1145" s="120">
        <f>IF(ISERROR(MATCH(B1145,MASTER!$B:$B,0)),B1145,0)</f>
        <v>0</v>
      </c>
      <c r="H1145" s="120">
        <f>IF(ISERROR(MATCH(MASTER!B1150,'Peoplesoft Classlist'!$B:$B,0)),MASTER!B1150,0)</f>
        <v>0</v>
      </c>
    </row>
    <row r="1146" spans="2:8" x14ac:dyDescent="0.25">
      <c r="B1146" s="114"/>
      <c r="C1146" s="114"/>
      <c r="D1146" s="114"/>
      <c r="G1146" s="120">
        <f>IF(ISERROR(MATCH(B1146,MASTER!$B:$B,0)),B1146,0)</f>
        <v>0</v>
      </c>
      <c r="H1146" s="120">
        <f>IF(ISERROR(MATCH(MASTER!B1151,'Peoplesoft Classlist'!$B:$B,0)),MASTER!B1151,0)</f>
        <v>0</v>
      </c>
    </row>
    <row r="1147" spans="2:8" x14ac:dyDescent="0.25">
      <c r="B1147" s="114"/>
      <c r="C1147" s="114"/>
      <c r="D1147" s="114"/>
      <c r="G1147" s="120">
        <f>IF(ISERROR(MATCH(B1147,MASTER!$B:$B,0)),B1147,0)</f>
        <v>0</v>
      </c>
      <c r="H1147" s="120">
        <f>IF(ISERROR(MATCH(MASTER!B1152,'Peoplesoft Classlist'!$B:$B,0)),MASTER!B1152,0)</f>
        <v>0</v>
      </c>
    </row>
    <row r="1148" spans="2:8" x14ac:dyDescent="0.25">
      <c r="B1148" s="114"/>
      <c r="C1148" s="114"/>
      <c r="D1148" s="114"/>
      <c r="G1148" s="120">
        <f>IF(ISERROR(MATCH(B1148,MASTER!$B:$B,0)),B1148,0)</f>
        <v>0</v>
      </c>
      <c r="H1148" s="120">
        <f>IF(ISERROR(MATCH(MASTER!B1153,'Peoplesoft Classlist'!$B:$B,0)),MASTER!B1153,0)</f>
        <v>0</v>
      </c>
    </row>
    <row r="1149" spans="2:8" x14ac:dyDescent="0.25">
      <c r="B1149" s="114"/>
      <c r="C1149" s="114"/>
      <c r="D1149" s="114"/>
      <c r="G1149" s="120">
        <f>IF(ISERROR(MATCH(B1149,MASTER!$B:$B,0)),B1149,0)</f>
        <v>0</v>
      </c>
      <c r="H1149" s="120">
        <f>IF(ISERROR(MATCH(MASTER!B1154,'Peoplesoft Classlist'!$B:$B,0)),MASTER!B1154,0)</f>
        <v>0</v>
      </c>
    </row>
    <row r="1150" spans="2:8" x14ac:dyDescent="0.25">
      <c r="B1150" s="114"/>
      <c r="C1150" s="114"/>
      <c r="D1150" s="114"/>
      <c r="G1150" s="120">
        <f>IF(ISERROR(MATCH(B1150,MASTER!$B:$B,0)),B1150,0)</f>
        <v>0</v>
      </c>
      <c r="H1150" s="120">
        <f>IF(ISERROR(MATCH(MASTER!B1155,'Peoplesoft Classlist'!$B:$B,0)),MASTER!B1155,0)</f>
        <v>0</v>
      </c>
    </row>
    <row r="1151" spans="2:8" x14ac:dyDescent="0.25">
      <c r="B1151" s="114"/>
      <c r="C1151" s="114"/>
      <c r="D1151" s="114"/>
      <c r="G1151" s="120">
        <f>IF(ISERROR(MATCH(B1151,MASTER!$B:$B,0)),B1151,0)</f>
        <v>0</v>
      </c>
      <c r="H1151" s="120">
        <f>IF(ISERROR(MATCH(MASTER!B1156,'Peoplesoft Classlist'!$B:$B,0)),MASTER!B1156,0)</f>
        <v>0</v>
      </c>
    </row>
    <row r="1152" spans="2:8" x14ac:dyDescent="0.25">
      <c r="B1152" s="114"/>
      <c r="C1152" s="114"/>
      <c r="D1152" s="114"/>
      <c r="G1152" s="120">
        <f>IF(ISERROR(MATCH(B1152,MASTER!$B:$B,0)),B1152,0)</f>
        <v>0</v>
      </c>
      <c r="H1152" s="120">
        <f>IF(ISERROR(MATCH(MASTER!B1157,'Peoplesoft Classlist'!$B:$B,0)),MASTER!B1157,0)</f>
        <v>0</v>
      </c>
    </row>
    <row r="1153" spans="2:8" x14ac:dyDescent="0.25">
      <c r="B1153" s="114"/>
      <c r="C1153" s="114"/>
      <c r="D1153" s="114"/>
      <c r="G1153" s="120">
        <f>IF(ISERROR(MATCH(B1153,MASTER!$B:$B,0)),B1153,0)</f>
        <v>0</v>
      </c>
      <c r="H1153" s="120">
        <f>IF(ISERROR(MATCH(MASTER!B1158,'Peoplesoft Classlist'!$B:$B,0)),MASTER!B1158,0)</f>
        <v>0</v>
      </c>
    </row>
    <row r="1154" spans="2:8" x14ac:dyDescent="0.25">
      <c r="B1154" s="114"/>
      <c r="C1154" s="114"/>
      <c r="D1154" s="114"/>
      <c r="G1154" s="120">
        <f>IF(ISERROR(MATCH(B1154,MASTER!$B:$B,0)),B1154,0)</f>
        <v>0</v>
      </c>
      <c r="H1154" s="120">
        <f>IF(ISERROR(MATCH(MASTER!B1159,'Peoplesoft Classlist'!$B:$B,0)),MASTER!B1159,0)</f>
        <v>0</v>
      </c>
    </row>
    <row r="1155" spans="2:8" x14ac:dyDescent="0.25">
      <c r="B1155" s="114"/>
      <c r="C1155" s="114"/>
      <c r="D1155" s="114"/>
      <c r="G1155" s="120">
        <f>IF(ISERROR(MATCH(B1155,MASTER!$B:$B,0)),B1155,0)</f>
        <v>0</v>
      </c>
      <c r="H1155" s="120">
        <f>IF(ISERROR(MATCH(MASTER!B1160,'Peoplesoft Classlist'!$B:$B,0)),MASTER!B1160,0)</f>
        <v>0</v>
      </c>
    </row>
    <row r="1156" spans="2:8" x14ac:dyDescent="0.25">
      <c r="B1156" s="114"/>
      <c r="C1156" s="114"/>
      <c r="D1156" s="114"/>
      <c r="G1156" s="120">
        <f>IF(ISERROR(MATCH(B1156,MASTER!$B:$B,0)),B1156,0)</f>
        <v>0</v>
      </c>
      <c r="H1156" s="120">
        <f>IF(ISERROR(MATCH(MASTER!B1161,'Peoplesoft Classlist'!$B:$B,0)),MASTER!B1161,0)</f>
        <v>0</v>
      </c>
    </row>
    <row r="1157" spans="2:8" x14ac:dyDescent="0.25">
      <c r="B1157" s="114"/>
      <c r="C1157" s="114"/>
      <c r="D1157" s="114"/>
      <c r="G1157" s="120">
        <f>IF(ISERROR(MATCH(B1157,MASTER!$B:$B,0)),B1157,0)</f>
        <v>0</v>
      </c>
      <c r="H1157" s="120">
        <f>IF(ISERROR(MATCH(MASTER!B1162,'Peoplesoft Classlist'!$B:$B,0)),MASTER!B1162,0)</f>
        <v>0</v>
      </c>
    </row>
    <row r="1158" spans="2:8" x14ac:dyDescent="0.25">
      <c r="B1158" s="114"/>
      <c r="C1158" s="114"/>
      <c r="D1158" s="114"/>
      <c r="G1158" s="120">
        <f>IF(ISERROR(MATCH(B1158,MASTER!$B:$B,0)),B1158,0)</f>
        <v>0</v>
      </c>
      <c r="H1158" s="120">
        <f>IF(ISERROR(MATCH(MASTER!B1163,'Peoplesoft Classlist'!$B:$B,0)),MASTER!B1163,0)</f>
        <v>0</v>
      </c>
    </row>
    <row r="1159" spans="2:8" x14ac:dyDescent="0.25">
      <c r="B1159" s="114"/>
      <c r="C1159" s="114"/>
      <c r="D1159" s="114"/>
      <c r="G1159" s="120">
        <f>IF(ISERROR(MATCH(B1159,MASTER!$B:$B,0)),B1159,0)</f>
        <v>0</v>
      </c>
      <c r="H1159" s="120">
        <f>IF(ISERROR(MATCH(MASTER!B1164,'Peoplesoft Classlist'!$B:$B,0)),MASTER!B1164,0)</f>
        <v>0</v>
      </c>
    </row>
    <row r="1160" spans="2:8" x14ac:dyDescent="0.25">
      <c r="B1160" s="114"/>
      <c r="C1160" s="114"/>
      <c r="D1160" s="114"/>
      <c r="G1160" s="120">
        <f>IF(ISERROR(MATCH(B1160,MASTER!$B:$B,0)),B1160,0)</f>
        <v>0</v>
      </c>
      <c r="H1160" s="120">
        <f>IF(ISERROR(MATCH(MASTER!B1165,'Peoplesoft Classlist'!$B:$B,0)),MASTER!B1165,0)</f>
        <v>0</v>
      </c>
    </row>
    <row r="1161" spans="2:8" x14ac:dyDescent="0.25">
      <c r="B1161" s="114"/>
      <c r="C1161" s="114"/>
      <c r="D1161" s="114"/>
      <c r="G1161" s="120">
        <f>IF(ISERROR(MATCH(B1161,MASTER!$B:$B,0)),B1161,0)</f>
        <v>0</v>
      </c>
      <c r="H1161" s="120">
        <f>IF(ISERROR(MATCH(MASTER!B1166,'Peoplesoft Classlist'!$B:$B,0)),MASTER!B1166,0)</f>
        <v>0</v>
      </c>
    </row>
    <row r="1162" spans="2:8" x14ac:dyDescent="0.25">
      <c r="B1162" s="114"/>
      <c r="C1162" s="114"/>
      <c r="D1162" s="114"/>
      <c r="G1162" s="120">
        <f>IF(ISERROR(MATCH(B1162,MASTER!$B:$B,0)),B1162,0)</f>
        <v>0</v>
      </c>
      <c r="H1162" s="120">
        <f>IF(ISERROR(MATCH(MASTER!B1167,'Peoplesoft Classlist'!$B:$B,0)),MASTER!B1167,0)</f>
        <v>0</v>
      </c>
    </row>
    <row r="1163" spans="2:8" x14ac:dyDescent="0.25">
      <c r="B1163" s="114"/>
      <c r="C1163" s="114"/>
      <c r="D1163" s="114"/>
      <c r="G1163" s="120">
        <f>IF(ISERROR(MATCH(B1163,MASTER!$B:$B,0)),B1163,0)</f>
        <v>0</v>
      </c>
      <c r="H1163" s="120">
        <f>IF(ISERROR(MATCH(MASTER!B1168,'Peoplesoft Classlist'!$B:$B,0)),MASTER!B1168,0)</f>
        <v>0</v>
      </c>
    </row>
    <row r="1164" spans="2:8" x14ac:dyDescent="0.25">
      <c r="B1164" s="114"/>
      <c r="C1164" s="114"/>
      <c r="D1164" s="114"/>
      <c r="G1164" s="120">
        <f>IF(ISERROR(MATCH(B1164,MASTER!$B:$B,0)),B1164,0)</f>
        <v>0</v>
      </c>
      <c r="H1164" s="120">
        <f>IF(ISERROR(MATCH(MASTER!B1169,'Peoplesoft Classlist'!$B:$B,0)),MASTER!B1169,0)</f>
        <v>0</v>
      </c>
    </row>
    <row r="1165" spans="2:8" x14ac:dyDescent="0.25">
      <c r="B1165" s="114"/>
      <c r="C1165" s="114"/>
      <c r="D1165" s="114"/>
      <c r="G1165" s="120">
        <f>IF(ISERROR(MATCH(B1165,MASTER!$B:$B,0)),B1165,0)</f>
        <v>0</v>
      </c>
      <c r="H1165" s="120">
        <f>IF(ISERROR(MATCH(MASTER!B1170,'Peoplesoft Classlist'!$B:$B,0)),MASTER!B1170,0)</f>
        <v>0</v>
      </c>
    </row>
    <row r="1166" spans="2:8" x14ac:dyDescent="0.25">
      <c r="B1166" s="114"/>
      <c r="C1166" s="114"/>
      <c r="D1166" s="114"/>
      <c r="G1166" s="120">
        <f>IF(ISERROR(MATCH(B1166,MASTER!$B:$B,0)),B1166,0)</f>
        <v>0</v>
      </c>
      <c r="H1166" s="120">
        <f>IF(ISERROR(MATCH(MASTER!B1171,'Peoplesoft Classlist'!$B:$B,0)),MASTER!B1171,0)</f>
        <v>0</v>
      </c>
    </row>
    <row r="1167" spans="2:8" x14ac:dyDescent="0.25">
      <c r="B1167" s="114"/>
      <c r="C1167" s="114"/>
      <c r="D1167" s="114"/>
      <c r="G1167" s="120">
        <f>IF(ISERROR(MATCH(B1167,MASTER!$B:$B,0)),B1167,0)</f>
        <v>0</v>
      </c>
      <c r="H1167" s="120">
        <f>IF(ISERROR(MATCH(MASTER!B1172,'Peoplesoft Classlist'!$B:$B,0)),MASTER!B1172,0)</f>
        <v>0</v>
      </c>
    </row>
    <row r="1168" spans="2:8" x14ac:dyDescent="0.25">
      <c r="B1168" s="114"/>
      <c r="C1168" s="114"/>
      <c r="D1168" s="114"/>
      <c r="G1168" s="120">
        <f>IF(ISERROR(MATCH(B1168,MASTER!$B:$B,0)),B1168,0)</f>
        <v>0</v>
      </c>
      <c r="H1168" s="120">
        <f>IF(ISERROR(MATCH(MASTER!B1173,'Peoplesoft Classlist'!$B:$B,0)),MASTER!B1173,0)</f>
        <v>0</v>
      </c>
    </row>
    <row r="1169" spans="2:8" x14ac:dyDescent="0.25">
      <c r="B1169" s="114"/>
      <c r="C1169" s="114"/>
      <c r="D1169" s="114"/>
      <c r="G1169" s="120">
        <f>IF(ISERROR(MATCH(B1169,MASTER!$B:$B,0)),B1169,0)</f>
        <v>0</v>
      </c>
      <c r="H1169" s="120">
        <f>IF(ISERROR(MATCH(MASTER!B1174,'Peoplesoft Classlist'!$B:$B,0)),MASTER!B1174,0)</f>
        <v>0</v>
      </c>
    </row>
    <row r="1170" spans="2:8" x14ac:dyDescent="0.25">
      <c r="B1170" s="114"/>
      <c r="C1170" s="114"/>
      <c r="D1170" s="114"/>
      <c r="G1170" s="120">
        <f>IF(ISERROR(MATCH(B1170,MASTER!$B:$B,0)),B1170,0)</f>
        <v>0</v>
      </c>
      <c r="H1170" s="120">
        <f>IF(ISERROR(MATCH(MASTER!B1175,'Peoplesoft Classlist'!$B:$B,0)),MASTER!B1175,0)</f>
        <v>0</v>
      </c>
    </row>
    <row r="1171" spans="2:8" x14ac:dyDescent="0.25">
      <c r="B1171" s="114"/>
      <c r="C1171" s="114"/>
      <c r="D1171" s="114"/>
      <c r="G1171" s="120">
        <f>IF(ISERROR(MATCH(B1171,MASTER!$B:$B,0)),B1171,0)</f>
        <v>0</v>
      </c>
      <c r="H1171" s="120">
        <f>IF(ISERROR(MATCH(MASTER!B1176,'Peoplesoft Classlist'!$B:$B,0)),MASTER!B1176,0)</f>
        <v>0</v>
      </c>
    </row>
    <row r="1172" spans="2:8" x14ac:dyDescent="0.25">
      <c r="B1172" s="114"/>
      <c r="C1172" s="114"/>
      <c r="D1172" s="114"/>
      <c r="G1172" s="120">
        <f>IF(ISERROR(MATCH(B1172,MASTER!$B:$B,0)),B1172,0)</f>
        <v>0</v>
      </c>
      <c r="H1172" s="120">
        <f>IF(ISERROR(MATCH(MASTER!B1177,'Peoplesoft Classlist'!$B:$B,0)),MASTER!B1177,0)</f>
        <v>0</v>
      </c>
    </row>
    <row r="1173" spans="2:8" x14ac:dyDescent="0.25">
      <c r="B1173" s="114"/>
      <c r="C1173" s="114"/>
      <c r="D1173" s="114"/>
      <c r="G1173" s="120">
        <f>IF(ISERROR(MATCH(B1173,MASTER!$B:$B,0)),B1173,0)</f>
        <v>0</v>
      </c>
      <c r="H1173" s="120">
        <f>IF(ISERROR(MATCH(MASTER!B1178,'Peoplesoft Classlist'!$B:$B,0)),MASTER!B1178,0)</f>
        <v>0</v>
      </c>
    </row>
    <row r="1174" spans="2:8" x14ac:dyDescent="0.25">
      <c r="B1174" s="114"/>
      <c r="C1174" s="114"/>
      <c r="D1174" s="114"/>
      <c r="G1174" s="120">
        <f>IF(ISERROR(MATCH(B1174,MASTER!$B:$B,0)),B1174,0)</f>
        <v>0</v>
      </c>
      <c r="H1174" s="120">
        <f>IF(ISERROR(MATCH(MASTER!B1179,'Peoplesoft Classlist'!$B:$B,0)),MASTER!B1179,0)</f>
        <v>0</v>
      </c>
    </row>
    <row r="1175" spans="2:8" x14ac:dyDescent="0.25">
      <c r="B1175" s="114"/>
      <c r="C1175" s="114"/>
      <c r="D1175" s="114"/>
      <c r="G1175" s="120">
        <f>IF(ISERROR(MATCH(B1175,MASTER!$B:$B,0)),B1175,0)</f>
        <v>0</v>
      </c>
      <c r="H1175" s="120">
        <f>IF(ISERROR(MATCH(MASTER!B1180,'Peoplesoft Classlist'!$B:$B,0)),MASTER!B1180,0)</f>
        <v>0</v>
      </c>
    </row>
    <row r="1176" spans="2:8" x14ac:dyDescent="0.25">
      <c r="B1176" s="114"/>
      <c r="C1176" s="114"/>
      <c r="D1176" s="114"/>
      <c r="G1176" s="120">
        <f>IF(ISERROR(MATCH(B1176,MASTER!$B:$B,0)),B1176,0)</f>
        <v>0</v>
      </c>
      <c r="H1176" s="120">
        <f>IF(ISERROR(MATCH(MASTER!B1181,'Peoplesoft Classlist'!$B:$B,0)),MASTER!B1181,0)</f>
        <v>0</v>
      </c>
    </row>
    <row r="1177" spans="2:8" x14ac:dyDescent="0.25">
      <c r="B1177" s="114"/>
      <c r="C1177" s="114"/>
      <c r="D1177" s="114"/>
      <c r="G1177" s="120">
        <f>IF(ISERROR(MATCH(B1177,MASTER!$B:$B,0)),B1177,0)</f>
        <v>0</v>
      </c>
      <c r="H1177" s="120">
        <f>IF(ISERROR(MATCH(MASTER!B1182,'Peoplesoft Classlist'!$B:$B,0)),MASTER!B1182,0)</f>
        <v>0</v>
      </c>
    </row>
    <row r="1178" spans="2:8" x14ac:dyDescent="0.25">
      <c r="B1178" s="114"/>
      <c r="C1178" s="114"/>
      <c r="D1178" s="114"/>
      <c r="G1178" s="120">
        <f>IF(ISERROR(MATCH(B1178,MASTER!$B:$B,0)),B1178,0)</f>
        <v>0</v>
      </c>
      <c r="H1178" s="120">
        <f>IF(ISERROR(MATCH(MASTER!B1183,'Peoplesoft Classlist'!$B:$B,0)),MASTER!B1183,0)</f>
        <v>0</v>
      </c>
    </row>
    <row r="1179" spans="2:8" x14ac:dyDescent="0.25">
      <c r="B1179" s="114"/>
      <c r="C1179" s="114"/>
      <c r="D1179" s="114"/>
      <c r="G1179" s="120">
        <f>IF(ISERROR(MATCH(B1179,MASTER!$B:$B,0)),B1179,0)</f>
        <v>0</v>
      </c>
      <c r="H1179" s="120">
        <f>IF(ISERROR(MATCH(MASTER!B1184,'Peoplesoft Classlist'!$B:$B,0)),MASTER!B1184,0)</f>
        <v>0</v>
      </c>
    </row>
    <row r="1180" spans="2:8" x14ac:dyDescent="0.25">
      <c r="B1180" s="114"/>
      <c r="C1180" s="114"/>
      <c r="D1180" s="114"/>
      <c r="G1180" s="120">
        <f>IF(ISERROR(MATCH(B1180,MASTER!$B:$B,0)),B1180,0)</f>
        <v>0</v>
      </c>
      <c r="H1180" s="120">
        <f>IF(ISERROR(MATCH(MASTER!B1185,'Peoplesoft Classlist'!$B:$B,0)),MASTER!B1185,0)</f>
        <v>0</v>
      </c>
    </row>
    <row r="1181" spans="2:8" x14ac:dyDescent="0.25">
      <c r="B1181" s="114"/>
      <c r="C1181" s="114"/>
      <c r="D1181" s="114"/>
      <c r="G1181" s="120">
        <f>IF(ISERROR(MATCH(B1181,MASTER!$B:$B,0)),B1181,0)</f>
        <v>0</v>
      </c>
      <c r="H1181" s="120">
        <f>IF(ISERROR(MATCH(MASTER!B1186,'Peoplesoft Classlist'!$B:$B,0)),MASTER!B1186,0)</f>
        <v>0</v>
      </c>
    </row>
    <row r="1182" spans="2:8" x14ac:dyDescent="0.25">
      <c r="B1182" s="114"/>
      <c r="C1182" s="114"/>
      <c r="D1182" s="114"/>
      <c r="G1182" s="120">
        <f>IF(ISERROR(MATCH(B1182,MASTER!$B:$B,0)),B1182,0)</f>
        <v>0</v>
      </c>
      <c r="H1182" s="120">
        <f>IF(ISERROR(MATCH(MASTER!B1187,'Peoplesoft Classlist'!$B:$B,0)),MASTER!B1187,0)</f>
        <v>0</v>
      </c>
    </row>
    <row r="1183" spans="2:8" x14ac:dyDescent="0.25">
      <c r="B1183" s="114"/>
      <c r="C1183" s="114"/>
      <c r="D1183" s="114"/>
      <c r="G1183" s="120">
        <f>IF(ISERROR(MATCH(B1183,MASTER!$B:$B,0)),B1183,0)</f>
        <v>0</v>
      </c>
      <c r="H1183" s="120">
        <f>IF(ISERROR(MATCH(MASTER!B1188,'Peoplesoft Classlist'!$B:$B,0)),MASTER!B1188,0)</f>
        <v>0</v>
      </c>
    </row>
    <row r="1184" spans="2:8" x14ac:dyDescent="0.25">
      <c r="B1184" s="114"/>
      <c r="C1184" s="114"/>
      <c r="D1184" s="114"/>
      <c r="G1184" s="120">
        <f>IF(ISERROR(MATCH(B1184,MASTER!$B:$B,0)),B1184,0)</f>
        <v>0</v>
      </c>
      <c r="H1184" s="120">
        <f>IF(ISERROR(MATCH(MASTER!B1189,'Peoplesoft Classlist'!$B:$B,0)),MASTER!B1189,0)</f>
        <v>0</v>
      </c>
    </row>
    <row r="1185" spans="2:8" x14ac:dyDescent="0.25">
      <c r="B1185" s="114"/>
      <c r="C1185" s="114"/>
      <c r="D1185" s="114"/>
      <c r="G1185" s="120">
        <f>IF(ISERROR(MATCH(B1185,MASTER!$B:$B,0)),B1185,0)</f>
        <v>0</v>
      </c>
      <c r="H1185" s="120">
        <f>IF(ISERROR(MATCH(MASTER!B1190,'Peoplesoft Classlist'!$B:$B,0)),MASTER!B1190,0)</f>
        <v>0</v>
      </c>
    </row>
    <row r="1186" spans="2:8" x14ac:dyDescent="0.25">
      <c r="B1186" s="114"/>
      <c r="C1186" s="114"/>
      <c r="D1186" s="114"/>
      <c r="G1186" s="120">
        <f>IF(ISERROR(MATCH(B1186,MASTER!$B:$B,0)),B1186,0)</f>
        <v>0</v>
      </c>
      <c r="H1186" s="120">
        <f>IF(ISERROR(MATCH(MASTER!B1191,'Peoplesoft Classlist'!$B:$B,0)),MASTER!B1191,0)</f>
        <v>0</v>
      </c>
    </row>
    <row r="1187" spans="2:8" x14ac:dyDescent="0.25">
      <c r="B1187" s="114"/>
      <c r="C1187" s="114"/>
      <c r="D1187" s="114"/>
      <c r="G1187" s="120">
        <f>IF(ISERROR(MATCH(B1187,MASTER!$B:$B,0)),B1187,0)</f>
        <v>0</v>
      </c>
      <c r="H1187" s="120">
        <f>IF(ISERROR(MATCH(MASTER!B1192,'Peoplesoft Classlist'!$B:$B,0)),MASTER!B1192,0)</f>
        <v>0</v>
      </c>
    </row>
    <row r="1188" spans="2:8" x14ac:dyDescent="0.25">
      <c r="B1188" s="114"/>
      <c r="C1188" s="114"/>
      <c r="D1188" s="114"/>
      <c r="G1188" s="120">
        <f>IF(ISERROR(MATCH(B1188,MASTER!$B:$B,0)),B1188,0)</f>
        <v>0</v>
      </c>
      <c r="H1188" s="120">
        <f>IF(ISERROR(MATCH(MASTER!B1193,'Peoplesoft Classlist'!$B:$B,0)),MASTER!B1193,0)</f>
        <v>0</v>
      </c>
    </row>
    <row r="1189" spans="2:8" x14ac:dyDescent="0.25">
      <c r="B1189" s="114"/>
      <c r="C1189" s="114"/>
      <c r="D1189" s="114"/>
      <c r="G1189" s="120">
        <f>IF(ISERROR(MATCH(B1189,MASTER!$B:$B,0)),B1189,0)</f>
        <v>0</v>
      </c>
      <c r="H1189" s="120">
        <f>IF(ISERROR(MATCH(MASTER!B1194,'Peoplesoft Classlist'!$B:$B,0)),MASTER!B1194,0)</f>
        <v>0</v>
      </c>
    </row>
    <row r="1190" spans="2:8" x14ac:dyDescent="0.25">
      <c r="B1190" s="114"/>
      <c r="C1190" s="114"/>
      <c r="D1190" s="114"/>
      <c r="G1190" s="120">
        <f>IF(ISERROR(MATCH(B1190,MASTER!$B:$B,0)),B1190,0)</f>
        <v>0</v>
      </c>
      <c r="H1190" s="120">
        <f>IF(ISERROR(MATCH(MASTER!B1195,'Peoplesoft Classlist'!$B:$B,0)),MASTER!B1195,0)</f>
        <v>0</v>
      </c>
    </row>
    <row r="1191" spans="2:8" x14ac:dyDescent="0.25">
      <c r="B1191" s="114"/>
      <c r="C1191" s="114"/>
      <c r="D1191" s="114"/>
      <c r="G1191" s="120">
        <f>IF(ISERROR(MATCH(B1191,MASTER!$B:$B,0)),B1191,0)</f>
        <v>0</v>
      </c>
      <c r="H1191" s="120">
        <f>IF(ISERROR(MATCH(MASTER!B1196,'Peoplesoft Classlist'!$B:$B,0)),MASTER!B1196,0)</f>
        <v>0</v>
      </c>
    </row>
    <row r="1192" spans="2:8" x14ac:dyDescent="0.25">
      <c r="B1192" s="114"/>
      <c r="C1192" s="114"/>
      <c r="D1192" s="114"/>
      <c r="G1192" s="120">
        <f>IF(ISERROR(MATCH(B1192,MASTER!$B:$B,0)),B1192,0)</f>
        <v>0</v>
      </c>
      <c r="H1192" s="120">
        <f>IF(ISERROR(MATCH(MASTER!B1197,'Peoplesoft Classlist'!$B:$B,0)),MASTER!B1197,0)</f>
        <v>0</v>
      </c>
    </row>
    <row r="1193" spans="2:8" x14ac:dyDescent="0.25">
      <c r="B1193" s="114"/>
      <c r="C1193" s="114"/>
      <c r="D1193" s="114"/>
      <c r="G1193" s="120">
        <f>IF(ISERROR(MATCH(B1193,MASTER!$B:$B,0)),B1193,0)</f>
        <v>0</v>
      </c>
      <c r="H1193" s="120">
        <f>IF(ISERROR(MATCH(MASTER!B1198,'Peoplesoft Classlist'!$B:$B,0)),MASTER!B1198,0)</f>
        <v>0</v>
      </c>
    </row>
    <row r="1194" spans="2:8" x14ac:dyDescent="0.25">
      <c r="B1194" s="114"/>
      <c r="C1194" s="114"/>
      <c r="D1194" s="114"/>
      <c r="G1194" s="120">
        <f>IF(ISERROR(MATCH(B1194,MASTER!$B:$B,0)),B1194,0)</f>
        <v>0</v>
      </c>
      <c r="H1194" s="120">
        <f>IF(ISERROR(MATCH(MASTER!B1199,'Peoplesoft Classlist'!$B:$B,0)),MASTER!B1199,0)</f>
        <v>0</v>
      </c>
    </row>
    <row r="1195" spans="2:8" x14ac:dyDescent="0.25">
      <c r="B1195" s="114"/>
      <c r="C1195" s="114"/>
      <c r="D1195" s="114"/>
      <c r="G1195" s="120">
        <f>IF(ISERROR(MATCH(B1195,MASTER!$B:$B,0)),B1195,0)</f>
        <v>0</v>
      </c>
      <c r="H1195" s="120">
        <f>IF(ISERROR(MATCH(MASTER!B1200,'Peoplesoft Classlist'!$B:$B,0)),MASTER!B1200,0)</f>
        <v>0</v>
      </c>
    </row>
    <row r="1196" spans="2:8" x14ac:dyDescent="0.25">
      <c r="B1196" s="114"/>
      <c r="C1196" s="114"/>
      <c r="D1196" s="114"/>
      <c r="G1196" s="120">
        <f>IF(ISERROR(MATCH(B1196,MASTER!$B:$B,0)),B1196,0)</f>
        <v>0</v>
      </c>
      <c r="H1196" s="120">
        <f>IF(ISERROR(MATCH(MASTER!B1201,'Peoplesoft Classlist'!$B:$B,0)),MASTER!B1201,0)</f>
        <v>0</v>
      </c>
    </row>
    <row r="1197" spans="2:8" x14ac:dyDescent="0.25">
      <c r="B1197" s="114"/>
      <c r="C1197" s="114"/>
      <c r="D1197" s="114"/>
      <c r="G1197" s="120">
        <f>IF(ISERROR(MATCH(B1197,MASTER!$B:$B,0)),B1197,0)</f>
        <v>0</v>
      </c>
      <c r="H1197" s="120">
        <f>IF(ISERROR(MATCH(MASTER!B1202,'Peoplesoft Classlist'!$B:$B,0)),MASTER!B1202,0)</f>
        <v>0</v>
      </c>
    </row>
    <row r="1198" spans="2:8" x14ac:dyDescent="0.25">
      <c r="B1198" s="114"/>
      <c r="C1198" s="114"/>
      <c r="D1198" s="114"/>
      <c r="G1198" s="120">
        <f>IF(ISERROR(MATCH(B1198,MASTER!$B:$B,0)),B1198,0)</f>
        <v>0</v>
      </c>
      <c r="H1198" s="120">
        <f>IF(ISERROR(MATCH(MASTER!B1203,'Peoplesoft Classlist'!$B:$B,0)),MASTER!B1203,0)</f>
        <v>0</v>
      </c>
    </row>
    <row r="1199" spans="2:8" x14ac:dyDescent="0.25">
      <c r="B1199" s="114"/>
      <c r="C1199" s="114"/>
      <c r="D1199" s="114"/>
      <c r="G1199" s="120">
        <f>IF(ISERROR(MATCH(B1199,MASTER!$B:$B,0)),B1199,0)</f>
        <v>0</v>
      </c>
      <c r="H1199" s="120">
        <f>IF(ISERROR(MATCH(MASTER!B1204,'Peoplesoft Classlist'!$B:$B,0)),MASTER!B1204,0)</f>
        <v>0</v>
      </c>
    </row>
    <row r="1200" spans="2:8" x14ac:dyDescent="0.25">
      <c r="B1200" s="114"/>
      <c r="C1200" s="114"/>
      <c r="D1200" s="114"/>
      <c r="G1200" s="120">
        <f>IF(ISERROR(MATCH(B1200,MASTER!$B:$B,0)),B1200,0)</f>
        <v>0</v>
      </c>
      <c r="H1200" s="120">
        <f>IF(ISERROR(MATCH(MASTER!B1205,'Peoplesoft Classlist'!$B:$B,0)),MASTER!B1205,0)</f>
        <v>0</v>
      </c>
    </row>
    <row r="1201" spans="2:8" x14ac:dyDescent="0.25">
      <c r="B1201" s="114"/>
      <c r="C1201" s="114"/>
      <c r="D1201" s="114"/>
      <c r="G1201" s="120">
        <f>IF(ISERROR(MATCH(B1201,MASTER!$B:$B,0)),B1201,0)</f>
        <v>0</v>
      </c>
      <c r="H1201" s="120">
        <f>IF(ISERROR(MATCH(MASTER!B1206,'Peoplesoft Classlist'!$B:$B,0)),MASTER!B1206,0)</f>
        <v>0</v>
      </c>
    </row>
    <row r="1202" spans="2:8" x14ac:dyDescent="0.25">
      <c r="B1202" s="114"/>
      <c r="C1202" s="114"/>
      <c r="D1202" s="114"/>
      <c r="G1202" s="120">
        <f>IF(ISERROR(MATCH(B1202,MASTER!$B:$B,0)),B1202,0)</f>
        <v>0</v>
      </c>
      <c r="H1202" s="120">
        <f>IF(ISERROR(MATCH(MASTER!B1207,'Peoplesoft Classlist'!$B:$B,0)),MASTER!B1207,0)</f>
        <v>0</v>
      </c>
    </row>
    <row r="1203" spans="2:8" x14ac:dyDescent="0.25">
      <c r="B1203" s="114"/>
      <c r="C1203" s="114"/>
      <c r="D1203" s="114"/>
      <c r="G1203" s="120">
        <f>IF(ISERROR(MATCH(B1203,MASTER!$B:$B,0)),B1203,0)</f>
        <v>0</v>
      </c>
      <c r="H1203" s="120">
        <f>IF(ISERROR(MATCH(MASTER!B1208,'Peoplesoft Classlist'!$B:$B,0)),MASTER!B1208,0)</f>
        <v>0</v>
      </c>
    </row>
    <row r="1204" spans="2:8" x14ac:dyDescent="0.25">
      <c r="B1204" s="114"/>
      <c r="C1204" s="114"/>
      <c r="D1204" s="114"/>
      <c r="G1204" s="120">
        <f>IF(ISERROR(MATCH(B1204,MASTER!$B:$B,0)),B1204,0)</f>
        <v>0</v>
      </c>
      <c r="H1204" s="120">
        <f>IF(ISERROR(MATCH(MASTER!B1209,'Peoplesoft Classlist'!$B:$B,0)),MASTER!B1209,0)</f>
        <v>0</v>
      </c>
    </row>
    <row r="1205" spans="2:8" x14ac:dyDescent="0.25">
      <c r="B1205" s="114"/>
      <c r="C1205" s="114"/>
      <c r="D1205" s="114"/>
      <c r="G1205" s="120">
        <f>IF(ISERROR(MATCH(B1205,MASTER!$B:$B,0)),B1205,0)</f>
        <v>0</v>
      </c>
      <c r="H1205" s="120">
        <f>IF(ISERROR(MATCH(MASTER!B1210,'Peoplesoft Classlist'!$B:$B,0)),MASTER!B1210,0)</f>
        <v>0</v>
      </c>
    </row>
    <row r="1206" spans="2:8" x14ac:dyDescent="0.25">
      <c r="B1206" s="114"/>
      <c r="C1206" s="114"/>
      <c r="D1206" s="114"/>
      <c r="G1206" s="120">
        <f>IF(ISERROR(MATCH(B1206,MASTER!$B:$B,0)),B1206,0)</f>
        <v>0</v>
      </c>
      <c r="H1206" s="120">
        <f>IF(ISERROR(MATCH(MASTER!B1211,'Peoplesoft Classlist'!$B:$B,0)),MASTER!B1211,0)</f>
        <v>0</v>
      </c>
    </row>
    <row r="1207" spans="2:8" x14ac:dyDescent="0.25">
      <c r="B1207" s="114"/>
      <c r="C1207" s="114"/>
      <c r="D1207" s="114"/>
      <c r="G1207" s="120">
        <f>IF(ISERROR(MATCH(B1207,MASTER!$B:$B,0)),B1207,0)</f>
        <v>0</v>
      </c>
      <c r="H1207" s="120">
        <f>IF(ISERROR(MATCH(MASTER!B1212,'Peoplesoft Classlist'!$B:$B,0)),MASTER!B1212,0)</f>
        <v>0</v>
      </c>
    </row>
    <row r="1208" spans="2:8" x14ac:dyDescent="0.25">
      <c r="B1208" s="114"/>
      <c r="C1208" s="114"/>
      <c r="D1208" s="114"/>
      <c r="G1208" s="120">
        <f>IF(ISERROR(MATCH(B1208,MASTER!$B:$B,0)),B1208,0)</f>
        <v>0</v>
      </c>
      <c r="H1208" s="120">
        <f>IF(ISERROR(MATCH(MASTER!B1213,'Peoplesoft Classlist'!$B:$B,0)),MASTER!B1213,0)</f>
        <v>0</v>
      </c>
    </row>
    <row r="1209" spans="2:8" x14ac:dyDescent="0.25">
      <c r="B1209" s="114"/>
      <c r="C1209" s="114"/>
      <c r="D1209" s="114"/>
      <c r="G1209" s="120">
        <f>IF(ISERROR(MATCH(B1209,MASTER!$B:$B,0)),B1209,0)</f>
        <v>0</v>
      </c>
      <c r="H1209" s="120">
        <f>IF(ISERROR(MATCH(MASTER!B1214,'Peoplesoft Classlist'!$B:$B,0)),MASTER!B1214,0)</f>
        <v>0</v>
      </c>
    </row>
    <row r="1210" spans="2:8" x14ac:dyDescent="0.25">
      <c r="B1210" s="114"/>
      <c r="C1210" s="114"/>
      <c r="D1210" s="114"/>
      <c r="G1210" s="120">
        <f>IF(ISERROR(MATCH(B1210,MASTER!$B:$B,0)),B1210,0)</f>
        <v>0</v>
      </c>
      <c r="H1210" s="120">
        <f>IF(ISERROR(MATCH(MASTER!B1215,'Peoplesoft Classlist'!$B:$B,0)),MASTER!B1215,0)</f>
        <v>0</v>
      </c>
    </row>
    <row r="1211" spans="2:8" x14ac:dyDescent="0.25">
      <c r="B1211" s="114"/>
      <c r="C1211" s="114"/>
      <c r="D1211" s="114"/>
      <c r="G1211" s="120">
        <f>IF(ISERROR(MATCH(B1211,MASTER!$B:$B,0)),B1211,0)</f>
        <v>0</v>
      </c>
      <c r="H1211" s="120">
        <f>IF(ISERROR(MATCH(MASTER!B1216,'Peoplesoft Classlist'!$B:$B,0)),MASTER!B1216,0)</f>
        <v>0</v>
      </c>
    </row>
    <row r="1212" spans="2:8" x14ac:dyDescent="0.25">
      <c r="B1212" s="114"/>
      <c r="C1212" s="114"/>
      <c r="D1212" s="114"/>
      <c r="G1212" s="120">
        <f>IF(ISERROR(MATCH(B1212,MASTER!$B:$B,0)),B1212,0)</f>
        <v>0</v>
      </c>
      <c r="H1212" s="120">
        <f>IF(ISERROR(MATCH(MASTER!B1217,'Peoplesoft Classlist'!$B:$B,0)),MASTER!B1217,0)</f>
        <v>0</v>
      </c>
    </row>
    <row r="1213" spans="2:8" x14ac:dyDescent="0.25">
      <c r="B1213" s="114"/>
      <c r="C1213" s="114"/>
      <c r="D1213" s="114"/>
      <c r="G1213" s="120">
        <f>IF(ISERROR(MATCH(B1213,MASTER!$B:$B,0)),B1213,0)</f>
        <v>0</v>
      </c>
      <c r="H1213" s="120">
        <f>IF(ISERROR(MATCH(MASTER!B1218,'Peoplesoft Classlist'!$B:$B,0)),MASTER!B1218,0)</f>
        <v>0</v>
      </c>
    </row>
    <row r="1214" spans="2:8" x14ac:dyDescent="0.25">
      <c r="B1214" s="114"/>
      <c r="C1214" s="114"/>
      <c r="D1214" s="114"/>
      <c r="G1214" s="120">
        <f>IF(ISERROR(MATCH(B1214,MASTER!$B:$B,0)),B1214,0)</f>
        <v>0</v>
      </c>
      <c r="H1214" s="120">
        <f>IF(ISERROR(MATCH(MASTER!B1219,'Peoplesoft Classlist'!$B:$B,0)),MASTER!B1219,0)</f>
        <v>0</v>
      </c>
    </row>
    <row r="1215" spans="2:8" x14ac:dyDescent="0.25">
      <c r="B1215" s="114"/>
      <c r="C1215" s="114"/>
      <c r="D1215" s="114"/>
      <c r="G1215" s="120">
        <f>IF(ISERROR(MATCH(B1215,MASTER!$B:$B,0)),B1215,0)</f>
        <v>0</v>
      </c>
      <c r="H1215" s="120">
        <f>IF(ISERROR(MATCH(MASTER!B1220,'Peoplesoft Classlist'!$B:$B,0)),MASTER!B1220,0)</f>
        <v>0</v>
      </c>
    </row>
    <row r="1216" spans="2:8" x14ac:dyDescent="0.25">
      <c r="B1216" s="114"/>
      <c r="C1216" s="114"/>
      <c r="D1216" s="114"/>
      <c r="G1216" s="120">
        <f>IF(ISERROR(MATCH(B1216,MASTER!$B:$B,0)),B1216,0)</f>
        <v>0</v>
      </c>
      <c r="H1216" s="120">
        <f>IF(ISERROR(MATCH(MASTER!B1221,'Peoplesoft Classlist'!$B:$B,0)),MASTER!B1221,0)</f>
        <v>0</v>
      </c>
    </row>
    <row r="1217" spans="2:8" x14ac:dyDescent="0.25">
      <c r="B1217" s="114"/>
      <c r="C1217" s="114"/>
      <c r="D1217" s="114"/>
      <c r="G1217" s="120">
        <f>IF(ISERROR(MATCH(B1217,MASTER!$B:$B,0)),B1217,0)</f>
        <v>0</v>
      </c>
      <c r="H1217" s="120">
        <f>IF(ISERROR(MATCH(MASTER!B1222,'Peoplesoft Classlist'!$B:$B,0)),MASTER!B1222,0)</f>
        <v>0</v>
      </c>
    </row>
    <row r="1218" spans="2:8" x14ac:dyDescent="0.25">
      <c r="B1218" s="114"/>
      <c r="C1218" s="114"/>
      <c r="D1218" s="114"/>
      <c r="G1218" s="120">
        <f>IF(ISERROR(MATCH(B1218,MASTER!$B:$B,0)),B1218,0)</f>
        <v>0</v>
      </c>
      <c r="H1218" s="120">
        <f>IF(ISERROR(MATCH(MASTER!B1223,'Peoplesoft Classlist'!$B:$B,0)),MASTER!B1223,0)</f>
        <v>0</v>
      </c>
    </row>
    <row r="1219" spans="2:8" x14ac:dyDescent="0.25">
      <c r="B1219" s="114"/>
      <c r="C1219" s="114"/>
      <c r="D1219" s="114"/>
      <c r="G1219" s="120">
        <f>IF(ISERROR(MATCH(B1219,MASTER!$B:$B,0)),B1219,0)</f>
        <v>0</v>
      </c>
      <c r="H1219" s="120">
        <f>IF(ISERROR(MATCH(MASTER!B1224,'Peoplesoft Classlist'!$B:$B,0)),MASTER!B1224,0)</f>
        <v>0</v>
      </c>
    </row>
    <row r="1220" spans="2:8" x14ac:dyDescent="0.25">
      <c r="B1220" s="114"/>
      <c r="C1220" s="114"/>
      <c r="D1220" s="114"/>
      <c r="G1220" s="120">
        <f>IF(ISERROR(MATCH(B1220,MASTER!$B:$B,0)),B1220,0)</f>
        <v>0</v>
      </c>
      <c r="H1220" s="120">
        <f>IF(ISERROR(MATCH(MASTER!B1225,'Peoplesoft Classlist'!$B:$B,0)),MASTER!B1225,0)</f>
        <v>0</v>
      </c>
    </row>
    <row r="1221" spans="2:8" x14ac:dyDescent="0.25">
      <c r="B1221" s="114"/>
      <c r="C1221" s="114"/>
      <c r="D1221" s="114"/>
      <c r="G1221" s="120">
        <f>IF(ISERROR(MATCH(B1221,MASTER!$B:$B,0)),B1221,0)</f>
        <v>0</v>
      </c>
      <c r="H1221" s="120">
        <f>IF(ISERROR(MATCH(MASTER!B1226,'Peoplesoft Classlist'!$B:$B,0)),MASTER!B1226,0)</f>
        <v>0</v>
      </c>
    </row>
    <row r="1222" spans="2:8" x14ac:dyDescent="0.25">
      <c r="B1222" s="114"/>
      <c r="C1222" s="114"/>
      <c r="D1222" s="114"/>
      <c r="G1222" s="120">
        <f>IF(ISERROR(MATCH(B1222,MASTER!$B:$B,0)),B1222,0)</f>
        <v>0</v>
      </c>
      <c r="H1222" s="120">
        <f>IF(ISERROR(MATCH(MASTER!B1227,'Peoplesoft Classlist'!$B:$B,0)),MASTER!B1227,0)</f>
        <v>0</v>
      </c>
    </row>
    <row r="1223" spans="2:8" x14ac:dyDescent="0.25">
      <c r="B1223" s="114"/>
      <c r="C1223" s="114"/>
      <c r="D1223" s="114"/>
      <c r="G1223" s="120">
        <f>IF(ISERROR(MATCH(B1223,MASTER!$B:$B,0)),B1223,0)</f>
        <v>0</v>
      </c>
      <c r="H1223" s="120">
        <f>IF(ISERROR(MATCH(MASTER!B1228,'Peoplesoft Classlist'!$B:$B,0)),MASTER!B1228,0)</f>
        <v>0</v>
      </c>
    </row>
    <row r="1224" spans="2:8" x14ac:dyDescent="0.25">
      <c r="B1224" s="114"/>
      <c r="C1224" s="114"/>
      <c r="D1224" s="114"/>
      <c r="G1224" s="120">
        <f>IF(ISERROR(MATCH(B1224,MASTER!$B:$B,0)),B1224,0)</f>
        <v>0</v>
      </c>
      <c r="H1224" s="120">
        <f>IF(ISERROR(MATCH(MASTER!B1229,'Peoplesoft Classlist'!$B:$B,0)),MASTER!B1229,0)</f>
        <v>0</v>
      </c>
    </row>
    <row r="1225" spans="2:8" x14ac:dyDescent="0.25">
      <c r="B1225" s="114"/>
      <c r="C1225" s="114"/>
      <c r="D1225" s="114"/>
      <c r="G1225" s="120">
        <f>IF(ISERROR(MATCH(B1225,MASTER!$B:$B,0)),B1225,0)</f>
        <v>0</v>
      </c>
      <c r="H1225" s="120">
        <f>IF(ISERROR(MATCH(MASTER!B1230,'Peoplesoft Classlist'!$B:$B,0)),MASTER!B1230,0)</f>
        <v>0</v>
      </c>
    </row>
    <row r="1226" spans="2:8" x14ac:dyDescent="0.25">
      <c r="B1226" s="114"/>
      <c r="C1226" s="114"/>
      <c r="D1226" s="114"/>
      <c r="G1226" s="120">
        <f>IF(ISERROR(MATCH(B1226,MASTER!$B:$B,0)),B1226,0)</f>
        <v>0</v>
      </c>
      <c r="H1226" s="120">
        <f>IF(ISERROR(MATCH(MASTER!B1231,'Peoplesoft Classlist'!$B:$B,0)),MASTER!B1231,0)</f>
        <v>0</v>
      </c>
    </row>
    <row r="1227" spans="2:8" x14ac:dyDescent="0.25">
      <c r="B1227" s="114"/>
      <c r="C1227" s="114"/>
      <c r="D1227" s="114"/>
      <c r="G1227" s="120">
        <f>IF(ISERROR(MATCH(B1227,MASTER!$B:$B,0)),B1227,0)</f>
        <v>0</v>
      </c>
      <c r="H1227" s="120">
        <f>IF(ISERROR(MATCH(MASTER!B1232,'Peoplesoft Classlist'!$B:$B,0)),MASTER!B1232,0)</f>
        <v>0</v>
      </c>
    </row>
    <row r="1228" spans="2:8" x14ac:dyDescent="0.25">
      <c r="B1228" s="114"/>
      <c r="C1228" s="114"/>
      <c r="D1228" s="114"/>
      <c r="G1228" s="120">
        <f>IF(ISERROR(MATCH(B1228,MASTER!$B:$B,0)),B1228,0)</f>
        <v>0</v>
      </c>
      <c r="H1228" s="120">
        <f>IF(ISERROR(MATCH(MASTER!B1233,'Peoplesoft Classlist'!$B:$B,0)),MASTER!B1233,0)</f>
        <v>0</v>
      </c>
    </row>
    <row r="1229" spans="2:8" x14ac:dyDescent="0.25">
      <c r="B1229" s="114"/>
      <c r="C1229" s="114"/>
      <c r="D1229" s="114"/>
      <c r="G1229" s="120">
        <f>IF(ISERROR(MATCH(B1229,MASTER!$B:$B,0)),B1229,0)</f>
        <v>0</v>
      </c>
      <c r="H1229" s="120">
        <f>IF(ISERROR(MATCH(MASTER!B1234,'Peoplesoft Classlist'!$B:$B,0)),MASTER!B1234,0)</f>
        <v>0</v>
      </c>
    </row>
    <row r="1230" spans="2:8" x14ac:dyDescent="0.25">
      <c r="B1230" s="114"/>
      <c r="C1230" s="114"/>
      <c r="D1230" s="114"/>
      <c r="G1230" s="120">
        <f>IF(ISERROR(MATCH(B1230,MASTER!$B:$B,0)),B1230,0)</f>
        <v>0</v>
      </c>
      <c r="H1230" s="120">
        <f>IF(ISERROR(MATCH(MASTER!B1235,'Peoplesoft Classlist'!$B:$B,0)),MASTER!B1235,0)</f>
        <v>0</v>
      </c>
    </row>
    <row r="1231" spans="2:8" x14ac:dyDescent="0.25">
      <c r="B1231" s="114"/>
      <c r="C1231" s="114"/>
      <c r="D1231" s="114"/>
      <c r="G1231" s="120">
        <f>IF(ISERROR(MATCH(B1231,MASTER!$B:$B,0)),B1231,0)</f>
        <v>0</v>
      </c>
      <c r="H1231" s="120">
        <f>IF(ISERROR(MATCH(MASTER!B1236,'Peoplesoft Classlist'!$B:$B,0)),MASTER!B1236,0)</f>
        <v>0</v>
      </c>
    </row>
    <row r="1232" spans="2:8" x14ac:dyDescent="0.25">
      <c r="B1232" s="114"/>
      <c r="C1232" s="114"/>
      <c r="D1232" s="114"/>
      <c r="G1232" s="120">
        <f>IF(ISERROR(MATCH(B1232,MASTER!$B:$B,0)),B1232,0)</f>
        <v>0</v>
      </c>
      <c r="H1232" s="120">
        <f>IF(ISERROR(MATCH(MASTER!B1237,'Peoplesoft Classlist'!$B:$B,0)),MASTER!B1237,0)</f>
        <v>0</v>
      </c>
    </row>
    <row r="1233" spans="2:8" x14ac:dyDescent="0.25">
      <c r="B1233" s="114"/>
      <c r="C1233" s="114"/>
      <c r="D1233" s="114"/>
      <c r="G1233" s="120">
        <f>IF(ISERROR(MATCH(B1233,MASTER!$B:$B,0)),B1233,0)</f>
        <v>0</v>
      </c>
      <c r="H1233" s="120">
        <f>IF(ISERROR(MATCH(MASTER!B1238,'Peoplesoft Classlist'!$B:$B,0)),MASTER!B1238,0)</f>
        <v>0</v>
      </c>
    </row>
    <row r="1234" spans="2:8" x14ac:dyDescent="0.25">
      <c r="B1234" s="114"/>
      <c r="C1234" s="114"/>
      <c r="D1234" s="114"/>
      <c r="G1234" s="120">
        <f>IF(ISERROR(MATCH(B1234,MASTER!$B:$B,0)),B1234,0)</f>
        <v>0</v>
      </c>
      <c r="H1234" s="120">
        <f>IF(ISERROR(MATCH(MASTER!B1239,'Peoplesoft Classlist'!$B:$B,0)),MASTER!B1239,0)</f>
        <v>0</v>
      </c>
    </row>
    <row r="1235" spans="2:8" x14ac:dyDescent="0.25">
      <c r="B1235" s="114"/>
      <c r="C1235" s="114"/>
      <c r="D1235" s="114"/>
      <c r="G1235" s="120">
        <f>IF(ISERROR(MATCH(B1235,MASTER!$B:$B,0)),B1235,0)</f>
        <v>0</v>
      </c>
      <c r="H1235" s="120">
        <f>IF(ISERROR(MATCH(MASTER!B1240,'Peoplesoft Classlist'!$B:$B,0)),MASTER!B1240,0)</f>
        <v>0</v>
      </c>
    </row>
    <row r="1236" spans="2:8" x14ac:dyDescent="0.25">
      <c r="B1236" s="114"/>
      <c r="C1236" s="114"/>
      <c r="D1236" s="114"/>
      <c r="G1236" s="120">
        <f>IF(ISERROR(MATCH(B1236,MASTER!$B:$B,0)),B1236,0)</f>
        <v>0</v>
      </c>
      <c r="H1236" s="120">
        <f>IF(ISERROR(MATCH(MASTER!B1241,'Peoplesoft Classlist'!$B:$B,0)),MASTER!B1241,0)</f>
        <v>0</v>
      </c>
    </row>
    <row r="1237" spans="2:8" x14ac:dyDescent="0.25">
      <c r="B1237" s="114"/>
      <c r="C1237" s="114"/>
      <c r="D1237" s="114"/>
      <c r="G1237" s="120">
        <f>IF(ISERROR(MATCH(B1237,MASTER!$B:$B,0)),B1237,0)</f>
        <v>0</v>
      </c>
      <c r="H1237" s="120">
        <f>IF(ISERROR(MATCH(MASTER!B1242,'Peoplesoft Classlist'!$B:$B,0)),MASTER!B1242,0)</f>
        <v>0</v>
      </c>
    </row>
    <row r="1238" spans="2:8" x14ac:dyDescent="0.25">
      <c r="B1238" s="114"/>
      <c r="C1238" s="114"/>
      <c r="D1238" s="114"/>
      <c r="G1238" s="120">
        <f>IF(ISERROR(MATCH(B1238,MASTER!$B:$B,0)),B1238,0)</f>
        <v>0</v>
      </c>
      <c r="H1238" s="120">
        <f>IF(ISERROR(MATCH(MASTER!B1243,'Peoplesoft Classlist'!$B:$B,0)),MASTER!B1243,0)</f>
        <v>0</v>
      </c>
    </row>
    <row r="1239" spans="2:8" x14ac:dyDescent="0.25">
      <c r="B1239" s="114"/>
      <c r="C1239" s="114"/>
      <c r="D1239" s="114"/>
      <c r="G1239" s="120">
        <f>IF(ISERROR(MATCH(B1239,MASTER!$B:$B,0)),B1239,0)</f>
        <v>0</v>
      </c>
      <c r="H1239" s="120">
        <f>IF(ISERROR(MATCH(MASTER!B1244,'Peoplesoft Classlist'!$B:$B,0)),MASTER!B1244,0)</f>
        <v>0</v>
      </c>
    </row>
    <row r="1240" spans="2:8" x14ac:dyDescent="0.25">
      <c r="B1240" s="114"/>
      <c r="C1240" s="114"/>
      <c r="D1240" s="114"/>
      <c r="G1240" s="120">
        <f>IF(ISERROR(MATCH(B1240,MASTER!$B:$B,0)),B1240,0)</f>
        <v>0</v>
      </c>
      <c r="H1240" s="120">
        <f>IF(ISERROR(MATCH(MASTER!B1245,'Peoplesoft Classlist'!$B:$B,0)),MASTER!B1245,0)</f>
        <v>0</v>
      </c>
    </row>
    <row r="1241" spans="2:8" x14ac:dyDescent="0.25">
      <c r="B1241" s="114"/>
      <c r="C1241" s="114"/>
      <c r="D1241" s="114"/>
      <c r="G1241" s="120">
        <f>IF(ISERROR(MATCH(B1241,MASTER!$B:$B,0)),B1241,0)</f>
        <v>0</v>
      </c>
      <c r="H1241" s="120">
        <f>IF(ISERROR(MATCH(MASTER!B1246,'Peoplesoft Classlist'!$B:$B,0)),MASTER!B1246,0)</f>
        <v>0</v>
      </c>
    </row>
    <row r="1242" spans="2:8" x14ac:dyDescent="0.25">
      <c r="B1242" s="114"/>
      <c r="C1242" s="114"/>
      <c r="D1242" s="114"/>
      <c r="G1242" s="120">
        <f>IF(ISERROR(MATCH(B1242,MASTER!$B:$B,0)),B1242,0)</f>
        <v>0</v>
      </c>
      <c r="H1242" s="120">
        <f>IF(ISERROR(MATCH(MASTER!B1247,'Peoplesoft Classlist'!$B:$B,0)),MASTER!B1247,0)</f>
        <v>0</v>
      </c>
    </row>
    <row r="1243" spans="2:8" x14ac:dyDescent="0.25">
      <c r="B1243" s="114"/>
      <c r="C1243" s="114"/>
      <c r="D1243" s="114"/>
      <c r="G1243" s="120">
        <f>IF(ISERROR(MATCH(B1243,MASTER!$B:$B,0)),B1243,0)</f>
        <v>0</v>
      </c>
      <c r="H1243" s="120">
        <f>IF(ISERROR(MATCH(MASTER!B1248,'Peoplesoft Classlist'!$B:$B,0)),MASTER!B1248,0)</f>
        <v>0</v>
      </c>
    </row>
    <row r="1244" spans="2:8" x14ac:dyDescent="0.25">
      <c r="B1244" s="114"/>
      <c r="C1244" s="114"/>
      <c r="D1244" s="114"/>
      <c r="G1244" s="120">
        <f>IF(ISERROR(MATCH(B1244,MASTER!$B:$B,0)),B1244,0)</f>
        <v>0</v>
      </c>
      <c r="H1244" s="120">
        <f>IF(ISERROR(MATCH(MASTER!B1249,'Peoplesoft Classlist'!$B:$B,0)),MASTER!B1249,0)</f>
        <v>0</v>
      </c>
    </row>
    <row r="1245" spans="2:8" x14ac:dyDescent="0.25">
      <c r="B1245" s="114"/>
      <c r="C1245" s="114"/>
      <c r="D1245" s="114"/>
      <c r="G1245" s="120">
        <f>IF(ISERROR(MATCH(B1245,MASTER!$B:$B,0)),B1245,0)</f>
        <v>0</v>
      </c>
      <c r="H1245" s="120">
        <f>IF(ISERROR(MATCH(MASTER!B1250,'Peoplesoft Classlist'!$B:$B,0)),MASTER!B1250,0)</f>
        <v>0</v>
      </c>
    </row>
    <row r="1246" spans="2:8" x14ac:dyDescent="0.25">
      <c r="B1246" s="114"/>
      <c r="C1246" s="114"/>
      <c r="D1246" s="114"/>
      <c r="G1246" s="120">
        <f>IF(ISERROR(MATCH(B1246,MASTER!$B:$B,0)),B1246,0)</f>
        <v>0</v>
      </c>
      <c r="H1246" s="120">
        <f>IF(ISERROR(MATCH(MASTER!B1251,'Peoplesoft Classlist'!$B:$B,0)),MASTER!B1251,0)</f>
        <v>0</v>
      </c>
    </row>
    <row r="1247" spans="2:8" x14ac:dyDescent="0.25">
      <c r="B1247" s="114"/>
      <c r="C1247" s="114"/>
      <c r="D1247" s="114"/>
      <c r="G1247" s="120">
        <f>IF(ISERROR(MATCH(B1247,MASTER!$B:$B,0)),B1247,0)</f>
        <v>0</v>
      </c>
      <c r="H1247" s="120">
        <f>IF(ISERROR(MATCH(MASTER!B1252,'Peoplesoft Classlist'!$B:$B,0)),MASTER!B1252,0)</f>
        <v>0</v>
      </c>
    </row>
    <row r="1248" spans="2:8" x14ac:dyDescent="0.25">
      <c r="B1248" s="114"/>
      <c r="C1248" s="114"/>
      <c r="D1248" s="114"/>
      <c r="G1248" s="120">
        <f>IF(ISERROR(MATCH(B1248,MASTER!$B:$B,0)),B1248,0)</f>
        <v>0</v>
      </c>
      <c r="H1248" s="120">
        <f>IF(ISERROR(MATCH(MASTER!B1253,'Peoplesoft Classlist'!$B:$B,0)),MASTER!B1253,0)</f>
        <v>0</v>
      </c>
    </row>
    <row r="1249" spans="2:8" x14ac:dyDescent="0.25">
      <c r="B1249" s="114"/>
      <c r="C1249" s="114"/>
      <c r="D1249" s="114"/>
      <c r="G1249" s="120">
        <f>IF(ISERROR(MATCH(B1249,MASTER!$B:$B,0)),B1249,0)</f>
        <v>0</v>
      </c>
      <c r="H1249" s="120">
        <f>IF(ISERROR(MATCH(MASTER!B1254,'Peoplesoft Classlist'!$B:$B,0)),MASTER!B1254,0)</f>
        <v>0</v>
      </c>
    </row>
    <row r="1250" spans="2:8" x14ac:dyDescent="0.25">
      <c r="B1250" s="114"/>
      <c r="C1250" s="114"/>
      <c r="D1250" s="114"/>
      <c r="G1250" s="120">
        <f>IF(ISERROR(MATCH(B1250,MASTER!$B:$B,0)),B1250,0)</f>
        <v>0</v>
      </c>
      <c r="H1250" s="120">
        <f>IF(ISERROR(MATCH(MASTER!B1255,'Peoplesoft Classlist'!$B:$B,0)),MASTER!B1255,0)</f>
        <v>0</v>
      </c>
    </row>
    <row r="1251" spans="2:8" x14ac:dyDescent="0.25">
      <c r="B1251" s="114"/>
      <c r="C1251" s="114"/>
      <c r="D1251" s="114"/>
      <c r="G1251" s="120">
        <f>IF(ISERROR(MATCH(B1251,MASTER!$B:$B,0)),B1251,0)</f>
        <v>0</v>
      </c>
      <c r="H1251" s="120">
        <f>IF(ISERROR(MATCH(MASTER!B1256,'Peoplesoft Classlist'!$B:$B,0)),MASTER!B1256,0)</f>
        <v>0</v>
      </c>
    </row>
    <row r="1252" spans="2:8" x14ac:dyDescent="0.25">
      <c r="B1252" s="114"/>
      <c r="C1252" s="114"/>
      <c r="D1252" s="114"/>
      <c r="G1252" s="120">
        <f>IF(ISERROR(MATCH(B1252,MASTER!$B:$B,0)),B1252,0)</f>
        <v>0</v>
      </c>
      <c r="H1252" s="120">
        <f>IF(ISERROR(MATCH(MASTER!B1257,'Peoplesoft Classlist'!$B:$B,0)),MASTER!B1257,0)</f>
        <v>0</v>
      </c>
    </row>
    <row r="1253" spans="2:8" x14ac:dyDescent="0.25">
      <c r="B1253" s="114"/>
      <c r="C1253" s="114"/>
      <c r="D1253" s="114"/>
      <c r="G1253" s="120">
        <f>IF(ISERROR(MATCH(B1253,MASTER!$B:$B,0)),B1253,0)</f>
        <v>0</v>
      </c>
      <c r="H1253" s="120">
        <f>IF(ISERROR(MATCH(MASTER!B1258,'Peoplesoft Classlist'!$B:$B,0)),MASTER!B1258,0)</f>
        <v>0</v>
      </c>
    </row>
    <row r="1254" spans="2:8" x14ac:dyDescent="0.25">
      <c r="B1254" s="114"/>
      <c r="C1254" s="114"/>
      <c r="D1254" s="114"/>
      <c r="G1254" s="120">
        <f>IF(ISERROR(MATCH(B1254,MASTER!$B:$B,0)),B1254,0)</f>
        <v>0</v>
      </c>
      <c r="H1254" s="120">
        <f>IF(ISERROR(MATCH(MASTER!B1259,'Peoplesoft Classlist'!$B:$B,0)),MASTER!B1259,0)</f>
        <v>0</v>
      </c>
    </row>
    <row r="1255" spans="2:8" x14ac:dyDescent="0.25">
      <c r="B1255" s="114"/>
      <c r="C1255" s="114"/>
      <c r="D1255" s="114"/>
      <c r="G1255" s="120">
        <f>IF(ISERROR(MATCH(B1255,MASTER!$B:$B,0)),B1255,0)</f>
        <v>0</v>
      </c>
      <c r="H1255" s="120">
        <f>IF(ISERROR(MATCH(MASTER!B1260,'Peoplesoft Classlist'!$B:$B,0)),MASTER!B1260,0)</f>
        <v>0</v>
      </c>
    </row>
    <row r="1256" spans="2:8" x14ac:dyDescent="0.25">
      <c r="B1256" s="114"/>
      <c r="C1256" s="114"/>
      <c r="D1256" s="114"/>
      <c r="G1256" s="120">
        <f>IF(ISERROR(MATCH(B1256,MASTER!$B:$B,0)),B1256,0)</f>
        <v>0</v>
      </c>
      <c r="H1256" s="120">
        <f>IF(ISERROR(MATCH(MASTER!B1261,'Peoplesoft Classlist'!$B:$B,0)),MASTER!B1261,0)</f>
        <v>0</v>
      </c>
    </row>
    <row r="1257" spans="2:8" x14ac:dyDescent="0.25">
      <c r="B1257" s="114"/>
      <c r="C1257" s="114"/>
      <c r="D1257" s="114"/>
      <c r="G1257" s="120">
        <f>IF(ISERROR(MATCH(B1257,MASTER!$B:$B,0)),B1257,0)</f>
        <v>0</v>
      </c>
      <c r="H1257" s="120">
        <f>IF(ISERROR(MATCH(MASTER!B1262,'Peoplesoft Classlist'!$B:$B,0)),MASTER!B1262,0)</f>
        <v>0</v>
      </c>
    </row>
    <row r="1258" spans="2:8" x14ac:dyDescent="0.25">
      <c r="B1258" s="114"/>
      <c r="C1258" s="114"/>
      <c r="D1258" s="114"/>
      <c r="G1258" s="120">
        <f>IF(ISERROR(MATCH(B1258,MASTER!$B:$B,0)),B1258,0)</f>
        <v>0</v>
      </c>
      <c r="H1258" s="120">
        <f>IF(ISERROR(MATCH(MASTER!B1263,'Peoplesoft Classlist'!$B:$B,0)),MASTER!B1263,0)</f>
        <v>0</v>
      </c>
    </row>
    <row r="1259" spans="2:8" x14ac:dyDescent="0.25">
      <c r="B1259" s="114"/>
      <c r="C1259" s="114"/>
      <c r="D1259" s="114"/>
      <c r="G1259" s="120">
        <f>IF(ISERROR(MATCH(B1259,MASTER!$B:$B,0)),B1259,0)</f>
        <v>0</v>
      </c>
      <c r="H1259" s="120">
        <f>IF(ISERROR(MATCH(MASTER!B1264,'Peoplesoft Classlist'!$B:$B,0)),MASTER!B1264,0)</f>
        <v>0</v>
      </c>
    </row>
    <row r="1260" spans="2:8" x14ac:dyDescent="0.25">
      <c r="B1260" s="114"/>
      <c r="C1260" s="114"/>
      <c r="D1260" s="114"/>
      <c r="G1260" s="120">
        <f>IF(ISERROR(MATCH(B1260,MASTER!$B:$B,0)),B1260,0)</f>
        <v>0</v>
      </c>
      <c r="H1260" s="120">
        <f>IF(ISERROR(MATCH(MASTER!B1265,'Peoplesoft Classlist'!$B:$B,0)),MASTER!B1265,0)</f>
        <v>0</v>
      </c>
    </row>
    <row r="1261" spans="2:8" x14ac:dyDescent="0.25">
      <c r="B1261" s="114"/>
      <c r="C1261" s="114"/>
      <c r="D1261" s="114"/>
      <c r="G1261" s="120">
        <f>IF(ISERROR(MATCH(B1261,MASTER!$B:$B,0)),B1261,0)</f>
        <v>0</v>
      </c>
      <c r="H1261" s="120">
        <f>IF(ISERROR(MATCH(MASTER!B1266,'Peoplesoft Classlist'!$B:$B,0)),MASTER!B1266,0)</f>
        <v>0</v>
      </c>
    </row>
    <row r="1262" spans="2:8" x14ac:dyDescent="0.25">
      <c r="B1262" s="114"/>
      <c r="C1262" s="114"/>
      <c r="D1262" s="114"/>
      <c r="G1262" s="120">
        <f>IF(ISERROR(MATCH(B1262,MASTER!$B:$B,0)),B1262,0)</f>
        <v>0</v>
      </c>
      <c r="H1262" s="120">
        <f>IF(ISERROR(MATCH(MASTER!B1267,'Peoplesoft Classlist'!$B:$B,0)),MASTER!B1267,0)</f>
        <v>0</v>
      </c>
    </row>
    <row r="1263" spans="2:8" x14ac:dyDescent="0.25">
      <c r="B1263" s="114"/>
      <c r="C1263" s="114"/>
      <c r="D1263" s="114"/>
      <c r="G1263" s="120">
        <f>IF(ISERROR(MATCH(B1263,MASTER!$B:$B,0)),B1263,0)</f>
        <v>0</v>
      </c>
      <c r="H1263" s="120">
        <f>IF(ISERROR(MATCH(MASTER!B1268,'Peoplesoft Classlist'!$B:$B,0)),MASTER!B1268,0)</f>
        <v>0</v>
      </c>
    </row>
    <row r="1264" spans="2:8" x14ac:dyDescent="0.25">
      <c r="B1264" s="114"/>
      <c r="C1264" s="114"/>
      <c r="D1264" s="114"/>
      <c r="G1264" s="120">
        <f>IF(ISERROR(MATCH(B1264,MASTER!$B:$B,0)),B1264,0)</f>
        <v>0</v>
      </c>
      <c r="H1264" s="120">
        <f>IF(ISERROR(MATCH(MASTER!B1269,'Peoplesoft Classlist'!$B:$B,0)),MASTER!B1269,0)</f>
        <v>0</v>
      </c>
    </row>
    <row r="1265" spans="2:8" x14ac:dyDescent="0.25">
      <c r="B1265" s="114"/>
      <c r="C1265" s="114"/>
      <c r="D1265" s="114"/>
      <c r="G1265" s="120">
        <f>IF(ISERROR(MATCH(B1265,MASTER!$B:$B,0)),B1265,0)</f>
        <v>0</v>
      </c>
      <c r="H1265" s="120">
        <f>IF(ISERROR(MATCH(MASTER!B1270,'Peoplesoft Classlist'!$B:$B,0)),MASTER!B1270,0)</f>
        <v>0</v>
      </c>
    </row>
    <row r="1266" spans="2:8" x14ac:dyDescent="0.25">
      <c r="B1266" s="114"/>
      <c r="C1266" s="114"/>
      <c r="D1266" s="114"/>
      <c r="G1266" s="120">
        <f>IF(ISERROR(MATCH(B1266,MASTER!$B:$B,0)),B1266,0)</f>
        <v>0</v>
      </c>
      <c r="H1266" s="120">
        <f>IF(ISERROR(MATCH(MASTER!B1271,'Peoplesoft Classlist'!$B:$B,0)),MASTER!B1271,0)</f>
        <v>0</v>
      </c>
    </row>
    <row r="1267" spans="2:8" x14ac:dyDescent="0.25">
      <c r="B1267" s="114"/>
      <c r="C1267" s="114"/>
      <c r="D1267" s="114"/>
      <c r="G1267" s="120">
        <f>IF(ISERROR(MATCH(B1267,MASTER!$B:$B,0)),B1267,0)</f>
        <v>0</v>
      </c>
      <c r="H1267" s="120">
        <f>IF(ISERROR(MATCH(MASTER!B1272,'Peoplesoft Classlist'!$B:$B,0)),MASTER!B1272,0)</f>
        <v>0</v>
      </c>
    </row>
    <row r="1268" spans="2:8" x14ac:dyDescent="0.25">
      <c r="B1268" s="114"/>
      <c r="C1268" s="114"/>
      <c r="D1268" s="114"/>
      <c r="G1268" s="120">
        <f>IF(ISERROR(MATCH(B1268,MASTER!$B:$B,0)),B1268,0)</f>
        <v>0</v>
      </c>
      <c r="H1268" s="120">
        <f>IF(ISERROR(MATCH(MASTER!B1273,'Peoplesoft Classlist'!$B:$B,0)),MASTER!B1273,0)</f>
        <v>0</v>
      </c>
    </row>
    <row r="1269" spans="2:8" x14ac:dyDescent="0.25">
      <c r="B1269" s="114"/>
      <c r="C1269" s="114"/>
      <c r="D1269" s="114"/>
      <c r="G1269" s="120">
        <f>IF(ISERROR(MATCH(B1269,MASTER!$B:$B,0)),B1269,0)</f>
        <v>0</v>
      </c>
      <c r="H1269" s="120">
        <f>IF(ISERROR(MATCH(MASTER!B1274,'Peoplesoft Classlist'!$B:$B,0)),MASTER!B1274,0)</f>
        <v>0</v>
      </c>
    </row>
    <row r="1270" spans="2:8" x14ac:dyDescent="0.25">
      <c r="B1270" s="114"/>
      <c r="C1270" s="114"/>
      <c r="D1270" s="114"/>
      <c r="G1270" s="120">
        <f>IF(ISERROR(MATCH(B1270,MASTER!$B:$B,0)),B1270,0)</f>
        <v>0</v>
      </c>
      <c r="H1270" s="120">
        <f>IF(ISERROR(MATCH(MASTER!B1275,'Peoplesoft Classlist'!$B:$B,0)),MASTER!B1275,0)</f>
        <v>0</v>
      </c>
    </row>
    <row r="1271" spans="2:8" x14ac:dyDescent="0.25">
      <c r="B1271" s="114"/>
      <c r="C1271" s="114"/>
      <c r="D1271" s="114"/>
      <c r="G1271" s="120">
        <f>IF(ISERROR(MATCH(B1271,MASTER!$B:$B,0)),B1271,0)</f>
        <v>0</v>
      </c>
      <c r="H1271" s="120">
        <f>IF(ISERROR(MATCH(MASTER!B1276,'Peoplesoft Classlist'!$B:$B,0)),MASTER!B1276,0)</f>
        <v>0</v>
      </c>
    </row>
    <row r="1272" spans="2:8" x14ac:dyDescent="0.25">
      <c r="B1272" s="114"/>
      <c r="C1272" s="114"/>
      <c r="D1272" s="114"/>
      <c r="G1272" s="120">
        <f>IF(ISERROR(MATCH(B1272,MASTER!$B:$B,0)),B1272,0)</f>
        <v>0</v>
      </c>
      <c r="H1272" s="120">
        <f>IF(ISERROR(MATCH(MASTER!B1277,'Peoplesoft Classlist'!$B:$B,0)),MASTER!B1277,0)</f>
        <v>0</v>
      </c>
    </row>
    <row r="1273" spans="2:8" x14ac:dyDescent="0.25">
      <c r="B1273" s="114"/>
      <c r="C1273" s="114"/>
      <c r="D1273" s="114"/>
      <c r="G1273" s="120">
        <f>IF(ISERROR(MATCH(B1273,MASTER!$B:$B,0)),B1273,0)</f>
        <v>0</v>
      </c>
      <c r="H1273" s="120">
        <f>IF(ISERROR(MATCH(MASTER!B1278,'Peoplesoft Classlist'!$B:$B,0)),MASTER!B1278,0)</f>
        <v>0</v>
      </c>
    </row>
    <row r="1274" spans="2:8" x14ac:dyDescent="0.25">
      <c r="B1274" s="114"/>
      <c r="C1274" s="114"/>
      <c r="D1274" s="114"/>
      <c r="G1274" s="120">
        <f>IF(ISERROR(MATCH(B1274,MASTER!$B:$B,0)),B1274,0)</f>
        <v>0</v>
      </c>
      <c r="H1274" s="120">
        <f>IF(ISERROR(MATCH(MASTER!B1279,'Peoplesoft Classlist'!$B:$B,0)),MASTER!B1279,0)</f>
        <v>0</v>
      </c>
    </row>
    <row r="1275" spans="2:8" x14ac:dyDescent="0.25">
      <c r="B1275" s="114"/>
      <c r="C1275" s="114"/>
      <c r="D1275" s="114"/>
      <c r="G1275" s="120">
        <f>IF(ISERROR(MATCH(B1275,MASTER!$B:$B,0)),B1275,0)</f>
        <v>0</v>
      </c>
      <c r="H1275" s="120">
        <f>IF(ISERROR(MATCH(MASTER!B1280,'Peoplesoft Classlist'!$B:$B,0)),MASTER!B1280,0)</f>
        <v>0</v>
      </c>
    </row>
    <row r="1276" spans="2:8" x14ac:dyDescent="0.25">
      <c r="B1276" s="114"/>
      <c r="C1276" s="114"/>
      <c r="D1276" s="114"/>
      <c r="G1276" s="120">
        <f>IF(ISERROR(MATCH(B1276,MASTER!$B:$B,0)),B1276,0)</f>
        <v>0</v>
      </c>
      <c r="H1276" s="120">
        <f>IF(ISERROR(MATCH(MASTER!B1281,'Peoplesoft Classlist'!$B:$B,0)),MASTER!B1281,0)</f>
        <v>0</v>
      </c>
    </row>
    <row r="1277" spans="2:8" x14ac:dyDescent="0.25">
      <c r="B1277" s="114"/>
      <c r="C1277" s="114"/>
      <c r="D1277" s="114"/>
      <c r="G1277" s="120">
        <f>IF(ISERROR(MATCH(B1277,MASTER!$B:$B,0)),B1277,0)</f>
        <v>0</v>
      </c>
      <c r="H1277" s="120">
        <f>IF(ISERROR(MATCH(MASTER!B1282,'Peoplesoft Classlist'!$B:$B,0)),MASTER!B1282,0)</f>
        <v>0</v>
      </c>
    </row>
    <row r="1278" spans="2:8" x14ac:dyDescent="0.25">
      <c r="B1278" s="114"/>
      <c r="C1278" s="114"/>
      <c r="D1278" s="114"/>
      <c r="G1278" s="120">
        <f>IF(ISERROR(MATCH(B1278,MASTER!$B:$B,0)),B1278,0)</f>
        <v>0</v>
      </c>
      <c r="H1278" s="120">
        <f>IF(ISERROR(MATCH(MASTER!B1283,'Peoplesoft Classlist'!$B:$B,0)),MASTER!B1283,0)</f>
        <v>0</v>
      </c>
    </row>
    <row r="1279" spans="2:8" x14ac:dyDescent="0.25">
      <c r="B1279" s="114"/>
      <c r="C1279" s="114"/>
      <c r="D1279" s="114"/>
      <c r="G1279" s="120">
        <f>IF(ISERROR(MATCH(B1279,MASTER!$B:$B,0)),B1279,0)</f>
        <v>0</v>
      </c>
      <c r="H1279" s="120">
        <f>IF(ISERROR(MATCH(MASTER!B1284,'Peoplesoft Classlist'!$B:$B,0)),MASTER!B1284,0)</f>
        <v>0</v>
      </c>
    </row>
    <row r="1280" spans="2:8" x14ac:dyDescent="0.25">
      <c r="B1280" s="114"/>
      <c r="C1280" s="114"/>
      <c r="D1280" s="114"/>
      <c r="G1280" s="120">
        <f>IF(ISERROR(MATCH(B1280,MASTER!$B:$B,0)),B1280,0)</f>
        <v>0</v>
      </c>
      <c r="H1280" s="120">
        <f>IF(ISERROR(MATCH(MASTER!B1285,'Peoplesoft Classlist'!$B:$B,0)),MASTER!B1285,0)</f>
        <v>0</v>
      </c>
    </row>
    <row r="1281" spans="2:8" x14ac:dyDescent="0.25">
      <c r="B1281" s="114"/>
      <c r="C1281" s="114"/>
      <c r="D1281" s="114"/>
      <c r="G1281" s="120">
        <f>IF(ISERROR(MATCH(B1281,MASTER!$B:$B,0)),B1281,0)</f>
        <v>0</v>
      </c>
      <c r="H1281" s="120">
        <f>IF(ISERROR(MATCH(MASTER!B1286,'Peoplesoft Classlist'!$B:$B,0)),MASTER!B1286,0)</f>
        <v>0</v>
      </c>
    </row>
    <row r="1282" spans="2:8" x14ac:dyDescent="0.25">
      <c r="B1282" s="114"/>
      <c r="C1282" s="114"/>
      <c r="D1282" s="114"/>
      <c r="G1282" s="120">
        <f>IF(ISERROR(MATCH(B1282,MASTER!$B:$B,0)),B1282,0)</f>
        <v>0</v>
      </c>
      <c r="H1282" s="120">
        <f>IF(ISERROR(MATCH(MASTER!B1287,'Peoplesoft Classlist'!$B:$B,0)),MASTER!B1287,0)</f>
        <v>0</v>
      </c>
    </row>
    <row r="1283" spans="2:8" x14ac:dyDescent="0.25">
      <c r="B1283" s="114"/>
      <c r="C1283" s="114"/>
      <c r="D1283" s="114"/>
      <c r="G1283" s="120">
        <f>IF(ISERROR(MATCH(B1283,MASTER!$B:$B,0)),B1283,0)</f>
        <v>0</v>
      </c>
      <c r="H1283" s="120">
        <f>IF(ISERROR(MATCH(MASTER!B1288,'Peoplesoft Classlist'!$B:$B,0)),MASTER!B1288,0)</f>
        <v>0</v>
      </c>
    </row>
    <row r="1284" spans="2:8" x14ac:dyDescent="0.25">
      <c r="B1284" s="114"/>
      <c r="C1284" s="114"/>
      <c r="D1284" s="114"/>
      <c r="G1284" s="120">
        <f>IF(ISERROR(MATCH(B1284,MASTER!$B:$B,0)),B1284,0)</f>
        <v>0</v>
      </c>
      <c r="H1284" s="120">
        <f>IF(ISERROR(MATCH(MASTER!B1289,'Peoplesoft Classlist'!$B:$B,0)),MASTER!B1289,0)</f>
        <v>0</v>
      </c>
    </row>
    <row r="1285" spans="2:8" x14ac:dyDescent="0.25">
      <c r="B1285" s="114"/>
      <c r="C1285" s="114"/>
      <c r="D1285" s="114"/>
      <c r="G1285" s="120">
        <f>IF(ISERROR(MATCH(B1285,MASTER!$B:$B,0)),B1285,0)</f>
        <v>0</v>
      </c>
      <c r="H1285" s="120">
        <f>IF(ISERROR(MATCH(MASTER!B1290,'Peoplesoft Classlist'!$B:$B,0)),MASTER!B1290,0)</f>
        <v>0</v>
      </c>
    </row>
    <row r="1286" spans="2:8" x14ac:dyDescent="0.25">
      <c r="B1286" s="114"/>
      <c r="C1286" s="114"/>
      <c r="D1286" s="114"/>
      <c r="G1286" s="120">
        <f>IF(ISERROR(MATCH(B1286,MASTER!$B:$B,0)),B1286,0)</f>
        <v>0</v>
      </c>
      <c r="H1286" s="120">
        <f>IF(ISERROR(MATCH(MASTER!B1291,'Peoplesoft Classlist'!$B:$B,0)),MASTER!B1291,0)</f>
        <v>0</v>
      </c>
    </row>
    <row r="1287" spans="2:8" x14ac:dyDescent="0.25">
      <c r="B1287" s="114"/>
      <c r="C1287" s="114"/>
      <c r="D1287" s="114"/>
      <c r="G1287" s="120">
        <f>IF(ISERROR(MATCH(B1287,MASTER!$B:$B,0)),B1287,0)</f>
        <v>0</v>
      </c>
      <c r="H1287" s="120">
        <f>IF(ISERROR(MATCH(MASTER!B1292,'Peoplesoft Classlist'!$B:$B,0)),MASTER!B1292,0)</f>
        <v>0</v>
      </c>
    </row>
    <row r="1288" spans="2:8" x14ac:dyDescent="0.25">
      <c r="B1288" s="114"/>
      <c r="C1288" s="114"/>
      <c r="D1288" s="114"/>
      <c r="G1288" s="120">
        <f>IF(ISERROR(MATCH(B1288,MASTER!$B:$B,0)),B1288,0)</f>
        <v>0</v>
      </c>
      <c r="H1288" s="120">
        <f>IF(ISERROR(MATCH(MASTER!B1293,'Peoplesoft Classlist'!$B:$B,0)),MASTER!B1293,0)</f>
        <v>0</v>
      </c>
    </row>
    <row r="1289" spans="2:8" x14ac:dyDescent="0.25">
      <c r="B1289" s="114"/>
      <c r="C1289" s="114"/>
      <c r="D1289" s="114"/>
      <c r="G1289" s="120">
        <f>IF(ISERROR(MATCH(B1289,MASTER!$B:$B,0)),B1289,0)</f>
        <v>0</v>
      </c>
      <c r="H1289" s="120">
        <f>IF(ISERROR(MATCH(MASTER!B1294,'Peoplesoft Classlist'!$B:$B,0)),MASTER!B1294,0)</f>
        <v>0</v>
      </c>
    </row>
    <row r="1290" spans="2:8" x14ac:dyDescent="0.25">
      <c r="B1290" s="114"/>
      <c r="C1290" s="114"/>
      <c r="D1290" s="114"/>
      <c r="G1290" s="120">
        <f>IF(ISERROR(MATCH(B1290,MASTER!$B:$B,0)),B1290,0)</f>
        <v>0</v>
      </c>
      <c r="H1290" s="120">
        <f>IF(ISERROR(MATCH(MASTER!B1295,'Peoplesoft Classlist'!$B:$B,0)),MASTER!B1295,0)</f>
        <v>0</v>
      </c>
    </row>
    <row r="1291" spans="2:8" x14ac:dyDescent="0.25">
      <c r="B1291" s="114"/>
      <c r="C1291" s="114"/>
      <c r="D1291" s="114"/>
      <c r="G1291" s="120">
        <f>IF(ISERROR(MATCH(B1291,MASTER!$B:$B,0)),B1291,0)</f>
        <v>0</v>
      </c>
      <c r="H1291" s="120">
        <f>IF(ISERROR(MATCH(MASTER!B1296,'Peoplesoft Classlist'!$B:$B,0)),MASTER!B1296,0)</f>
        <v>0</v>
      </c>
    </row>
    <row r="1292" spans="2:8" x14ac:dyDescent="0.25">
      <c r="B1292" s="114"/>
      <c r="C1292" s="114"/>
      <c r="D1292" s="114"/>
      <c r="G1292" s="120">
        <f>IF(ISERROR(MATCH(B1292,MASTER!$B:$B,0)),B1292,0)</f>
        <v>0</v>
      </c>
      <c r="H1292" s="120">
        <f>IF(ISERROR(MATCH(MASTER!B1297,'Peoplesoft Classlist'!$B:$B,0)),MASTER!B1297,0)</f>
        <v>0</v>
      </c>
    </row>
    <row r="1293" spans="2:8" x14ac:dyDescent="0.25">
      <c r="B1293" s="114"/>
      <c r="C1293" s="114"/>
      <c r="D1293" s="114"/>
      <c r="G1293" s="120">
        <f>IF(ISERROR(MATCH(B1293,MASTER!$B:$B,0)),B1293,0)</f>
        <v>0</v>
      </c>
      <c r="H1293" s="120">
        <f>IF(ISERROR(MATCH(MASTER!B1298,'Peoplesoft Classlist'!$B:$B,0)),MASTER!B1298,0)</f>
        <v>0</v>
      </c>
    </row>
    <row r="1294" spans="2:8" x14ac:dyDescent="0.25">
      <c r="B1294" s="114"/>
      <c r="C1294" s="114"/>
      <c r="D1294" s="114"/>
      <c r="G1294" s="120">
        <f>IF(ISERROR(MATCH(B1294,MASTER!$B:$B,0)),B1294,0)</f>
        <v>0</v>
      </c>
      <c r="H1294" s="120">
        <f>IF(ISERROR(MATCH(MASTER!B1299,'Peoplesoft Classlist'!$B:$B,0)),MASTER!B1299,0)</f>
        <v>0</v>
      </c>
    </row>
    <row r="1295" spans="2:8" x14ac:dyDescent="0.25">
      <c r="B1295" s="114"/>
      <c r="C1295" s="114"/>
      <c r="D1295" s="114"/>
      <c r="G1295" s="120">
        <f>IF(ISERROR(MATCH(B1295,MASTER!$B:$B,0)),B1295,0)</f>
        <v>0</v>
      </c>
      <c r="H1295" s="120">
        <f>IF(ISERROR(MATCH(MASTER!B1300,'Peoplesoft Classlist'!$B:$B,0)),MASTER!B1300,0)</f>
        <v>0</v>
      </c>
    </row>
    <row r="1296" spans="2:8" x14ac:dyDescent="0.25">
      <c r="B1296" s="114"/>
      <c r="C1296" s="114"/>
      <c r="D1296" s="114"/>
      <c r="G1296" s="120">
        <f>IF(ISERROR(MATCH(B1296,MASTER!$B:$B,0)),B1296,0)</f>
        <v>0</v>
      </c>
      <c r="H1296" s="120">
        <f>IF(ISERROR(MATCH(MASTER!B1301,'Peoplesoft Classlist'!$B:$B,0)),MASTER!B1301,0)</f>
        <v>0</v>
      </c>
    </row>
    <row r="1297" spans="2:8" x14ac:dyDescent="0.25">
      <c r="B1297" s="114"/>
      <c r="C1297" s="114"/>
      <c r="D1297" s="114"/>
      <c r="G1297" s="120">
        <f>IF(ISERROR(MATCH(B1297,MASTER!$B:$B,0)),B1297,0)</f>
        <v>0</v>
      </c>
      <c r="H1297" s="120">
        <f>IF(ISERROR(MATCH(MASTER!B1302,'Peoplesoft Classlist'!$B:$B,0)),MASTER!B1302,0)</f>
        <v>0</v>
      </c>
    </row>
    <row r="1298" spans="2:8" x14ac:dyDescent="0.25">
      <c r="B1298" s="114"/>
      <c r="C1298" s="114"/>
      <c r="D1298" s="114"/>
      <c r="G1298" s="120">
        <f>IF(ISERROR(MATCH(B1298,MASTER!$B:$B,0)),B1298,0)</f>
        <v>0</v>
      </c>
      <c r="H1298" s="120">
        <f>IF(ISERROR(MATCH(MASTER!B1303,'Peoplesoft Classlist'!$B:$B,0)),MASTER!B1303,0)</f>
        <v>0</v>
      </c>
    </row>
    <row r="1299" spans="2:8" x14ac:dyDescent="0.25">
      <c r="B1299" s="114"/>
      <c r="C1299" s="114"/>
      <c r="D1299" s="114"/>
      <c r="G1299" s="120">
        <f>IF(ISERROR(MATCH(B1299,MASTER!$B:$B,0)),B1299,0)</f>
        <v>0</v>
      </c>
      <c r="H1299" s="120">
        <f>IF(ISERROR(MATCH(MASTER!B1304,'Peoplesoft Classlist'!$B:$B,0)),MASTER!B1304,0)</f>
        <v>0</v>
      </c>
    </row>
    <row r="1300" spans="2:8" x14ac:dyDescent="0.25">
      <c r="B1300" s="114"/>
      <c r="C1300" s="114"/>
      <c r="D1300" s="114"/>
      <c r="G1300" s="120">
        <f>IF(ISERROR(MATCH(B1300,MASTER!$B:$B,0)),B1300,0)</f>
        <v>0</v>
      </c>
      <c r="H1300" s="120">
        <f>IF(ISERROR(MATCH(MASTER!B1305,'Peoplesoft Classlist'!$B:$B,0)),MASTER!B1305,0)</f>
        <v>0</v>
      </c>
    </row>
    <row r="1301" spans="2:8" x14ac:dyDescent="0.25">
      <c r="B1301" s="114"/>
      <c r="C1301" s="114"/>
      <c r="D1301" s="114"/>
      <c r="G1301" s="120">
        <f>IF(ISERROR(MATCH(B1301,MASTER!$B:$B,0)),B1301,0)</f>
        <v>0</v>
      </c>
      <c r="H1301" s="120">
        <f>IF(ISERROR(MATCH(MASTER!B1306,'Peoplesoft Classlist'!$B:$B,0)),MASTER!B1306,0)</f>
        <v>0</v>
      </c>
    </row>
    <row r="1302" spans="2:8" x14ac:dyDescent="0.25">
      <c r="B1302" s="114"/>
      <c r="C1302" s="114"/>
      <c r="D1302" s="114"/>
      <c r="G1302" s="120">
        <f>IF(ISERROR(MATCH(B1302,MASTER!$B:$B,0)),B1302,0)</f>
        <v>0</v>
      </c>
      <c r="H1302" s="120">
        <f>IF(ISERROR(MATCH(MASTER!B1307,'Peoplesoft Classlist'!$B:$B,0)),MASTER!B1307,0)</f>
        <v>0</v>
      </c>
    </row>
    <row r="1303" spans="2:8" x14ac:dyDescent="0.25">
      <c r="B1303" s="114"/>
      <c r="C1303" s="114"/>
      <c r="D1303" s="114"/>
      <c r="G1303" s="120">
        <f>IF(ISERROR(MATCH(B1303,MASTER!$B:$B,0)),B1303,0)</f>
        <v>0</v>
      </c>
      <c r="H1303" s="120">
        <f>IF(ISERROR(MATCH(MASTER!B1308,'Peoplesoft Classlist'!$B:$B,0)),MASTER!B1308,0)</f>
        <v>0</v>
      </c>
    </row>
    <row r="1304" spans="2:8" x14ac:dyDescent="0.25">
      <c r="B1304" s="114"/>
      <c r="C1304" s="114"/>
      <c r="D1304" s="114"/>
      <c r="G1304" s="120">
        <f>IF(ISERROR(MATCH(B1304,MASTER!$B:$B,0)),B1304,0)</f>
        <v>0</v>
      </c>
      <c r="H1304" s="120">
        <f>IF(ISERROR(MATCH(MASTER!B1309,'Peoplesoft Classlist'!$B:$B,0)),MASTER!B1309,0)</f>
        <v>0</v>
      </c>
    </row>
    <row r="1305" spans="2:8" x14ac:dyDescent="0.25">
      <c r="B1305" s="114"/>
      <c r="C1305" s="114"/>
      <c r="D1305" s="114"/>
      <c r="G1305" s="120">
        <f>IF(ISERROR(MATCH(B1305,MASTER!$B:$B,0)),B1305,0)</f>
        <v>0</v>
      </c>
      <c r="H1305" s="120">
        <f>IF(ISERROR(MATCH(MASTER!B1310,'Peoplesoft Classlist'!$B:$B,0)),MASTER!B1310,0)</f>
        <v>0</v>
      </c>
    </row>
    <row r="1306" spans="2:8" x14ac:dyDescent="0.25">
      <c r="B1306" s="114"/>
      <c r="C1306" s="114"/>
      <c r="D1306" s="114"/>
      <c r="G1306" s="120">
        <f>IF(ISERROR(MATCH(B1306,MASTER!$B:$B,0)),B1306,0)</f>
        <v>0</v>
      </c>
      <c r="H1306" s="120">
        <f>IF(ISERROR(MATCH(MASTER!B1311,'Peoplesoft Classlist'!$B:$B,0)),MASTER!B1311,0)</f>
        <v>0</v>
      </c>
    </row>
    <row r="1307" spans="2:8" x14ac:dyDescent="0.25">
      <c r="B1307" s="114"/>
      <c r="C1307" s="114"/>
      <c r="D1307" s="114"/>
      <c r="G1307" s="120">
        <f>IF(ISERROR(MATCH(B1307,MASTER!$B:$B,0)),B1307,0)</f>
        <v>0</v>
      </c>
      <c r="H1307" s="120">
        <f>IF(ISERROR(MATCH(MASTER!B1312,'Peoplesoft Classlist'!$B:$B,0)),MASTER!B1312,0)</f>
        <v>0</v>
      </c>
    </row>
    <row r="1308" spans="2:8" x14ac:dyDescent="0.25">
      <c r="B1308" s="114"/>
      <c r="C1308" s="114"/>
      <c r="D1308" s="114"/>
      <c r="G1308" s="120">
        <f>IF(ISERROR(MATCH(B1308,MASTER!$B:$B,0)),B1308,0)</f>
        <v>0</v>
      </c>
      <c r="H1308" s="120">
        <f>IF(ISERROR(MATCH(MASTER!B1313,'Peoplesoft Classlist'!$B:$B,0)),MASTER!B1313,0)</f>
        <v>0</v>
      </c>
    </row>
    <row r="1309" spans="2:8" x14ac:dyDescent="0.25">
      <c r="B1309" s="114"/>
      <c r="C1309" s="114"/>
      <c r="D1309" s="114"/>
      <c r="G1309" s="120">
        <f>IF(ISERROR(MATCH(B1309,MASTER!$B:$B,0)),B1309,0)</f>
        <v>0</v>
      </c>
      <c r="H1309" s="120">
        <f>IF(ISERROR(MATCH(MASTER!B1314,'Peoplesoft Classlist'!$B:$B,0)),MASTER!B1314,0)</f>
        <v>0</v>
      </c>
    </row>
    <row r="1310" spans="2:8" x14ac:dyDescent="0.25">
      <c r="B1310" s="114"/>
      <c r="C1310" s="114"/>
      <c r="D1310" s="114"/>
      <c r="G1310" s="120">
        <f>IF(ISERROR(MATCH(B1310,MASTER!$B:$B,0)),B1310,0)</f>
        <v>0</v>
      </c>
      <c r="H1310" s="120">
        <f>IF(ISERROR(MATCH(MASTER!B1315,'Peoplesoft Classlist'!$B:$B,0)),MASTER!B1315,0)</f>
        <v>0</v>
      </c>
    </row>
    <row r="1311" spans="2:8" x14ac:dyDescent="0.25">
      <c r="B1311" s="114"/>
      <c r="C1311" s="114"/>
      <c r="D1311" s="114"/>
      <c r="G1311" s="120">
        <f>IF(ISERROR(MATCH(B1311,MASTER!$B:$B,0)),B1311,0)</f>
        <v>0</v>
      </c>
      <c r="H1311" s="120">
        <f>IF(ISERROR(MATCH(MASTER!B1316,'Peoplesoft Classlist'!$B:$B,0)),MASTER!B1316,0)</f>
        <v>0</v>
      </c>
    </row>
    <row r="1312" spans="2:8" x14ac:dyDescent="0.25">
      <c r="B1312" s="114"/>
      <c r="C1312" s="114"/>
      <c r="D1312" s="114"/>
      <c r="G1312" s="120">
        <f>IF(ISERROR(MATCH(B1312,MASTER!$B:$B,0)),B1312,0)</f>
        <v>0</v>
      </c>
      <c r="H1312" s="120">
        <f>IF(ISERROR(MATCH(MASTER!B1317,'Peoplesoft Classlist'!$B:$B,0)),MASTER!B1317,0)</f>
        <v>0</v>
      </c>
    </row>
    <row r="1313" spans="2:8" x14ac:dyDescent="0.25">
      <c r="B1313" s="114"/>
      <c r="C1313" s="114"/>
      <c r="D1313" s="114"/>
      <c r="G1313" s="120">
        <f>IF(ISERROR(MATCH(B1313,MASTER!$B:$B,0)),B1313,0)</f>
        <v>0</v>
      </c>
      <c r="H1313" s="120">
        <f>IF(ISERROR(MATCH(MASTER!B1318,'Peoplesoft Classlist'!$B:$B,0)),MASTER!B1318,0)</f>
        <v>0</v>
      </c>
    </row>
    <row r="1314" spans="2:8" x14ac:dyDescent="0.25">
      <c r="B1314" s="114"/>
      <c r="C1314" s="114"/>
      <c r="D1314" s="114"/>
      <c r="G1314" s="120">
        <f>IF(ISERROR(MATCH(B1314,MASTER!$B:$B,0)),B1314,0)</f>
        <v>0</v>
      </c>
      <c r="H1314" s="120">
        <f>IF(ISERROR(MATCH(MASTER!B1319,'Peoplesoft Classlist'!$B:$B,0)),MASTER!B1319,0)</f>
        <v>0</v>
      </c>
    </row>
    <row r="1315" spans="2:8" x14ac:dyDescent="0.25">
      <c r="B1315" s="114"/>
      <c r="C1315" s="114"/>
      <c r="D1315" s="114"/>
      <c r="G1315" s="120">
        <f>IF(ISERROR(MATCH(B1315,MASTER!$B:$B,0)),B1315,0)</f>
        <v>0</v>
      </c>
      <c r="H1315" s="120">
        <f>IF(ISERROR(MATCH(MASTER!B1320,'Peoplesoft Classlist'!$B:$B,0)),MASTER!B1320,0)</f>
        <v>0</v>
      </c>
    </row>
    <row r="1316" spans="2:8" x14ac:dyDescent="0.25">
      <c r="B1316" s="114"/>
      <c r="C1316" s="114"/>
      <c r="D1316" s="114"/>
      <c r="G1316" s="120">
        <f>IF(ISERROR(MATCH(B1316,MASTER!$B:$B,0)),B1316,0)</f>
        <v>0</v>
      </c>
      <c r="H1316" s="120">
        <f>IF(ISERROR(MATCH(MASTER!B1321,'Peoplesoft Classlist'!$B:$B,0)),MASTER!B1321,0)</f>
        <v>0</v>
      </c>
    </row>
    <row r="1317" spans="2:8" x14ac:dyDescent="0.25">
      <c r="B1317" s="114"/>
      <c r="C1317" s="114"/>
      <c r="D1317" s="114"/>
      <c r="G1317" s="120">
        <f>IF(ISERROR(MATCH(B1317,MASTER!$B:$B,0)),B1317,0)</f>
        <v>0</v>
      </c>
      <c r="H1317" s="120">
        <f>IF(ISERROR(MATCH(MASTER!B1322,'Peoplesoft Classlist'!$B:$B,0)),MASTER!B1322,0)</f>
        <v>0</v>
      </c>
    </row>
    <row r="1318" spans="2:8" x14ac:dyDescent="0.25">
      <c r="B1318" s="114"/>
      <c r="C1318" s="114"/>
      <c r="D1318" s="114"/>
      <c r="G1318" s="120">
        <f>IF(ISERROR(MATCH(B1318,MASTER!$B:$B,0)),B1318,0)</f>
        <v>0</v>
      </c>
      <c r="H1318" s="120">
        <f>IF(ISERROR(MATCH(MASTER!B1323,'Peoplesoft Classlist'!$B:$B,0)),MASTER!B1323,0)</f>
        <v>0</v>
      </c>
    </row>
    <row r="1319" spans="2:8" x14ac:dyDescent="0.25">
      <c r="B1319" s="114"/>
      <c r="C1319" s="114"/>
      <c r="D1319" s="114"/>
      <c r="G1319" s="120">
        <f>IF(ISERROR(MATCH(B1319,MASTER!$B:$B,0)),B1319,0)</f>
        <v>0</v>
      </c>
      <c r="H1319" s="120">
        <f>IF(ISERROR(MATCH(MASTER!B1324,'Peoplesoft Classlist'!$B:$B,0)),MASTER!B1324,0)</f>
        <v>0</v>
      </c>
    </row>
    <row r="1320" spans="2:8" x14ac:dyDescent="0.25">
      <c r="B1320" s="114"/>
      <c r="C1320" s="114"/>
      <c r="D1320" s="114"/>
      <c r="G1320" s="120">
        <f>IF(ISERROR(MATCH(B1320,MASTER!$B:$B,0)),B1320,0)</f>
        <v>0</v>
      </c>
      <c r="H1320" s="120">
        <f>IF(ISERROR(MATCH(MASTER!B1325,'Peoplesoft Classlist'!$B:$B,0)),MASTER!B1325,0)</f>
        <v>0</v>
      </c>
    </row>
    <row r="1321" spans="2:8" x14ac:dyDescent="0.25">
      <c r="B1321" s="114"/>
      <c r="C1321" s="114"/>
      <c r="D1321" s="114"/>
      <c r="G1321" s="120">
        <f>IF(ISERROR(MATCH(B1321,MASTER!$B:$B,0)),B1321,0)</f>
        <v>0</v>
      </c>
      <c r="H1321" s="120">
        <f>IF(ISERROR(MATCH(MASTER!B1326,'Peoplesoft Classlist'!$B:$B,0)),MASTER!B1326,0)</f>
        <v>0</v>
      </c>
    </row>
    <row r="1322" spans="2:8" x14ac:dyDescent="0.25">
      <c r="B1322" s="114"/>
      <c r="C1322" s="114"/>
      <c r="D1322" s="114"/>
      <c r="G1322" s="120">
        <f>IF(ISERROR(MATCH(B1322,MASTER!$B:$B,0)),B1322,0)</f>
        <v>0</v>
      </c>
      <c r="H1322" s="120">
        <f>IF(ISERROR(MATCH(MASTER!B1327,'Peoplesoft Classlist'!$B:$B,0)),MASTER!B1327,0)</f>
        <v>0</v>
      </c>
    </row>
    <row r="1323" spans="2:8" x14ac:dyDescent="0.25">
      <c r="B1323" s="114"/>
      <c r="C1323" s="114"/>
      <c r="D1323" s="114"/>
      <c r="G1323" s="120">
        <f>IF(ISERROR(MATCH(B1323,MASTER!$B:$B,0)),B1323,0)</f>
        <v>0</v>
      </c>
      <c r="H1323" s="120">
        <f>IF(ISERROR(MATCH(MASTER!B1328,'Peoplesoft Classlist'!$B:$B,0)),MASTER!B1328,0)</f>
        <v>0</v>
      </c>
    </row>
    <row r="1324" spans="2:8" x14ac:dyDescent="0.25">
      <c r="B1324" s="114"/>
      <c r="C1324" s="114"/>
      <c r="D1324" s="114"/>
      <c r="G1324" s="120">
        <f>IF(ISERROR(MATCH(B1324,MASTER!$B:$B,0)),B1324,0)</f>
        <v>0</v>
      </c>
      <c r="H1324" s="120">
        <f>IF(ISERROR(MATCH(MASTER!B1329,'Peoplesoft Classlist'!$B:$B,0)),MASTER!B1329,0)</f>
        <v>0</v>
      </c>
    </row>
    <row r="1325" spans="2:8" x14ac:dyDescent="0.25">
      <c r="B1325" s="114"/>
      <c r="C1325" s="114"/>
      <c r="D1325" s="114"/>
      <c r="G1325" s="120">
        <f>IF(ISERROR(MATCH(B1325,MASTER!$B:$B,0)),B1325,0)</f>
        <v>0</v>
      </c>
      <c r="H1325" s="120">
        <f>IF(ISERROR(MATCH(MASTER!B1330,'Peoplesoft Classlist'!$B:$B,0)),MASTER!B1330,0)</f>
        <v>0</v>
      </c>
    </row>
    <row r="1326" spans="2:8" x14ac:dyDescent="0.25">
      <c r="B1326" s="114"/>
      <c r="C1326" s="114"/>
      <c r="D1326" s="114"/>
      <c r="G1326" s="120">
        <f>IF(ISERROR(MATCH(B1326,MASTER!$B:$B,0)),B1326,0)</f>
        <v>0</v>
      </c>
      <c r="H1326" s="120">
        <f>IF(ISERROR(MATCH(MASTER!B1331,'Peoplesoft Classlist'!$B:$B,0)),MASTER!B1331,0)</f>
        <v>0</v>
      </c>
    </row>
    <row r="1327" spans="2:8" x14ac:dyDescent="0.25">
      <c r="B1327" s="114"/>
      <c r="C1327" s="114"/>
      <c r="D1327" s="114"/>
      <c r="G1327" s="120">
        <f>IF(ISERROR(MATCH(B1327,MASTER!$B:$B,0)),B1327,0)</f>
        <v>0</v>
      </c>
      <c r="H1327" s="120">
        <f>IF(ISERROR(MATCH(MASTER!B1332,'Peoplesoft Classlist'!$B:$B,0)),MASTER!B1332,0)</f>
        <v>0</v>
      </c>
    </row>
    <row r="1328" spans="2:8" x14ac:dyDescent="0.25">
      <c r="B1328" s="114"/>
      <c r="C1328" s="114"/>
      <c r="D1328" s="114"/>
      <c r="G1328" s="120">
        <f>IF(ISERROR(MATCH(B1328,MASTER!$B:$B,0)),B1328,0)</f>
        <v>0</v>
      </c>
      <c r="H1328" s="120">
        <f>IF(ISERROR(MATCH(MASTER!B1333,'Peoplesoft Classlist'!$B:$B,0)),MASTER!B1333,0)</f>
        <v>0</v>
      </c>
    </row>
    <row r="1329" spans="2:8" x14ac:dyDescent="0.25">
      <c r="B1329" s="114"/>
      <c r="C1329" s="114"/>
      <c r="D1329" s="114"/>
      <c r="G1329" s="120">
        <f>IF(ISERROR(MATCH(B1329,MASTER!$B:$B,0)),B1329,0)</f>
        <v>0</v>
      </c>
      <c r="H1329" s="120">
        <f>IF(ISERROR(MATCH(MASTER!B1334,'Peoplesoft Classlist'!$B:$B,0)),MASTER!B1334,0)</f>
        <v>0</v>
      </c>
    </row>
    <row r="1330" spans="2:8" x14ac:dyDescent="0.25">
      <c r="B1330" s="114"/>
      <c r="C1330" s="114"/>
      <c r="D1330" s="114"/>
      <c r="G1330" s="120">
        <f>IF(ISERROR(MATCH(B1330,MASTER!$B:$B,0)),B1330,0)</f>
        <v>0</v>
      </c>
      <c r="H1330" s="120">
        <f>IF(ISERROR(MATCH(MASTER!B1335,'Peoplesoft Classlist'!$B:$B,0)),MASTER!B1335,0)</f>
        <v>0</v>
      </c>
    </row>
    <row r="1331" spans="2:8" x14ac:dyDescent="0.25">
      <c r="B1331" s="114"/>
      <c r="C1331" s="114"/>
      <c r="D1331" s="114"/>
      <c r="G1331" s="120">
        <f>IF(ISERROR(MATCH(B1331,MASTER!$B:$B,0)),B1331,0)</f>
        <v>0</v>
      </c>
      <c r="H1331" s="120">
        <f>IF(ISERROR(MATCH(MASTER!B1336,'Peoplesoft Classlist'!$B:$B,0)),MASTER!B1336,0)</f>
        <v>0</v>
      </c>
    </row>
    <row r="1332" spans="2:8" x14ac:dyDescent="0.25">
      <c r="B1332" s="114"/>
      <c r="C1332" s="114"/>
      <c r="D1332" s="114"/>
      <c r="G1332" s="120">
        <f>IF(ISERROR(MATCH(B1332,MASTER!$B:$B,0)),B1332,0)</f>
        <v>0</v>
      </c>
      <c r="H1332" s="120">
        <f>IF(ISERROR(MATCH(MASTER!B1337,'Peoplesoft Classlist'!$B:$B,0)),MASTER!B1337,0)</f>
        <v>0</v>
      </c>
    </row>
    <row r="1333" spans="2:8" x14ac:dyDescent="0.25">
      <c r="B1333" s="114"/>
      <c r="C1333" s="114"/>
      <c r="D1333" s="114"/>
      <c r="G1333" s="120">
        <f>IF(ISERROR(MATCH(B1333,MASTER!$B:$B,0)),B1333,0)</f>
        <v>0</v>
      </c>
      <c r="H1333" s="120">
        <f>IF(ISERROR(MATCH(MASTER!B1338,'Peoplesoft Classlist'!$B:$B,0)),MASTER!B1338,0)</f>
        <v>0</v>
      </c>
    </row>
    <row r="1334" spans="2:8" x14ac:dyDescent="0.25">
      <c r="B1334" s="114"/>
      <c r="C1334" s="114"/>
      <c r="D1334" s="114"/>
      <c r="G1334" s="120">
        <f>IF(ISERROR(MATCH(B1334,MASTER!$B:$B,0)),B1334,0)</f>
        <v>0</v>
      </c>
      <c r="H1334" s="120">
        <f>IF(ISERROR(MATCH(MASTER!B1339,'Peoplesoft Classlist'!$B:$B,0)),MASTER!B1339,0)</f>
        <v>0</v>
      </c>
    </row>
    <row r="1335" spans="2:8" x14ac:dyDescent="0.25">
      <c r="B1335" s="114"/>
      <c r="C1335" s="114"/>
      <c r="D1335" s="114"/>
      <c r="G1335" s="120">
        <f>IF(ISERROR(MATCH(B1335,MASTER!$B:$B,0)),B1335,0)</f>
        <v>0</v>
      </c>
      <c r="H1335" s="120">
        <f>IF(ISERROR(MATCH(MASTER!B1340,'Peoplesoft Classlist'!$B:$B,0)),MASTER!B1340,0)</f>
        <v>0</v>
      </c>
    </row>
    <row r="1336" spans="2:8" x14ac:dyDescent="0.25">
      <c r="B1336" s="114"/>
      <c r="C1336" s="114"/>
      <c r="D1336" s="114"/>
      <c r="G1336" s="120">
        <f>IF(ISERROR(MATCH(B1336,MASTER!$B:$B,0)),B1336,0)</f>
        <v>0</v>
      </c>
      <c r="H1336" s="120">
        <f>IF(ISERROR(MATCH(MASTER!B1341,'Peoplesoft Classlist'!$B:$B,0)),MASTER!B1341,0)</f>
        <v>0</v>
      </c>
    </row>
    <row r="1337" spans="2:8" x14ac:dyDescent="0.25">
      <c r="B1337" s="114"/>
      <c r="C1337" s="114"/>
      <c r="D1337" s="114"/>
      <c r="G1337" s="120">
        <f>IF(ISERROR(MATCH(B1337,MASTER!$B:$B,0)),B1337,0)</f>
        <v>0</v>
      </c>
      <c r="H1337" s="120">
        <f>IF(ISERROR(MATCH(MASTER!B1342,'Peoplesoft Classlist'!$B:$B,0)),MASTER!B1342,0)</f>
        <v>0</v>
      </c>
    </row>
    <row r="1338" spans="2:8" x14ac:dyDescent="0.25">
      <c r="B1338" s="114"/>
      <c r="C1338" s="114"/>
      <c r="D1338" s="114"/>
      <c r="G1338" s="120">
        <f>IF(ISERROR(MATCH(B1338,MASTER!$B:$B,0)),B1338,0)</f>
        <v>0</v>
      </c>
      <c r="H1338" s="120">
        <f>IF(ISERROR(MATCH(MASTER!B1343,'Peoplesoft Classlist'!$B:$B,0)),MASTER!B1343,0)</f>
        <v>0</v>
      </c>
    </row>
    <row r="1339" spans="2:8" x14ac:dyDescent="0.25">
      <c r="B1339" s="114"/>
      <c r="C1339" s="114"/>
      <c r="D1339" s="114"/>
      <c r="G1339" s="120">
        <f>IF(ISERROR(MATCH(B1339,MASTER!$B:$B,0)),B1339,0)</f>
        <v>0</v>
      </c>
      <c r="H1339" s="120">
        <f>IF(ISERROR(MATCH(MASTER!B1344,'Peoplesoft Classlist'!$B:$B,0)),MASTER!B1344,0)</f>
        <v>0</v>
      </c>
    </row>
    <row r="1340" spans="2:8" x14ac:dyDescent="0.25">
      <c r="B1340" s="114"/>
      <c r="C1340" s="114"/>
      <c r="D1340" s="114"/>
      <c r="G1340" s="120">
        <f>IF(ISERROR(MATCH(B1340,MASTER!$B:$B,0)),B1340,0)</f>
        <v>0</v>
      </c>
      <c r="H1340" s="120">
        <f>IF(ISERROR(MATCH(MASTER!B1345,'Peoplesoft Classlist'!$B:$B,0)),MASTER!B1345,0)</f>
        <v>0</v>
      </c>
    </row>
    <row r="1341" spans="2:8" x14ac:dyDescent="0.25">
      <c r="B1341" s="114"/>
      <c r="C1341" s="114"/>
      <c r="D1341" s="114"/>
      <c r="G1341" s="120">
        <f>IF(ISERROR(MATCH(B1341,MASTER!$B:$B,0)),B1341,0)</f>
        <v>0</v>
      </c>
      <c r="H1341" s="120">
        <f>IF(ISERROR(MATCH(MASTER!B1346,'Peoplesoft Classlist'!$B:$B,0)),MASTER!B1346,0)</f>
        <v>0</v>
      </c>
    </row>
    <row r="1342" spans="2:8" x14ac:dyDescent="0.25">
      <c r="B1342" s="114"/>
      <c r="C1342" s="114"/>
      <c r="D1342" s="114"/>
      <c r="G1342" s="120">
        <f>IF(ISERROR(MATCH(B1342,MASTER!$B:$B,0)),B1342,0)</f>
        <v>0</v>
      </c>
      <c r="H1342" s="120">
        <f>IF(ISERROR(MATCH(MASTER!B1347,'Peoplesoft Classlist'!$B:$B,0)),MASTER!B1347,0)</f>
        <v>0</v>
      </c>
    </row>
    <row r="1343" spans="2:8" x14ac:dyDescent="0.25">
      <c r="B1343" s="114"/>
      <c r="C1343" s="114"/>
      <c r="D1343" s="114"/>
      <c r="G1343" s="120">
        <f>IF(ISERROR(MATCH(B1343,MASTER!$B:$B,0)),B1343,0)</f>
        <v>0</v>
      </c>
      <c r="H1343" s="120">
        <f>IF(ISERROR(MATCH(MASTER!B1348,'Peoplesoft Classlist'!$B:$B,0)),MASTER!B1348,0)</f>
        <v>0</v>
      </c>
    </row>
    <row r="1344" spans="2:8" x14ac:dyDescent="0.25">
      <c r="B1344" s="114"/>
      <c r="C1344" s="114"/>
      <c r="D1344" s="114"/>
      <c r="G1344" s="120">
        <f>IF(ISERROR(MATCH(B1344,MASTER!$B:$B,0)),B1344,0)</f>
        <v>0</v>
      </c>
      <c r="H1344" s="120">
        <f>IF(ISERROR(MATCH(MASTER!B1349,'Peoplesoft Classlist'!$B:$B,0)),MASTER!B1349,0)</f>
        <v>0</v>
      </c>
    </row>
    <row r="1345" spans="2:8" x14ac:dyDescent="0.25">
      <c r="B1345" s="114"/>
      <c r="C1345" s="114"/>
      <c r="D1345" s="114"/>
      <c r="G1345" s="120">
        <f>IF(ISERROR(MATCH(B1345,MASTER!$B:$B,0)),B1345,0)</f>
        <v>0</v>
      </c>
      <c r="H1345" s="120">
        <f>IF(ISERROR(MATCH(MASTER!B1350,'Peoplesoft Classlist'!$B:$B,0)),MASTER!B1350,0)</f>
        <v>0</v>
      </c>
    </row>
    <row r="1346" spans="2:8" x14ac:dyDescent="0.25">
      <c r="B1346" s="114"/>
      <c r="C1346" s="114"/>
      <c r="D1346" s="114"/>
      <c r="G1346" s="120">
        <f>IF(ISERROR(MATCH(B1346,MASTER!$B:$B,0)),B1346,0)</f>
        <v>0</v>
      </c>
      <c r="H1346" s="120">
        <f>IF(ISERROR(MATCH(MASTER!B1351,'Peoplesoft Classlist'!$B:$B,0)),MASTER!B1351,0)</f>
        <v>0</v>
      </c>
    </row>
    <row r="1347" spans="2:8" x14ac:dyDescent="0.25">
      <c r="B1347" s="114"/>
      <c r="C1347" s="114"/>
      <c r="D1347" s="114"/>
      <c r="G1347" s="120">
        <f>IF(ISERROR(MATCH(B1347,MASTER!$B:$B,0)),B1347,0)</f>
        <v>0</v>
      </c>
      <c r="H1347" s="120">
        <f>IF(ISERROR(MATCH(MASTER!B1352,'Peoplesoft Classlist'!$B:$B,0)),MASTER!B1352,0)</f>
        <v>0</v>
      </c>
    </row>
    <row r="1348" spans="2:8" x14ac:dyDescent="0.25">
      <c r="B1348" s="114"/>
      <c r="C1348" s="114"/>
      <c r="D1348" s="114"/>
      <c r="G1348" s="120">
        <f>IF(ISERROR(MATCH(B1348,MASTER!$B:$B,0)),B1348,0)</f>
        <v>0</v>
      </c>
      <c r="H1348" s="120">
        <f>IF(ISERROR(MATCH(MASTER!B1353,'Peoplesoft Classlist'!$B:$B,0)),MASTER!B1353,0)</f>
        <v>0</v>
      </c>
    </row>
    <row r="1349" spans="2:8" x14ac:dyDescent="0.25">
      <c r="B1349" s="114"/>
      <c r="C1349" s="114"/>
      <c r="D1349" s="114"/>
      <c r="G1349" s="120">
        <f>IF(ISERROR(MATCH(B1349,MASTER!$B:$B,0)),B1349,0)</f>
        <v>0</v>
      </c>
      <c r="H1349" s="120">
        <f>IF(ISERROR(MATCH(MASTER!B1354,'Peoplesoft Classlist'!$B:$B,0)),MASTER!B1354,0)</f>
        <v>0</v>
      </c>
    </row>
    <row r="1350" spans="2:8" x14ac:dyDescent="0.25">
      <c r="B1350" s="114"/>
      <c r="C1350" s="114"/>
      <c r="D1350" s="114"/>
      <c r="G1350" s="120">
        <f>IF(ISERROR(MATCH(B1350,MASTER!$B:$B,0)),B1350,0)</f>
        <v>0</v>
      </c>
      <c r="H1350" s="120">
        <f>IF(ISERROR(MATCH(MASTER!B1355,'Peoplesoft Classlist'!$B:$B,0)),MASTER!B1355,0)</f>
        <v>0</v>
      </c>
    </row>
    <row r="1351" spans="2:8" x14ac:dyDescent="0.25">
      <c r="B1351" s="114"/>
      <c r="C1351" s="114"/>
      <c r="D1351" s="114"/>
      <c r="G1351" s="120">
        <f>IF(ISERROR(MATCH(B1351,MASTER!$B:$B,0)),B1351,0)</f>
        <v>0</v>
      </c>
      <c r="H1351" s="120">
        <f>IF(ISERROR(MATCH(MASTER!B1356,'Peoplesoft Classlist'!$B:$B,0)),MASTER!B1356,0)</f>
        <v>0</v>
      </c>
    </row>
    <row r="1352" spans="2:8" x14ac:dyDescent="0.25">
      <c r="B1352" s="114"/>
      <c r="C1352" s="114"/>
      <c r="D1352" s="114"/>
      <c r="G1352" s="120">
        <f>IF(ISERROR(MATCH(B1352,MASTER!$B:$B,0)),B1352,0)</f>
        <v>0</v>
      </c>
      <c r="H1352" s="120">
        <f>IF(ISERROR(MATCH(MASTER!B1357,'Peoplesoft Classlist'!$B:$B,0)),MASTER!B1357,0)</f>
        <v>0</v>
      </c>
    </row>
    <row r="1353" spans="2:8" x14ac:dyDescent="0.25">
      <c r="B1353" s="114"/>
      <c r="C1353" s="114"/>
      <c r="D1353" s="114"/>
      <c r="G1353" s="120">
        <f>IF(ISERROR(MATCH(B1353,MASTER!$B:$B,0)),B1353,0)</f>
        <v>0</v>
      </c>
      <c r="H1353" s="120">
        <f>IF(ISERROR(MATCH(MASTER!B1358,'Peoplesoft Classlist'!$B:$B,0)),MASTER!B1358,0)</f>
        <v>0</v>
      </c>
    </row>
    <row r="1354" spans="2:8" x14ac:dyDescent="0.25">
      <c r="B1354" s="114"/>
      <c r="C1354" s="114"/>
      <c r="D1354" s="114"/>
      <c r="G1354" s="120">
        <f>IF(ISERROR(MATCH(B1354,MASTER!$B:$B,0)),B1354,0)</f>
        <v>0</v>
      </c>
      <c r="H1354" s="120">
        <f>IF(ISERROR(MATCH(MASTER!B1359,'Peoplesoft Classlist'!$B:$B,0)),MASTER!B1359,0)</f>
        <v>0</v>
      </c>
    </row>
    <row r="1355" spans="2:8" x14ac:dyDescent="0.25">
      <c r="B1355" s="114"/>
      <c r="C1355" s="114"/>
      <c r="D1355" s="114"/>
      <c r="G1355" s="120">
        <f>IF(ISERROR(MATCH(B1355,MASTER!$B:$B,0)),B1355,0)</f>
        <v>0</v>
      </c>
      <c r="H1355" s="120">
        <f>IF(ISERROR(MATCH(MASTER!B1360,'Peoplesoft Classlist'!$B:$B,0)),MASTER!B1360,0)</f>
        <v>0</v>
      </c>
    </row>
    <row r="1356" spans="2:8" x14ac:dyDescent="0.25">
      <c r="B1356" s="114"/>
      <c r="C1356" s="114"/>
      <c r="D1356" s="114"/>
      <c r="G1356" s="120">
        <f>IF(ISERROR(MATCH(B1356,MASTER!$B:$B,0)),B1356,0)</f>
        <v>0</v>
      </c>
      <c r="H1356" s="120">
        <f>IF(ISERROR(MATCH(MASTER!B1361,'Peoplesoft Classlist'!$B:$B,0)),MASTER!B1361,0)</f>
        <v>0</v>
      </c>
    </row>
    <row r="1357" spans="2:8" x14ac:dyDescent="0.25">
      <c r="B1357" s="114"/>
      <c r="C1357" s="114"/>
      <c r="D1357" s="114"/>
      <c r="G1357" s="120">
        <f>IF(ISERROR(MATCH(B1357,MASTER!$B:$B,0)),B1357,0)</f>
        <v>0</v>
      </c>
      <c r="H1357" s="120">
        <f>IF(ISERROR(MATCH(MASTER!B1362,'Peoplesoft Classlist'!$B:$B,0)),MASTER!B1362,0)</f>
        <v>0</v>
      </c>
    </row>
    <row r="1358" spans="2:8" x14ac:dyDescent="0.25">
      <c r="B1358" s="114"/>
      <c r="C1358" s="114"/>
      <c r="D1358" s="114"/>
      <c r="G1358" s="120">
        <f>IF(ISERROR(MATCH(B1358,MASTER!$B:$B,0)),B1358,0)</f>
        <v>0</v>
      </c>
      <c r="H1358" s="120">
        <f>IF(ISERROR(MATCH(MASTER!B1363,'Peoplesoft Classlist'!$B:$B,0)),MASTER!B1363,0)</f>
        <v>0</v>
      </c>
    </row>
    <row r="1359" spans="2:8" x14ac:dyDescent="0.25">
      <c r="B1359" s="114"/>
      <c r="C1359" s="114"/>
      <c r="D1359" s="114"/>
      <c r="G1359" s="120">
        <f>IF(ISERROR(MATCH(B1359,MASTER!$B:$B,0)),B1359,0)</f>
        <v>0</v>
      </c>
      <c r="H1359" s="120">
        <f>IF(ISERROR(MATCH(MASTER!B1364,'Peoplesoft Classlist'!$B:$B,0)),MASTER!B1364,0)</f>
        <v>0</v>
      </c>
    </row>
    <row r="1360" spans="2:8" x14ac:dyDescent="0.25">
      <c r="B1360" s="114"/>
      <c r="C1360" s="114"/>
      <c r="D1360" s="114"/>
      <c r="G1360" s="120">
        <f>IF(ISERROR(MATCH(B1360,MASTER!$B:$B,0)),B1360,0)</f>
        <v>0</v>
      </c>
      <c r="H1360" s="120">
        <f>IF(ISERROR(MATCH(MASTER!B1365,'Peoplesoft Classlist'!$B:$B,0)),MASTER!B1365,0)</f>
        <v>0</v>
      </c>
    </row>
    <row r="1361" spans="2:8" x14ac:dyDescent="0.25">
      <c r="B1361" s="114"/>
      <c r="C1361" s="114"/>
      <c r="D1361" s="114"/>
      <c r="G1361" s="120">
        <f>IF(ISERROR(MATCH(B1361,MASTER!$B:$B,0)),B1361,0)</f>
        <v>0</v>
      </c>
      <c r="H1361" s="120">
        <f>IF(ISERROR(MATCH(MASTER!B1366,'Peoplesoft Classlist'!$B:$B,0)),MASTER!B1366,0)</f>
        <v>0</v>
      </c>
    </row>
    <row r="1362" spans="2:8" x14ac:dyDescent="0.25">
      <c r="B1362" s="114"/>
      <c r="C1362" s="114"/>
      <c r="D1362" s="114"/>
      <c r="G1362" s="120">
        <f>IF(ISERROR(MATCH(B1362,MASTER!$B:$B,0)),B1362,0)</f>
        <v>0</v>
      </c>
      <c r="H1362" s="120">
        <f>IF(ISERROR(MATCH(MASTER!B1367,'Peoplesoft Classlist'!$B:$B,0)),MASTER!B1367,0)</f>
        <v>0</v>
      </c>
    </row>
    <row r="1363" spans="2:8" x14ac:dyDescent="0.25">
      <c r="B1363" s="114"/>
      <c r="C1363" s="114"/>
      <c r="D1363" s="114"/>
      <c r="G1363" s="120">
        <f>IF(ISERROR(MATCH(B1363,MASTER!$B:$B,0)),B1363,0)</f>
        <v>0</v>
      </c>
      <c r="H1363" s="120">
        <f>IF(ISERROR(MATCH(MASTER!B1368,'Peoplesoft Classlist'!$B:$B,0)),MASTER!B1368,0)</f>
        <v>0</v>
      </c>
    </row>
    <row r="1364" spans="2:8" x14ac:dyDescent="0.25">
      <c r="B1364" s="114"/>
      <c r="C1364" s="114"/>
      <c r="D1364" s="114"/>
      <c r="G1364" s="120">
        <f>IF(ISERROR(MATCH(B1364,MASTER!$B:$B,0)),B1364,0)</f>
        <v>0</v>
      </c>
      <c r="H1364" s="120">
        <f>IF(ISERROR(MATCH(MASTER!B1369,'Peoplesoft Classlist'!$B:$B,0)),MASTER!B1369,0)</f>
        <v>0</v>
      </c>
    </row>
    <row r="1365" spans="2:8" x14ac:dyDescent="0.25">
      <c r="B1365" s="114"/>
      <c r="C1365" s="114"/>
      <c r="D1365" s="114"/>
      <c r="G1365" s="120">
        <f>IF(ISERROR(MATCH(B1365,MASTER!$B:$B,0)),B1365,0)</f>
        <v>0</v>
      </c>
      <c r="H1365" s="120">
        <f>IF(ISERROR(MATCH(MASTER!B1370,'Peoplesoft Classlist'!$B:$B,0)),MASTER!B1370,0)</f>
        <v>0</v>
      </c>
    </row>
    <row r="1366" spans="2:8" x14ac:dyDescent="0.25">
      <c r="B1366" s="114"/>
      <c r="C1366" s="114"/>
      <c r="D1366" s="114"/>
      <c r="G1366" s="120">
        <f>IF(ISERROR(MATCH(B1366,MASTER!$B:$B,0)),B1366,0)</f>
        <v>0</v>
      </c>
      <c r="H1366" s="120">
        <f>IF(ISERROR(MATCH(MASTER!B1371,'Peoplesoft Classlist'!$B:$B,0)),MASTER!B1371,0)</f>
        <v>0</v>
      </c>
    </row>
    <row r="1367" spans="2:8" x14ac:dyDescent="0.25">
      <c r="B1367" s="114"/>
      <c r="C1367" s="114"/>
      <c r="D1367" s="114"/>
      <c r="G1367" s="120">
        <f>IF(ISERROR(MATCH(B1367,MASTER!$B:$B,0)),B1367,0)</f>
        <v>0</v>
      </c>
      <c r="H1367" s="120">
        <f>IF(ISERROR(MATCH(MASTER!B1372,'Peoplesoft Classlist'!$B:$B,0)),MASTER!B1372,0)</f>
        <v>0</v>
      </c>
    </row>
    <row r="1368" spans="2:8" x14ac:dyDescent="0.25">
      <c r="B1368" s="114"/>
      <c r="C1368" s="114"/>
      <c r="D1368" s="114"/>
      <c r="G1368" s="120">
        <f>IF(ISERROR(MATCH(B1368,MASTER!$B:$B,0)),B1368,0)</f>
        <v>0</v>
      </c>
      <c r="H1368" s="120">
        <f>IF(ISERROR(MATCH(MASTER!B1373,'Peoplesoft Classlist'!$B:$B,0)),MASTER!B1373,0)</f>
        <v>0</v>
      </c>
    </row>
    <row r="1369" spans="2:8" x14ac:dyDescent="0.25">
      <c r="B1369" s="114"/>
      <c r="C1369" s="114"/>
      <c r="D1369" s="114"/>
      <c r="G1369" s="120">
        <f>IF(ISERROR(MATCH(B1369,MASTER!$B:$B,0)),B1369,0)</f>
        <v>0</v>
      </c>
      <c r="H1369" s="120">
        <f>IF(ISERROR(MATCH(MASTER!B1374,'Peoplesoft Classlist'!$B:$B,0)),MASTER!B1374,0)</f>
        <v>0</v>
      </c>
    </row>
    <row r="1370" spans="2:8" x14ac:dyDescent="0.25">
      <c r="B1370" s="114"/>
      <c r="C1370" s="114"/>
      <c r="D1370" s="114"/>
      <c r="G1370" s="120">
        <f>IF(ISERROR(MATCH(B1370,MASTER!$B:$B,0)),B1370,0)</f>
        <v>0</v>
      </c>
      <c r="H1370" s="120">
        <f>IF(ISERROR(MATCH(MASTER!B1375,'Peoplesoft Classlist'!$B:$B,0)),MASTER!B1375,0)</f>
        <v>0</v>
      </c>
    </row>
    <row r="1371" spans="2:8" x14ac:dyDescent="0.25">
      <c r="B1371" s="114"/>
      <c r="C1371" s="114"/>
      <c r="D1371" s="114"/>
      <c r="G1371" s="120">
        <f>IF(ISERROR(MATCH(B1371,MASTER!$B:$B,0)),B1371,0)</f>
        <v>0</v>
      </c>
      <c r="H1371" s="120">
        <f>IF(ISERROR(MATCH(MASTER!B1376,'Peoplesoft Classlist'!$B:$B,0)),MASTER!B1376,0)</f>
        <v>0</v>
      </c>
    </row>
    <row r="1372" spans="2:8" x14ac:dyDescent="0.25">
      <c r="B1372" s="114"/>
      <c r="C1372" s="114"/>
      <c r="D1372" s="114"/>
      <c r="G1372" s="120">
        <f>IF(ISERROR(MATCH(B1372,MASTER!$B:$B,0)),B1372,0)</f>
        <v>0</v>
      </c>
      <c r="H1372" s="120">
        <f>IF(ISERROR(MATCH(MASTER!B1377,'Peoplesoft Classlist'!$B:$B,0)),MASTER!B1377,0)</f>
        <v>0</v>
      </c>
    </row>
    <row r="1373" spans="2:8" x14ac:dyDescent="0.25">
      <c r="B1373" s="114"/>
      <c r="C1373" s="114"/>
      <c r="D1373" s="114"/>
      <c r="G1373" s="120">
        <f>IF(ISERROR(MATCH(B1373,MASTER!$B:$B,0)),B1373,0)</f>
        <v>0</v>
      </c>
      <c r="H1373" s="120">
        <f>IF(ISERROR(MATCH(MASTER!B1378,'Peoplesoft Classlist'!$B:$B,0)),MASTER!B1378,0)</f>
        <v>0</v>
      </c>
    </row>
    <row r="1374" spans="2:8" x14ac:dyDescent="0.25">
      <c r="B1374" s="114"/>
      <c r="C1374" s="114"/>
      <c r="D1374" s="114"/>
      <c r="G1374" s="120">
        <f>IF(ISERROR(MATCH(B1374,MASTER!$B:$B,0)),B1374,0)</f>
        <v>0</v>
      </c>
      <c r="H1374" s="120">
        <f>IF(ISERROR(MATCH(MASTER!B1379,'Peoplesoft Classlist'!$B:$B,0)),MASTER!B1379,0)</f>
        <v>0</v>
      </c>
    </row>
    <row r="1375" spans="2:8" x14ac:dyDescent="0.25">
      <c r="B1375" s="114"/>
      <c r="C1375" s="114"/>
      <c r="D1375" s="114"/>
      <c r="G1375" s="120">
        <f>IF(ISERROR(MATCH(B1375,MASTER!$B:$B,0)),B1375,0)</f>
        <v>0</v>
      </c>
      <c r="H1375" s="120">
        <f>IF(ISERROR(MATCH(MASTER!B1380,'Peoplesoft Classlist'!$B:$B,0)),MASTER!B1380,0)</f>
        <v>0</v>
      </c>
    </row>
    <row r="1376" spans="2:8" x14ac:dyDescent="0.25">
      <c r="B1376" s="114"/>
      <c r="C1376" s="114"/>
      <c r="D1376" s="114"/>
      <c r="G1376" s="120">
        <f>IF(ISERROR(MATCH(B1376,MASTER!$B:$B,0)),B1376,0)</f>
        <v>0</v>
      </c>
      <c r="H1376" s="120">
        <f>IF(ISERROR(MATCH(MASTER!B1381,'Peoplesoft Classlist'!$B:$B,0)),MASTER!B1381,0)</f>
        <v>0</v>
      </c>
    </row>
    <row r="1377" spans="2:8" x14ac:dyDescent="0.25">
      <c r="B1377" s="114"/>
      <c r="C1377" s="114"/>
      <c r="D1377" s="114"/>
      <c r="G1377" s="120">
        <f>IF(ISERROR(MATCH(B1377,MASTER!$B:$B,0)),B1377,0)</f>
        <v>0</v>
      </c>
      <c r="H1377" s="120">
        <f>IF(ISERROR(MATCH(MASTER!B1382,'Peoplesoft Classlist'!$B:$B,0)),MASTER!B1382,0)</f>
        <v>0</v>
      </c>
    </row>
    <row r="1378" spans="2:8" x14ac:dyDescent="0.25">
      <c r="B1378" s="114"/>
      <c r="C1378" s="114"/>
      <c r="D1378" s="114"/>
      <c r="G1378" s="120">
        <f>IF(ISERROR(MATCH(B1378,MASTER!$B:$B,0)),B1378,0)</f>
        <v>0</v>
      </c>
      <c r="H1378" s="120">
        <f>IF(ISERROR(MATCH(MASTER!B1383,'Peoplesoft Classlist'!$B:$B,0)),MASTER!B1383,0)</f>
        <v>0</v>
      </c>
    </row>
    <row r="1379" spans="2:8" x14ac:dyDescent="0.25">
      <c r="B1379" s="114"/>
      <c r="C1379" s="114"/>
      <c r="D1379" s="114"/>
      <c r="G1379" s="120">
        <f>IF(ISERROR(MATCH(B1379,MASTER!$B:$B,0)),B1379,0)</f>
        <v>0</v>
      </c>
      <c r="H1379" s="120">
        <f>IF(ISERROR(MATCH(MASTER!B1384,'Peoplesoft Classlist'!$B:$B,0)),MASTER!B1384,0)</f>
        <v>0</v>
      </c>
    </row>
    <row r="1380" spans="2:8" x14ac:dyDescent="0.25">
      <c r="B1380" s="114"/>
      <c r="C1380" s="114"/>
      <c r="D1380" s="114"/>
      <c r="G1380" s="120">
        <f>IF(ISERROR(MATCH(B1380,MASTER!$B:$B,0)),B1380,0)</f>
        <v>0</v>
      </c>
      <c r="H1380" s="120">
        <f>IF(ISERROR(MATCH(MASTER!B1385,'Peoplesoft Classlist'!$B:$B,0)),MASTER!B1385,0)</f>
        <v>0</v>
      </c>
    </row>
    <row r="1381" spans="2:8" x14ac:dyDescent="0.25">
      <c r="B1381" s="114"/>
      <c r="C1381" s="114"/>
      <c r="D1381" s="114"/>
      <c r="G1381" s="120">
        <f>IF(ISERROR(MATCH(B1381,MASTER!$B:$B,0)),B1381,0)</f>
        <v>0</v>
      </c>
      <c r="H1381" s="120">
        <f>IF(ISERROR(MATCH(MASTER!B1386,'Peoplesoft Classlist'!$B:$B,0)),MASTER!B1386,0)</f>
        <v>0</v>
      </c>
    </row>
    <row r="1382" spans="2:8" x14ac:dyDescent="0.25">
      <c r="B1382" s="114"/>
      <c r="C1382" s="114"/>
      <c r="D1382" s="114"/>
      <c r="G1382" s="120">
        <f>IF(ISERROR(MATCH(B1382,MASTER!$B:$B,0)),B1382,0)</f>
        <v>0</v>
      </c>
      <c r="H1382" s="120">
        <f>IF(ISERROR(MATCH(MASTER!B1387,'Peoplesoft Classlist'!$B:$B,0)),MASTER!B1387,0)</f>
        <v>0</v>
      </c>
    </row>
    <row r="1383" spans="2:8" x14ac:dyDescent="0.25">
      <c r="B1383" s="114"/>
      <c r="C1383" s="114"/>
      <c r="D1383" s="114"/>
      <c r="G1383" s="120">
        <f>IF(ISERROR(MATCH(B1383,MASTER!$B:$B,0)),B1383,0)</f>
        <v>0</v>
      </c>
      <c r="H1383" s="120">
        <f>IF(ISERROR(MATCH(MASTER!B1388,'Peoplesoft Classlist'!$B:$B,0)),MASTER!B1388,0)</f>
        <v>0</v>
      </c>
    </row>
    <row r="1384" spans="2:8" x14ac:dyDescent="0.25">
      <c r="B1384" s="114"/>
      <c r="C1384" s="114"/>
      <c r="D1384" s="114"/>
      <c r="G1384" s="120">
        <f>IF(ISERROR(MATCH(B1384,MASTER!$B:$B,0)),B1384,0)</f>
        <v>0</v>
      </c>
      <c r="H1384" s="120">
        <f>IF(ISERROR(MATCH(MASTER!B1389,'Peoplesoft Classlist'!$B:$B,0)),MASTER!B1389,0)</f>
        <v>0</v>
      </c>
    </row>
    <row r="1385" spans="2:8" x14ac:dyDescent="0.25">
      <c r="B1385" s="114"/>
      <c r="C1385" s="114"/>
      <c r="D1385" s="114"/>
      <c r="G1385" s="120">
        <f>IF(ISERROR(MATCH(B1385,MASTER!$B:$B,0)),B1385,0)</f>
        <v>0</v>
      </c>
      <c r="H1385" s="120">
        <f>IF(ISERROR(MATCH(MASTER!B1390,'Peoplesoft Classlist'!$B:$B,0)),MASTER!B1390,0)</f>
        <v>0</v>
      </c>
    </row>
    <row r="1386" spans="2:8" x14ac:dyDescent="0.25">
      <c r="B1386" s="114"/>
      <c r="C1386" s="114"/>
      <c r="D1386" s="114"/>
      <c r="G1386" s="120">
        <f>IF(ISERROR(MATCH(B1386,MASTER!$B:$B,0)),B1386,0)</f>
        <v>0</v>
      </c>
      <c r="H1386" s="120">
        <f>IF(ISERROR(MATCH(MASTER!B1391,'Peoplesoft Classlist'!$B:$B,0)),MASTER!B1391,0)</f>
        <v>0</v>
      </c>
    </row>
    <row r="1387" spans="2:8" x14ac:dyDescent="0.25">
      <c r="B1387" s="114"/>
      <c r="C1387" s="114"/>
      <c r="D1387" s="114"/>
      <c r="G1387" s="120">
        <f>IF(ISERROR(MATCH(B1387,MASTER!$B:$B,0)),B1387,0)</f>
        <v>0</v>
      </c>
      <c r="H1387" s="120">
        <f>IF(ISERROR(MATCH(MASTER!B1392,'Peoplesoft Classlist'!$B:$B,0)),MASTER!B1392,0)</f>
        <v>0</v>
      </c>
    </row>
    <row r="1388" spans="2:8" x14ac:dyDescent="0.25">
      <c r="B1388" s="114"/>
      <c r="C1388" s="114"/>
      <c r="D1388" s="114"/>
      <c r="G1388" s="120">
        <f>IF(ISERROR(MATCH(B1388,MASTER!$B:$B,0)),B1388,0)</f>
        <v>0</v>
      </c>
      <c r="H1388" s="120">
        <f>IF(ISERROR(MATCH(MASTER!B1393,'Peoplesoft Classlist'!$B:$B,0)),MASTER!B1393,0)</f>
        <v>0</v>
      </c>
    </row>
    <row r="1389" spans="2:8" x14ac:dyDescent="0.25">
      <c r="B1389" s="114"/>
      <c r="C1389" s="114"/>
      <c r="D1389" s="114"/>
      <c r="G1389" s="120">
        <f>IF(ISERROR(MATCH(B1389,MASTER!$B:$B,0)),B1389,0)</f>
        <v>0</v>
      </c>
      <c r="H1389" s="120">
        <f>IF(ISERROR(MATCH(MASTER!B1394,'Peoplesoft Classlist'!$B:$B,0)),MASTER!B1394,0)</f>
        <v>0</v>
      </c>
    </row>
    <row r="1390" spans="2:8" x14ac:dyDescent="0.25">
      <c r="B1390" s="114"/>
      <c r="C1390" s="114"/>
      <c r="D1390" s="114"/>
      <c r="G1390" s="120">
        <f>IF(ISERROR(MATCH(B1390,MASTER!$B:$B,0)),B1390,0)</f>
        <v>0</v>
      </c>
      <c r="H1390" s="120">
        <f>IF(ISERROR(MATCH(MASTER!B1395,'Peoplesoft Classlist'!$B:$B,0)),MASTER!B1395,0)</f>
        <v>0</v>
      </c>
    </row>
    <row r="1391" spans="2:8" x14ac:dyDescent="0.25">
      <c r="B1391" s="114"/>
      <c r="C1391" s="114"/>
      <c r="D1391" s="114"/>
      <c r="G1391" s="120">
        <f>IF(ISERROR(MATCH(B1391,MASTER!$B:$B,0)),B1391,0)</f>
        <v>0</v>
      </c>
      <c r="H1391" s="120">
        <f>IF(ISERROR(MATCH(MASTER!B1396,'Peoplesoft Classlist'!$B:$B,0)),MASTER!B1396,0)</f>
        <v>0</v>
      </c>
    </row>
    <row r="1392" spans="2:8" x14ac:dyDescent="0.25">
      <c r="B1392" s="114"/>
      <c r="C1392" s="114"/>
      <c r="D1392" s="114"/>
      <c r="G1392" s="120">
        <f>IF(ISERROR(MATCH(B1392,MASTER!$B:$B,0)),B1392,0)</f>
        <v>0</v>
      </c>
      <c r="H1392" s="120">
        <f>IF(ISERROR(MATCH(MASTER!B1397,'Peoplesoft Classlist'!$B:$B,0)),MASTER!B1397,0)</f>
        <v>0</v>
      </c>
    </row>
    <row r="1393" spans="2:8" x14ac:dyDescent="0.25">
      <c r="B1393" s="114"/>
      <c r="C1393" s="114"/>
      <c r="D1393" s="114"/>
      <c r="G1393" s="120">
        <f>IF(ISERROR(MATCH(B1393,MASTER!$B:$B,0)),B1393,0)</f>
        <v>0</v>
      </c>
      <c r="H1393" s="120">
        <f>IF(ISERROR(MATCH(MASTER!B1398,'Peoplesoft Classlist'!$B:$B,0)),MASTER!B1398,0)</f>
        <v>0</v>
      </c>
    </row>
    <row r="1394" spans="2:8" x14ac:dyDescent="0.25">
      <c r="B1394" s="114"/>
      <c r="C1394" s="114"/>
      <c r="D1394" s="114"/>
      <c r="G1394" s="120">
        <f>IF(ISERROR(MATCH(B1394,MASTER!$B:$B,0)),B1394,0)</f>
        <v>0</v>
      </c>
      <c r="H1394" s="120">
        <f>IF(ISERROR(MATCH(MASTER!B1399,'Peoplesoft Classlist'!$B:$B,0)),MASTER!B1399,0)</f>
        <v>0</v>
      </c>
    </row>
    <row r="1395" spans="2:8" x14ac:dyDescent="0.25">
      <c r="B1395" s="114"/>
      <c r="C1395" s="114"/>
      <c r="D1395" s="114"/>
      <c r="G1395" s="120">
        <f>IF(ISERROR(MATCH(B1395,MASTER!$B:$B,0)),B1395,0)</f>
        <v>0</v>
      </c>
      <c r="H1395" s="120">
        <f>IF(ISERROR(MATCH(MASTER!B1400,'Peoplesoft Classlist'!$B:$B,0)),MASTER!B1400,0)</f>
        <v>0</v>
      </c>
    </row>
    <row r="1396" spans="2:8" x14ac:dyDescent="0.25">
      <c r="B1396" s="114"/>
      <c r="C1396" s="114"/>
      <c r="D1396" s="114"/>
      <c r="G1396" s="120">
        <f>IF(ISERROR(MATCH(B1396,MASTER!$B:$B,0)),B1396,0)</f>
        <v>0</v>
      </c>
      <c r="H1396" s="120">
        <f>IF(ISERROR(MATCH(MASTER!B1401,'Peoplesoft Classlist'!$B:$B,0)),MASTER!B1401,0)</f>
        <v>0</v>
      </c>
    </row>
    <row r="1397" spans="2:8" x14ac:dyDescent="0.25">
      <c r="B1397" s="114"/>
      <c r="C1397" s="114"/>
      <c r="D1397" s="114"/>
      <c r="G1397" s="120">
        <f>IF(ISERROR(MATCH(B1397,MASTER!$B:$B,0)),B1397,0)</f>
        <v>0</v>
      </c>
      <c r="H1397" s="120">
        <f>IF(ISERROR(MATCH(MASTER!B1402,'Peoplesoft Classlist'!$B:$B,0)),MASTER!B1402,0)</f>
        <v>0</v>
      </c>
    </row>
    <row r="1398" spans="2:8" x14ac:dyDescent="0.25">
      <c r="B1398" s="114"/>
      <c r="C1398" s="114"/>
      <c r="D1398" s="114"/>
      <c r="G1398" s="120">
        <f>IF(ISERROR(MATCH(B1398,MASTER!$B:$B,0)),B1398,0)</f>
        <v>0</v>
      </c>
      <c r="H1398" s="120">
        <f>IF(ISERROR(MATCH(MASTER!B1403,'Peoplesoft Classlist'!$B:$B,0)),MASTER!B1403,0)</f>
        <v>0</v>
      </c>
    </row>
    <row r="1399" spans="2:8" x14ac:dyDescent="0.25">
      <c r="B1399" s="114"/>
      <c r="C1399" s="114"/>
      <c r="D1399" s="114"/>
      <c r="G1399" s="120">
        <f>IF(ISERROR(MATCH(B1399,MASTER!$B:$B,0)),B1399,0)</f>
        <v>0</v>
      </c>
      <c r="H1399" s="120">
        <f>IF(ISERROR(MATCH(MASTER!B1404,'Peoplesoft Classlist'!$B:$B,0)),MASTER!B1404,0)</f>
        <v>0</v>
      </c>
    </row>
    <row r="1400" spans="2:8" x14ac:dyDescent="0.25">
      <c r="B1400" s="114"/>
      <c r="C1400" s="114"/>
      <c r="D1400" s="114"/>
      <c r="G1400" s="120">
        <f>IF(ISERROR(MATCH(B1400,MASTER!$B:$B,0)),B1400,0)</f>
        <v>0</v>
      </c>
      <c r="H1400" s="120">
        <f>IF(ISERROR(MATCH(MASTER!B1405,'Peoplesoft Classlist'!$B:$B,0)),MASTER!B1405,0)</f>
        <v>0</v>
      </c>
    </row>
    <row r="1401" spans="2:8" x14ac:dyDescent="0.25">
      <c r="B1401" s="114"/>
      <c r="C1401" s="114"/>
      <c r="D1401" s="114"/>
      <c r="G1401" s="120">
        <f>IF(ISERROR(MATCH(B1401,MASTER!$B:$B,0)),B1401,0)</f>
        <v>0</v>
      </c>
      <c r="H1401" s="120">
        <f>IF(ISERROR(MATCH(MASTER!B1406,'Peoplesoft Classlist'!$B:$B,0)),MASTER!B1406,0)</f>
        <v>0</v>
      </c>
    </row>
    <row r="1402" spans="2:8" x14ac:dyDescent="0.25">
      <c r="B1402" s="114"/>
      <c r="C1402" s="114"/>
      <c r="D1402" s="114"/>
      <c r="G1402" s="120">
        <f>IF(ISERROR(MATCH(B1402,MASTER!$B:$B,0)),B1402,0)</f>
        <v>0</v>
      </c>
      <c r="H1402" s="120">
        <f>IF(ISERROR(MATCH(MASTER!B1407,'Peoplesoft Classlist'!$B:$B,0)),MASTER!B1407,0)</f>
        <v>0</v>
      </c>
    </row>
    <row r="1403" spans="2:8" x14ac:dyDescent="0.25">
      <c r="B1403" s="114"/>
      <c r="C1403" s="114"/>
      <c r="D1403" s="114"/>
      <c r="G1403" s="120">
        <f>IF(ISERROR(MATCH(B1403,MASTER!$B:$B,0)),B1403,0)</f>
        <v>0</v>
      </c>
      <c r="H1403" s="120">
        <f>IF(ISERROR(MATCH(MASTER!B1408,'Peoplesoft Classlist'!$B:$B,0)),MASTER!B1408,0)</f>
        <v>0</v>
      </c>
    </row>
    <row r="1404" spans="2:8" x14ac:dyDescent="0.25">
      <c r="B1404" s="114"/>
      <c r="C1404" s="114"/>
      <c r="D1404" s="114"/>
      <c r="G1404" s="120">
        <f>IF(ISERROR(MATCH(B1404,MASTER!$B:$B,0)),B1404,0)</f>
        <v>0</v>
      </c>
      <c r="H1404" s="120">
        <f>IF(ISERROR(MATCH(MASTER!B1409,'Peoplesoft Classlist'!$B:$B,0)),MASTER!B1409,0)</f>
        <v>0</v>
      </c>
    </row>
    <row r="1405" spans="2:8" x14ac:dyDescent="0.25">
      <c r="B1405" s="114"/>
      <c r="C1405" s="114"/>
      <c r="D1405" s="114"/>
      <c r="G1405" s="120">
        <f>IF(ISERROR(MATCH(B1405,MASTER!$B:$B,0)),B1405,0)</f>
        <v>0</v>
      </c>
      <c r="H1405" s="120">
        <f>IF(ISERROR(MATCH(MASTER!B1410,'Peoplesoft Classlist'!$B:$B,0)),MASTER!B1410,0)</f>
        <v>0</v>
      </c>
    </row>
    <row r="1406" spans="2:8" x14ac:dyDescent="0.25">
      <c r="B1406" s="114"/>
      <c r="C1406" s="114"/>
      <c r="D1406" s="114"/>
      <c r="G1406" s="120">
        <f>IF(ISERROR(MATCH(B1406,MASTER!$B:$B,0)),B1406,0)</f>
        <v>0</v>
      </c>
      <c r="H1406" s="120">
        <f>IF(ISERROR(MATCH(MASTER!B1411,'Peoplesoft Classlist'!$B:$B,0)),MASTER!B1411,0)</f>
        <v>0</v>
      </c>
    </row>
    <row r="1407" spans="2:8" x14ac:dyDescent="0.25">
      <c r="B1407" s="114"/>
      <c r="C1407" s="114"/>
      <c r="D1407" s="114"/>
      <c r="G1407" s="120">
        <f>IF(ISERROR(MATCH(B1407,MASTER!$B:$B,0)),B1407,0)</f>
        <v>0</v>
      </c>
      <c r="H1407" s="120">
        <f>IF(ISERROR(MATCH(MASTER!B1412,'Peoplesoft Classlist'!$B:$B,0)),MASTER!B1412,0)</f>
        <v>0</v>
      </c>
    </row>
    <row r="1408" spans="2:8" x14ac:dyDescent="0.25">
      <c r="B1408" s="114"/>
      <c r="C1408" s="114"/>
      <c r="D1408" s="114"/>
      <c r="G1408" s="120">
        <f>IF(ISERROR(MATCH(B1408,MASTER!$B:$B,0)),B1408,0)</f>
        <v>0</v>
      </c>
      <c r="H1408" s="120">
        <f>IF(ISERROR(MATCH(MASTER!B1413,'Peoplesoft Classlist'!$B:$B,0)),MASTER!B1413,0)</f>
        <v>0</v>
      </c>
    </row>
    <row r="1409" spans="2:8" x14ac:dyDescent="0.25">
      <c r="B1409" s="114"/>
      <c r="C1409" s="114"/>
      <c r="D1409" s="114"/>
      <c r="G1409" s="120">
        <f>IF(ISERROR(MATCH(B1409,MASTER!$B:$B,0)),B1409,0)</f>
        <v>0</v>
      </c>
      <c r="H1409" s="120">
        <f>IF(ISERROR(MATCH(MASTER!B1414,'Peoplesoft Classlist'!$B:$B,0)),MASTER!B1414,0)</f>
        <v>0</v>
      </c>
    </row>
    <row r="1410" spans="2:8" x14ac:dyDescent="0.25">
      <c r="B1410" s="114"/>
      <c r="C1410" s="114"/>
      <c r="D1410" s="114"/>
      <c r="G1410" s="120">
        <f>IF(ISERROR(MATCH(B1410,MASTER!$B:$B,0)),B1410,0)</f>
        <v>0</v>
      </c>
      <c r="H1410" s="120">
        <f>IF(ISERROR(MATCH(MASTER!B1415,'Peoplesoft Classlist'!$B:$B,0)),MASTER!B1415,0)</f>
        <v>0</v>
      </c>
    </row>
    <row r="1411" spans="2:8" x14ac:dyDescent="0.25">
      <c r="B1411" s="114"/>
      <c r="C1411" s="114"/>
      <c r="D1411" s="114"/>
      <c r="G1411" s="120">
        <f>IF(ISERROR(MATCH(B1411,MASTER!$B:$B,0)),B1411,0)</f>
        <v>0</v>
      </c>
      <c r="H1411" s="120">
        <f>IF(ISERROR(MATCH(MASTER!B1416,'Peoplesoft Classlist'!$B:$B,0)),MASTER!B1416,0)</f>
        <v>0</v>
      </c>
    </row>
    <row r="1412" spans="2:8" x14ac:dyDescent="0.25">
      <c r="B1412" s="114"/>
      <c r="C1412" s="114"/>
      <c r="D1412" s="114"/>
      <c r="G1412" s="120">
        <f>IF(ISERROR(MATCH(B1412,MASTER!$B:$B,0)),B1412,0)</f>
        <v>0</v>
      </c>
      <c r="H1412" s="120">
        <f>IF(ISERROR(MATCH(MASTER!B1417,'Peoplesoft Classlist'!$B:$B,0)),MASTER!B1417,0)</f>
        <v>0</v>
      </c>
    </row>
    <row r="1413" spans="2:8" x14ac:dyDescent="0.25">
      <c r="B1413" s="114"/>
      <c r="C1413" s="114"/>
      <c r="D1413" s="114"/>
      <c r="G1413" s="120">
        <f>IF(ISERROR(MATCH(B1413,MASTER!$B:$B,0)),B1413,0)</f>
        <v>0</v>
      </c>
      <c r="H1413" s="120">
        <f>IF(ISERROR(MATCH(MASTER!B1418,'Peoplesoft Classlist'!$B:$B,0)),MASTER!B1418,0)</f>
        <v>0</v>
      </c>
    </row>
    <row r="1414" spans="2:8" x14ac:dyDescent="0.25">
      <c r="B1414" s="114"/>
      <c r="C1414" s="114"/>
      <c r="D1414" s="114"/>
      <c r="G1414" s="120">
        <f>IF(ISERROR(MATCH(B1414,MASTER!$B:$B,0)),B1414,0)</f>
        <v>0</v>
      </c>
      <c r="H1414" s="120">
        <f>IF(ISERROR(MATCH(MASTER!B1419,'Peoplesoft Classlist'!$B:$B,0)),MASTER!B1419,0)</f>
        <v>0</v>
      </c>
    </row>
    <row r="1415" spans="2:8" x14ac:dyDescent="0.25">
      <c r="B1415" s="114"/>
      <c r="C1415" s="114"/>
      <c r="D1415" s="114"/>
      <c r="G1415" s="120">
        <f>IF(ISERROR(MATCH(B1415,MASTER!$B:$B,0)),B1415,0)</f>
        <v>0</v>
      </c>
      <c r="H1415" s="120">
        <f>IF(ISERROR(MATCH(MASTER!B1420,'Peoplesoft Classlist'!$B:$B,0)),MASTER!B1420,0)</f>
        <v>0</v>
      </c>
    </row>
    <row r="1416" spans="2:8" x14ac:dyDescent="0.25">
      <c r="B1416" s="114"/>
      <c r="C1416" s="114"/>
      <c r="D1416" s="114"/>
      <c r="G1416" s="120">
        <f>IF(ISERROR(MATCH(B1416,MASTER!$B:$B,0)),B1416,0)</f>
        <v>0</v>
      </c>
      <c r="H1416" s="120">
        <f>IF(ISERROR(MATCH(MASTER!B1421,'Peoplesoft Classlist'!$B:$B,0)),MASTER!B1421,0)</f>
        <v>0</v>
      </c>
    </row>
    <row r="1417" spans="2:8" x14ac:dyDescent="0.25">
      <c r="B1417" s="114"/>
      <c r="C1417" s="114"/>
      <c r="D1417" s="114"/>
      <c r="G1417" s="120">
        <f>IF(ISERROR(MATCH(B1417,MASTER!$B:$B,0)),B1417,0)</f>
        <v>0</v>
      </c>
      <c r="H1417" s="120">
        <f>IF(ISERROR(MATCH(MASTER!B1422,'Peoplesoft Classlist'!$B:$B,0)),MASTER!B1422,0)</f>
        <v>0</v>
      </c>
    </row>
    <row r="1418" spans="2:8" x14ac:dyDescent="0.25">
      <c r="B1418" s="114"/>
      <c r="C1418" s="114"/>
      <c r="D1418" s="114"/>
      <c r="G1418" s="120">
        <f>IF(ISERROR(MATCH(B1418,MASTER!$B:$B,0)),B1418,0)</f>
        <v>0</v>
      </c>
      <c r="H1418" s="120">
        <f>IF(ISERROR(MATCH(MASTER!B1423,'Peoplesoft Classlist'!$B:$B,0)),MASTER!B1423,0)</f>
        <v>0</v>
      </c>
    </row>
    <row r="1419" spans="2:8" x14ac:dyDescent="0.25">
      <c r="B1419" s="114"/>
      <c r="C1419" s="114"/>
      <c r="D1419" s="114"/>
      <c r="G1419" s="120">
        <f>IF(ISERROR(MATCH(B1419,MASTER!$B:$B,0)),B1419,0)</f>
        <v>0</v>
      </c>
      <c r="H1419" s="120">
        <f>IF(ISERROR(MATCH(MASTER!B1424,'Peoplesoft Classlist'!$B:$B,0)),MASTER!B1424,0)</f>
        <v>0</v>
      </c>
    </row>
    <row r="1420" spans="2:8" x14ac:dyDescent="0.25">
      <c r="B1420" s="114"/>
      <c r="C1420" s="114"/>
      <c r="D1420" s="114"/>
      <c r="G1420" s="120">
        <f>IF(ISERROR(MATCH(B1420,MASTER!$B:$B,0)),B1420,0)</f>
        <v>0</v>
      </c>
      <c r="H1420" s="120">
        <f>IF(ISERROR(MATCH(MASTER!B1425,'Peoplesoft Classlist'!$B:$B,0)),MASTER!B1425,0)</f>
        <v>0</v>
      </c>
    </row>
    <row r="1421" spans="2:8" x14ac:dyDescent="0.25">
      <c r="B1421" s="114"/>
      <c r="C1421" s="114"/>
      <c r="D1421" s="114"/>
      <c r="G1421" s="120">
        <f>IF(ISERROR(MATCH(B1421,MASTER!$B:$B,0)),B1421,0)</f>
        <v>0</v>
      </c>
      <c r="H1421" s="120">
        <f>IF(ISERROR(MATCH(MASTER!B1426,'Peoplesoft Classlist'!$B:$B,0)),MASTER!B1426,0)</f>
        <v>0</v>
      </c>
    </row>
    <row r="1422" spans="2:8" x14ac:dyDescent="0.25">
      <c r="B1422" s="114"/>
      <c r="C1422" s="114"/>
      <c r="D1422" s="114"/>
      <c r="G1422" s="120">
        <f>IF(ISERROR(MATCH(B1422,MASTER!$B:$B,0)),B1422,0)</f>
        <v>0</v>
      </c>
      <c r="H1422" s="120">
        <f>IF(ISERROR(MATCH(MASTER!B1427,'Peoplesoft Classlist'!$B:$B,0)),MASTER!B1427,0)</f>
        <v>0</v>
      </c>
    </row>
    <row r="1423" spans="2:8" x14ac:dyDescent="0.25">
      <c r="B1423" s="114"/>
      <c r="C1423" s="114"/>
      <c r="D1423" s="114"/>
      <c r="G1423" s="120">
        <f>IF(ISERROR(MATCH(B1423,MASTER!$B:$B,0)),B1423,0)</f>
        <v>0</v>
      </c>
      <c r="H1423" s="120">
        <f>IF(ISERROR(MATCH(MASTER!B1428,'Peoplesoft Classlist'!$B:$B,0)),MASTER!B1428,0)</f>
        <v>0</v>
      </c>
    </row>
    <row r="1424" spans="2:8" x14ac:dyDescent="0.25">
      <c r="B1424" s="114"/>
      <c r="C1424" s="114"/>
      <c r="D1424" s="114"/>
      <c r="G1424" s="120">
        <f>IF(ISERROR(MATCH(B1424,MASTER!$B:$B,0)),B1424,0)</f>
        <v>0</v>
      </c>
      <c r="H1424" s="120">
        <f>IF(ISERROR(MATCH(MASTER!B1429,'Peoplesoft Classlist'!$B:$B,0)),MASTER!B1429,0)</f>
        <v>0</v>
      </c>
    </row>
    <row r="1425" spans="2:8" x14ac:dyDescent="0.25">
      <c r="B1425" s="114"/>
      <c r="C1425" s="114"/>
      <c r="D1425" s="114"/>
      <c r="G1425" s="120">
        <f>IF(ISERROR(MATCH(B1425,MASTER!$B:$B,0)),B1425,0)</f>
        <v>0</v>
      </c>
      <c r="H1425" s="120">
        <f>IF(ISERROR(MATCH(MASTER!B1430,'Peoplesoft Classlist'!$B:$B,0)),MASTER!B1430,0)</f>
        <v>0</v>
      </c>
    </row>
    <row r="1426" spans="2:8" x14ac:dyDescent="0.25">
      <c r="B1426" s="114"/>
      <c r="C1426" s="114"/>
      <c r="D1426" s="114"/>
      <c r="G1426" s="120">
        <f>IF(ISERROR(MATCH(B1426,MASTER!$B:$B,0)),B1426,0)</f>
        <v>0</v>
      </c>
      <c r="H1426" s="120">
        <f>IF(ISERROR(MATCH(MASTER!B1431,'Peoplesoft Classlist'!$B:$B,0)),MASTER!B1431,0)</f>
        <v>0</v>
      </c>
    </row>
    <row r="1427" spans="2:8" x14ac:dyDescent="0.25">
      <c r="B1427" s="114"/>
      <c r="C1427" s="114"/>
      <c r="D1427" s="114"/>
      <c r="G1427" s="120">
        <f>IF(ISERROR(MATCH(B1427,MASTER!$B:$B,0)),B1427,0)</f>
        <v>0</v>
      </c>
      <c r="H1427" s="120">
        <f>IF(ISERROR(MATCH(MASTER!B1432,'Peoplesoft Classlist'!$B:$B,0)),MASTER!B1432,0)</f>
        <v>0</v>
      </c>
    </row>
    <row r="1428" spans="2:8" x14ac:dyDescent="0.25">
      <c r="B1428" s="114"/>
      <c r="C1428" s="114"/>
      <c r="D1428" s="114"/>
      <c r="G1428" s="120">
        <f>IF(ISERROR(MATCH(B1428,MASTER!$B:$B,0)),B1428,0)</f>
        <v>0</v>
      </c>
      <c r="H1428" s="120">
        <f>IF(ISERROR(MATCH(MASTER!B1433,'Peoplesoft Classlist'!$B:$B,0)),MASTER!B1433,0)</f>
        <v>0</v>
      </c>
    </row>
    <row r="1429" spans="2:8" x14ac:dyDescent="0.25">
      <c r="B1429" s="114"/>
      <c r="C1429" s="114"/>
      <c r="D1429" s="114"/>
      <c r="G1429" s="120">
        <f>IF(ISERROR(MATCH(B1429,MASTER!$B:$B,0)),B1429,0)</f>
        <v>0</v>
      </c>
      <c r="H1429" s="120">
        <f>IF(ISERROR(MATCH(MASTER!B1434,'Peoplesoft Classlist'!$B:$B,0)),MASTER!B1434,0)</f>
        <v>0</v>
      </c>
    </row>
    <row r="1430" spans="2:8" x14ac:dyDescent="0.25">
      <c r="B1430" s="114"/>
      <c r="C1430" s="114"/>
      <c r="D1430" s="114"/>
      <c r="G1430" s="120">
        <f>IF(ISERROR(MATCH(B1430,MASTER!$B:$B,0)),B1430,0)</f>
        <v>0</v>
      </c>
      <c r="H1430" s="120">
        <f>IF(ISERROR(MATCH(MASTER!B1435,'Peoplesoft Classlist'!$B:$B,0)),MASTER!B1435,0)</f>
        <v>0</v>
      </c>
    </row>
    <row r="1431" spans="2:8" x14ac:dyDescent="0.25">
      <c r="B1431" s="114"/>
      <c r="C1431" s="114"/>
      <c r="D1431" s="114"/>
      <c r="G1431" s="120">
        <f>IF(ISERROR(MATCH(B1431,MASTER!$B:$B,0)),B1431,0)</f>
        <v>0</v>
      </c>
      <c r="H1431" s="120">
        <f>IF(ISERROR(MATCH(MASTER!B1436,'Peoplesoft Classlist'!$B:$B,0)),MASTER!B1436,0)</f>
        <v>0</v>
      </c>
    </row>
    <row r="1432" spans="2:8" x14ac:dyDescent="0.25">
      <c r="B1432" s="114"/>
      <c r="C1432" s="114"/>
      <c r="D1432" s="114"/>
      <c r="G1432" s="120">
        <f>IF(ISERROR(MATCH(B1432,MASTER!$B:$B,0)),B1432,0)</f>
        <v>0</v>
      </c>
      <c r="H1432" s="120">
        <f>IF(ISERROR(MATCH(MASTER!B1437,'Peoplesoft Classlist'!$B:$B,0)),MASTER!B1437,0)</f>
        <v>0</v>
      </c>
    </row>
    <row r="1433" spans="2:8" x14ac:dyDescent="0.25">
      <c r="B1433" s="114"/>
      <c r="C1433" s="114"/>
      <c r="D1433" s="114"/>
      <c r="G1433" s="120">
        <f>IF(ISERROR(MATCH(B1433,MASTER!$B:$B,0)),B1433,0)</f>
        <v>0</v>
      </c>
      <c r="H1433" s="120">
        <f>IF(ISERROR(MATCH(MASTER!B1438,'Peoplesoft Classlist'!$B:$B,0)),MASTER!B1438,0)</f>
        <v>0</v>
      </c>
    </row>
    <row r="1434" spans="2:8" x14ac:dyDescent="0.25">
      <c r="B1434" s="114"/>
      <c r="C1434" s="114"/>
      <c r="D1434" s="114"/>
      <c r="G1434" s="120">
        <f>IF(ISERROR(MATCH(B1434,MASTER!$B:$B,0)),B1434,0)</f>
        <v>0</v>
      </c>
      <c r="H1434" s="120">
        <f>IF(ISERROR(MATCH(MASTER!B1439,'Peoplesoft Classlist'!$B:$B,0)),MASTER!B1439,0)</f>
        <v>0</v>
      </c>
    </row>
    <row r="1435" spans="2:8" x14ac:dyDescent="0.25">
      <c r="B1435" s="114"/>
      <c r="C1435" s="114"/>
      <c r="D1435" s="114"/>
      <c r="G1435" s="120">
        <f>IF(ISERROR(MATCH(B1435,MASTER!$B:$B,0)),B1435,0)</f>
        <v>0</v>
      </c>
      <c r="H1435" s="120">
        <f>IF(ISERROR(MATCH(MASTER!B1440,'Peoplesoft Classlist'!$B:$B,0)),MASTER!B1440,0)</f>
        <v>0</v>
      </c>
    </row>
    <row r="1436" spans="2:8" x14ac:dyDescent="0.25">
      <c r="B1436" s="114"/>
      <c r="C1436" s="114"/>
      <c r="D1436" s="114"/>
      <c r="G1436" s="120">
        <f>IF(ISERROR(MATCH(B1436,MASTER!$B:$B,0)),B1436,0)</f>
        <v>0</v>
      </c>
      <c r="H1436" s="120">
        <f>IF(ISERROR(MATCH(MASTER!B1441,'Peoplesoft Classlist'!$B:$B,0)),MASTER!B1441,0)</f>
        <v>0</v>
      </c>
    </row>
    <row r="1437" spans="2:8" x14ac:dyDescent="0.25">
      <c r="B1437" s="114"/>
      <c r="C1437" s="114"/>
      <c r="D1437" s="114"/>
      <c r="G1437" s="120">
        <f>IF(ISERROR(MATCH(B1437,MASTER!$B:$B,0)),B1437,0)</f>
        <v>0</v>
      </c>
      <c r="H1437" s="120">
        <f>IF(ISERROR(MATCH(MASTER!B1442,'Peoplesoft Classlist'!$B:$B,0)),MASTER!B1442,0)</f>
        <v>0</v>
      </c>
    </row>
    <row r="1438" spans="2:8" x14ac:dyDescent="0.25">
      <c r="B1438" s="114"/>
      <c r="C1438" s="114"/>
      <c r="D1438" s="114"/>
      <c r="G1438" s="120">
        <f>IF(ISERROR(MATCH(B1438,MASTER!$B:$B,0)),B1438,0)</f>
        <v>0</v>
      </c>
      <c r="H1438" s="120">
        <f>IF(ISERROR(MATCH(MASTER!B1443,'Peoplesoft Classlist'!$B:$B,0)),MASTER!B1443,0)</f>
        <v>0</v>
      </c>
    </row>
    <row r="1439" spans="2:8" x14ac:dyDescent="0.25">
      <c r="B1439" s="114"/>
      <c r="C1439" s="114"/>
      <c r="D1439" s="114"/>
      <c r="G1439" s="120">
        <f>IF(ISERROR(MATCH(B1439,MASTER!$B:$B,0)),B1439,0)</f>
        <v>0</v>
      </c>
      <c r="H1439" s="120">
        <f>IF(ISERROR(MATCH(MASTER!B1444,'Peoplesoft Classlist'!$B:$B,0)),MASTER!B1444,0)</f>
        <v>0</v>
      </c>
    </row>
    <row r="1440" spans="2:8" x14ac:dyDescent="0.25">
      <c r="B1440" s="114"/>
      <c r="C1440" s="114"/>
      <c r="D1440" s="114"/>
      <c r="G1440" s="120">
        <f>IF(ISERROR(MATCH(B1440,MASTER!$B:$B,0)),B1440,0)</f>
        <v>0</v>
      </c>
      <c r="H1440" s="120">
        <f>IF(ISERROR(MATCH(MASTER!B1445,'Peoplesoft Classlist'!$B:$B,0)),MASTER!B1445,0)</f>
        <v>0</v>
      </c>
    </row>
    <row r="1441" spans="2:8" x14ac:dyDescent="0.25">
      <c r="B1441" s="114"/>
      <c r="C1441" s="114"/>
      <c r="D1441" s="114"/>
      <c r="G1441" s="120">
        <f>IF(ISERROR(MATCH(B1441,MASTER!$B:$B,0)),B1441,0)</f>
        <v>0</v>
      </c>
      <c r="H1441" s="120">
        <f>IF(ISERROR(MATCH(MASTER!B1446,'Peoplesoft Classlist'!$B:$B,0)),MASTER!B1446,0)</f>
        <v>0</v>
      </c>
    </row>
    <row r="1442" spans="2:8" x14ac:dyDescent="0.25">
      <c r="B1442" s="114"/>
      <c r="C1442" s="114"/>
      <c r="D1442" s="114"/>
      <c r="G1442" s="120">
        <f>IF(ISERROR(MATCH(B1442,MASTER!$B:$B,0)),B1442,0)</f>
        <v>0</v>
      </c>
      <c r="H1442" s="120">
        <f>IF(ISERROR(MATCH(MASTER!B1447,'Peoplesoft Classlist'!$B:$B,0)),MASTER!B1447,0)</f>
        <v>0</v>
      </c>
    </row>
    <row r="1443" spans="2:8" x14ac:dyDescent="0.25">
      <c r="B1443" s="114"/>
      <c r="C1443" s="114"/>
      <c r="D1443" s="114"/>
      <c r="G1443" s="120">
        <f>IF(ISERROR(MATCH(B1443,MASTER!$B:$B,0)),B1443,0)</f>
        <v>0</v>
      </c>
      <c r="H1443" s="120">
        <f>IF(ISERROR(MATCH(MASTER!B1448,'Peoplesoft Classlist'!$B:$B,0)),MASTER!B1448,0)</f>
        <v>0</v>
      </c>
    </row>
    <row r="1444" spans="2:8" x14ac:dyDescent="0.25">
      <c r="B1444" s="114"/>
      <c r="C1444" s="114"/>
      <c r="D1444" s="114"/>
      <c r="G1444" s="120">
        <f>IF(ISERROR(MATCH(B1444,MASTER!$B:$B,0)),B1444,0)</f>
        <v>0</v>
      </c>
      <c r="H1444" s="120">
        <f>IF(ISERROR(MATCH(MASTER!B1449,'Peoplesoft Classlist'!$B:$B,0)),MASTER!B1449,0)</f>
        <v>0</v>
      </c>
    </row>
    <row r="1445" spans="2:8" x14ac:dyDescent="0.25">
      <c r="B1445" s="114"/>
      <c r="C1445" s="114"/>
      <c r="D1445" s="114"/>
      <c r="G1445" s="120">
        <f>IF(ISERROR(MATCH(B1445,MASTER!$B:$B,0)),B1445,0)</f>
        <v>0</v>
      </c>
      <c r="H1445" s="120">
        <f>IF(ISERROR(MATCH(MASTER!B1450,'Peoplesoft Classlist'!$B:$B,0)),MASTER!B1450,0)</f>
        <v>0</v>
      </c>
    </row>
    <row r="1446" spans="2:8" x14ac:dyDescent="0.25">
      <c r="B1446" s="114"/>
      <c r="C1446" s="114"/>
      <c r="D1446" s="114"/>
      <c r="G1446" s="120">
        <f>IF(ISERROR(MATCH(B1446,MASTER!$B:$B,0)),B1446,0)</f>
        <v>0</v>
      </c>
      <c r="H1446" s="120">
        <f>IF(ISERROR(MATCH(MASTER!B1451,'Peoplesoft Classlist'!$B:$B,0)),MASTER!B1451,0)</f>
        <v>0</v>
      </c>
    </row>
    <row r="1447" spans="2:8" x14ac:dyDescent="0.25">
      <c r="B1447" s="114"/>
      <c r="C1447" s="114"/>
      <c r="D1447" s="114"/>
      <c r="G1447" s="120">
        <f>IF(ISERROR(MATCH(B1447,MASTER!$B:$B,0)),B1447,0)</f>
        <v>0</v>
      </c>
      <c r="H1447" s="120">
        <f>IF(ISERROR(MATCH(MASTER!B1452,'Peoplesoft Classlist'!$B:$B,0)),MASTER!B1452,0)</f>
        <v>0</v>
      </c>
    </row>
    <row r="1448" spans="2:8" x14ac:dyDescent="0.25">
      <c r="B1448" s="114"/>
      <c r="C1448" s="114"/>
      <c r="D1448" s="114"/>
      <c r="G1448" s="120">
        <f>IF(ISERROR(MATCH(B1448,MASTER!$B:$B,0)),B1448,0)</f>
        <v>0</v>
      </c>
      <c r="H1448" s="120">
        <f>IF(ISERROR(MATCH(MASTER!B1453,'Peoplesoft Classlist'!$B:$B,0)),MASTER!B1453,0)</f>
        <v>0</v>
      </c>
    </row>
    <row r="1449" spans="2:8" x14ac:dyDescent="0.25">
      <c r="B1449" s="114"/>
      <c r="C1449" s="114"/>
      <c r="D1449" s="114"/>
      <c r="G1449" s="120">
        <f>IF(ISERROR(MATCH(B1449,MASTER!$B:$B,0)),B1449,0)</f>
        <v>0</v>
      </c>
      <c r="H1449" s="120">
        <f>IF(ISERROR(MATCH(MASTER!B1454,'Peoplesoft Classlist'!$B:$B,0)),MASTER!B1454,0)</f>
        <v>0</v>
      </c>
    </row>
    <row r="1450" spans="2:8" x14ac:dyDescent="0.25">
      <c r="B1450" s="114"/>
      <c r="C1450" s="114"/>
      <c r="D1450" s="114"/>
      <c r="G1450" s="120">
        <f>IF(ISERROR(MATCH(B1450,MASTER!$B:$B,0)),B1450,0)</f>
        <v>0</v>
      </c>
      <c r="H1450" s="120">
        <f>IF(ISERROR(MATCH(MASTER!B1455,'Peoplesoft Classlist'!$B:$B,0)),MASTER!B1455,0)</f>
        <v>0</v>
      </c>
    </row>
    <row r="1451" spans="2:8" x14ac:dyDescent="0.25">
      <c r="B1451" s="114"/>
      <c r="C1451" s="114"/>
      <c r="D1451" s="114"/>
      <c r="G1451" s="120">
        <f>IF(ISERROR(MATCH(B1451,MASTER!$B:$B,0)),B1451,0)</f>
        <v>0</v>
      </c>
      <c r="H1451" s="120">
        <f>IF(ISERROR(MATCH(MASTER!B1456,'Peoplesoft Classlist'!$B:$B,0)),MASTER!B1456,0)</f>
        <v>0</v>
      </c>
    </row>
    <row r="1452" spans="2:8" x14ac:dyDescent="0.25">
      <c r="B1452" s="114"/>
      <c r="C1452" s="114"/>
      <c r="D1452" s="114"/>
      <c r="G1452" s="120">
        <f>IF(ISERROR(MATCH(B1452,MASTER!$B:$B,0)),B1452,0)</f>
        <v>0</v>
      </c>
      <c r="H1452" s="120">
        <f>IF(ISERROR(MATCH(MASTER!B1457,'Peoplesoft Classlist'!$B:$B,0)),MASTER!B1457,0)</f>
        <v>0</v>
      </c>
    </row>
    <row r="1453" spans="2:8" x14ac:dyDescent="0.25">
      <c r="B1453" s="114"/>
      <c r="C1453" s="114"/>
      <c r="D1453" s="114"/>
      <c r="G1453" s="120">
        <f>IF(ISERROR(MATCH(B1453,MASTER!$B:$B,0)),B1453,0)</f>
        <v>0</v>
      </c>
      <c r="H1453" s="120">
        <f>IF(ISERROR(MATCH(MASTER!B1458,'Peoplesoft Classlist'!$B:$B,0)),MASTER!B1458,0)</f>
        <v>0</v>
      </c>
    </row>
    <row r="1454" spans="2:8" x14ac:dyDescent="0.25">
      <c r="B1454" s="114"/>
      <c r="C1454" s="114"/>
      <c r="D1454" s="114"/>
      <c r="G1454" s="120">
        <f>IF(ISERROR(MATCH(B1454,MASTER!$B:$B,0)),B1454,0)</f>
        <v>0</v>
      </c>
      <c r="H1454" s="120">
        <f>IF(ISERROR(MATCH(MASTER!B1459,'Peoplesoft Classlist'!$B:$B,0)),MASTER!B1459,0)</f>
        <v>0</v>
      </c>
    </row>
    <row r="1455" spans="2:8" x14ac:dyDescent="0.25">
      <c r="B1455" s="114"/>
      <c r="C1455" s="114"/>
      <c r="D1455" s="114"/>
      <c r="G1455" s="120">
        <f>IF(ISERROR(MATCH(B1455,MASTER!$B:$B,0)),B1455,0)</f>
        <v>0</v>
      </c>
      <c r="H1455" s="120">
        <f>IF(ISERROR(MATCH(MASTER!B1460,'Peoplesoft Classlist'!$B:$B,0)),MASTER!B1460,0)</f>
        <v>0</v>
      </c>
    </row>
    <row r="1456" spans="2:8" x14ac:dyDescent="0.25">
      <c r="B1456" s="114"/>
      <c r="C1456" s="114"/>
      <c r="D1456" s="114"/>
      <c r="G1456" s="120">
        <f>IF(ISERROR(MATCH(B1456,MASTER!$B:$B,0)),B1456,0)</f>
        <v>0</v>
      </c>
      <c r="H1456" s="120">
        <f>IF(ISERROR(MATCH(MASTER!B1461,'Peoplesoft Classlist'!$B:$B,0)),MASTER!B1461,0)</f>
        <v>0</v>
      </c>
    </row>
    <row r="1457" spans="2:8" x14ac:dyDescent="0.25">
      <c r="B1457" s="114"/>
      <c r="C1457" s="114"/>
      <c r="D1457" s="114"/>
      <c r="G1457" s="120">
        <f>IF(ISERROR(MATCH(B1457,MASTER!$B:$B,0)),B1457,0)</f>
        <v>0</v>
      </c>
      <c r="H1457" s="120">
        <f>IF(ISERROR(MATCH(MASTER!B1462,'Peoplesoft Classlist'!$B:$B,0)),MASTER!B1462,0)</f>
        <v>0</v>
      </c>
    </row>
    <row r="1458" spans="2:8" x14ac:dyDescent="0.25">
      <c r="B1458" s="114"/>
      <c r="C1458" s="114"/>
      <c r="D1458" s="114"/>
      <c r="G1458" s="120">
        <f>IF(ISERROR(MATCH(B1458,MASTER!$B:$B,0)),B1458,0)</f>
        <v>0</v>
      </c>
      <c r="H1458" s="120">
        <f>IF(ISERROR(MATCH(MASTER!B1463,'Peoplesoft Classlist'!$B:$B,0)),MASTER!B1463,0)</f>
        <v>0</v>
      </c>
    </row>
    <row r="1459" spans="2:8" x14ac:dyDescent="0.25">
      <c r="B1459" s="114"/>
      <c r="C1459" s="114"/>
      <c r="D1459" s="114"/>
      <c r="G1459" s="120">
        <f>IF(ISERROR(MATCH(B1459,MASTER!$B:$B,0)),B1459,0)</f>
        <v>0</v>
      </c>
      <c r="H1459" s="120">
        <f>IF(ISERROR(MATCH(MASTER!B1464,'Peoplesoft Classlist'!$B:$B,0)),MASTER!B1464,0)</f>
        <v>0</v>
      </c>
    </row>
    <row r="1460" spans="2:8" x14ac:dyDescent="0.25">
      <c r="B1460" s="114"/>
      <c r="C1460" s="114"/>
      <c r="D1460" s="114"/>
      <c r="G1460" s="120">
        <f>IF(ISERROR(MATCH(B1460,MASTER!$B:$B,0)),B1460,0)</f>
        <v>0</v>
      </c>
      <c r="H1460" s="120">
        <f>IF(ISERROR(MATCH(MASTER!B1465,'Peoplesoft Classlist'!$B:$B,0)),MASTER!B1465,0)</f>
        <v>0</v>
      </c>
    </row>
    <row r="1461" spans="2:8" x14ac:dyDescent="0.25">
      <c r="B1461" s="114"/>
      <c r="C1461" s="114"/>
      <c r="D1461" s="114"/>
      <c r="G1461" s="120">
        <f>IF(ISERROR(MATCH(B1461,MASTER!$B:$B,0)),B1461,0)</f>
        <v>0</v>
      </c>
      <c r="H1461" s="120">
        <f>IF(ISERROR(MATCH(MASTER!B1466,'Peoplesoft Classlist'!$B:$B,0)),MASTER!B1466,0)</f>
        <v>0</v>
      </c>
    </row>
    <row r="1462" spans="2:8" x14ac:dyDescent="0.25">
      <c r="B1462" s="114"/>
      <c r="C1462" s="114"/>
      <c r="D1462" s="114"/>
      <c r="G1462" s="120">
        <f>IF(ISERROR(MATCH(B1462,MASTER!$B:$B,0)),B1462,0)</f>
        <v>0</v>
      </c>
      <c r="H1462" s="120">
        <f>IF(ISERROR(MATCH(MASTER!B1467,'Peoplesoft Classlist'!$B:$B,0)),MASTER!B1467,0)</f>
        <v>0</v>
      </c>
    </row>
    <row r="1463" spans="2:8" x14ac:dyDescent="0.25">
      <c r="B1463" s="114"/>
      <c r="C1463" s="114"/>
      <c r="D1463" s="114"/>
      <c r="G1463" s="120">
        <f>IF(ISERROR(MATCH(B1463,MASTER!$B:$B,0)),B1463,0)</f>
        <v>0</v>
      </c>
      <c r="H1463" s="120">
        <f>IF(ISERROR(MATCH(MASTER!B1468,'Peoplesoft Classlist'!$B:$B,0)),MASTER!B1468,0)</f>
        <v>0</v>
      </c>
    </row>
    <row r="1464" spans="2:8" x14ac:dyDescent="0.25">
      <c r="B1464" s="114"/>
      <c r="C1464" s="114"/>
      <c r="D1464" s="114"/>
      <c r="G1464" s="120">
        <f>IF(ISERROR(MATCH(B1464,MASTER!$B:$B,0)),B1464,0)</f>
        <v>0</v>
      </c>
      <c r="H1464" s="120">
        <f>IF(ISERROR(MATCH(MASTER!B1469,'Peoplesoft Classlist'!$B:$B,0)),MASTER!B1469,0)</f>
        <v>0</v>
      </c>
    </row>
    <row r="1465" spans="2:8" x14ac:dyDescent="0.25">
      <c r="B1465" s="114"/>
      <c r="C1465" s="114"/>
      <c r="D1465" s="114"/>
      <c r="G1465" s="120">
        <f>IF(ISERROR(MATCH(B1465,MASTER!$B:$B,0)),B1465,0)</f>
        <v>0</v>
      </c>
      <c r="H1465" s="120">
        <f>IF(ISERROR(MATCH(MASTER!B1470,'Peoplesoft Classlist'!$B:$B,0)),MASTER!B1470,0)</f>
        <v>0</v>
      </c>
    </row>
    <row r="1466" spans="2:8" x14ac:dyDescent="0.25">
      <c r="B1466" s="114"/>
      <c r="C1466" s="114"/>
      <c r="D1466" s="114"/>
      <c r="G1466" s="120">
        <f>IF(ISERROR(MATCH(B1466,MASTER!$B:$B,0)),B1466,0)</f>
        <v>0</v>
      </c>
      <c r="H1466" s="120">
        <f>IF(ISERROR(MATCH(MASTER!B1471,'Peoplesoft Classlist'!$B:$B,0)),MASTER!B1471,0)</f>
        <v>0</v>
      </c>
    </row>
    <row r="1467" spans="2:8" x14ac:dyDescent="0.25">
      <c r="B1467" s="114"/>
      <c r="C1467" s="114"/>
      <c r="D1467" s="114"/>
      <c r="G1467" s="120">
        <f>IF(ISERROR(MATCH(B1467,MASTER!$B:$B,0)),B1467,0)</f>
        <v>0</v>
      </c>
      <c r="H1467" s="120">
        <f>IF(ISERROR(MATCH(MASTER!B1472,'Peoplesoft Classlist'!$B:$B,0)),MASTER!B1472,0)</f>
        <v>0</v>
      </c>
    </row>
    <row r="1468" spans="2:8" x14ac:dyDescent="0.25">
      <c r="B1468" s="114"/>
      <c r="C1468" s="114"/>
      <c r="D1468" s="114"/>
      <c r="G1468" s="120">
        <f>IF(ISERROR(MATCH(B1468,MASTER!$B:$B,0)),B1468,0)</f>
        <v>0</v>
      </c>
      <c r="H1468" s="120">
        <f>IF(ISERROR(MATCH(MASTER!B1473,'Peoplesoft Classlist'!$B:$B,0)),MASTER!B1473,0)</f>
        <v>0</v>
      </c>
    </row>
    <row r="1469" spans="2:8" x14ac:dyDescent="0.25">
      <c r="B1469" s="114"/>
      <c r="C1469" s="114"/>
      <c r="D1469" s="114"/>
      <c r="G1469" s="120">
        <f>IF(ISERROR(MATCH(B1469,MASTER!$B:$B,0)),B1469,0)</f>
        <v>0</v>
      </c>
      <c r="H1469" s="120">
        <f>IF(ISERROR(MATCH(MASTER!B1474,'Peoplesoft Classlist'!$B:$B,0)),MASTER!B1474,0)</f>
        <v>0</v>
      </c>
    </row>
    <row r="1470" spans="2:8" x14ac:dyDescent="0.25">
      <c r="B1470" s="114"/>
      <c r="C1470" s="114"/>
      <c r="D1470" s="114"/>
      <c r="G1470" s="120">
        <f>IF(ISERROR(MATCH(B1470,MASTER!$B:$B,0)),B1470,0)</f>
        <v>0</v>
      </c>
      <c r="H1470" s="120">
        <f>IF(ISERROR(MATCH(MASTER!B1475,'Peoplesoft Classlist'!$B:$B,0)),MASTER!B1475,0)</f>
        <v>0</v>
      </c>
    </row>
    <row r="1471" spans="2:8" x14ac:dyDescent="0.25">
      <c r="B1471" s="114"/>
      <c r="C1471" s="114"/>
      <c r="D1471" s="114"/>
      <c r="G1471" s="120">
        <f>IF(ISERROR(MATCH(B1471,MASTER!$B:$B,0)),B1471,0)</f>
        <v>0</v>
      </c>
      <c r="H1471" s="120">
        <f>IF(ISERROR(MATCH(MASTER!B1476,'Peoplesoft Classlist'!$B:$B,0)),MASTER!B1476,0)</f>
        <v>0</v>
      </c>
    </row>
    <row r="1472" spans="2:8" x14ac:dyDescent="0.25">
      <c r="B1472" s="114"/>
      <c r="C1472" s="114"/>
      <c r="D1472" s="114"/>
      <c r="G1472" s="120">
        <f>IF(ISERROR(MATCH(B1472,MASTER!$B:$B,0)),B1472,0)</f>
        <v>0</v>
      </c>
      <c r="H1472" s="120">
        <f>IF(ISERROR(MATCH(MASTER!B1477,'Peoplesoft Classlist'!$B:$B,0)),MASTER!B1477,0)</f>
        <v>0</v>
      </c>
    </row>
    <row r="1473" spans="2:8" x14ac:dyDescent="0.25">
      <c r="B1473" s="114"/>
      <c r="C1473" s="114"/>
      <c r="D1473" s="114"/>
      <c r="G1473" s="120">
        <f>IF(ISERROR(MATCH(B1473,MASTER!$B:$B,0)),B1473,0)</f>
        <v>0</v>
      </c>
      <c r="H1473" s="120">
        <f>IF(ISERROR(MATCH(MASTER!B1478,'Peoplesoft Classlist'!$B:$B,0)),MASTER!B1478,0)</f>
        <v>0</v>
      </c>
    </row>
    <row r="1474" spans="2:8" x14ac:dyDescent="0.25">
      <c r="B1474" s="114"/>
      <c r="C1474" s="114"/>
      <c r="D1474" s="114"/>
      <c r="G1474" s="120">
        <f>IF(ISERROR(MATCH(B1474,MASTER!$B:$B,0)),B1474,0)</f>
        <v>0</v>
      </c>
      <c r="H1474" s="120">
        <f>IF(ISERROR(MATCH(MASTER!B1479,'Peoplesoft Classlist'!$B:$B,0)),MASTER!B1479,0)</f>
        <v>0</v>
      </c>
    </row>
    <row r="1475" spans="2:8" x14ac:dyDescent="0.25">
      <c r="B1475" s="114"/>
      <c r="C1475" s="114"/>
      <c r="D1475" s="114"/>
      <c r="G1475" s="120">
        <f>IF(ISERROR(MATCH(B1475,MASTER!$B:$B,0)),B1475,0)</f>
        <v>0</v>
      </c>
      <c r="H1475" s="120">
        <f>IF(ISERROR(MATCH(MASTER!B1480,'Peoplesoft Classlist'!$B:$B,0)),MASTER!B1480,0)</f>
        <v>0</v>
      </c>
    </row>
    <row r="1476" spans="2:8" x14ac:dyDescent="0.25">
      <c r="B1476" s="114"/>
      <c r="C1476" s="114"/>
      <c r="D1476" s="114"/>
      <c r="G1476" s="120">
        <f>IF(ISERROR(MATCH(B1476,MASTER!$B:$B,0)),B1476,0)</f>
        <v>0</v>
      </c>
      <c r="H1476" s="120">
        <f>IF(ISERROR(MATCH(MASTER!B1481,'Peoplesoft Classlist'!$B:$B,0)),MASTER!B1481,0)</f>
        <v>0</v>
      </c>
    </row>
    <row r="1477" spans="2:8" x14ac:dyDescent="0.25">
      <c r="B1477" s="114"/>
      <c r="C1477" s="114"/>
      <c r="D1477" s="114"/>
      <c r="G1477" s="120">
        <f>IF(ISERROR(MATCH(B1477,MASTER!$B:$B,0)),B1477,0)</f>
        <v>0</v>
      </c>
      <c r="H1477" s="120">
        <f>IF(ISERROR(MATCH(MASTER!B1482,'Peoplesoft Classlist'!$B:$B,0)),MASTER!B1482,0)</f>
        <v>0</v>
      </c>
    </row>
    <row r="1478" spans="2:8" x14ac:dyDescent="0.25">
      <c r="B1478" s="114"/>
      <c r="C1478" s="114"/>
      <c r="D1478" s="114"/>
      <c r="G1478" s="120">
        <f>IF(ISERROR(MATCH(B1478,MASTER!$B:$B,0)),B1478,0)</f>
        <v>0</v>
      </c>
      <c r="H1478" s="120">
        <f>IF(ISERROR(MATCH(MASTER!B1483,'Peoplesoft Classlist'!$B:$B,0)),MASTER!B1483,0)</f>
        <v>0</v>
      </c>
    </row>
    <row r="1479" spans="2:8" x14ac:dyDescent="0.25">
      <c r="B1479" s="114"/>
      <c r="C1479" s="114"/>
      <c r="D1479" s="114"/>
      <c r="G1479" s="120">
        <f>IF(ISERROR(MATCH(B1479,MASTER!$B:$B,0)),B1479,0)</f>
        <v>0</v>
      </c>
      <c r="H1479" s="120">
        <f>IF(ISERROR(MATCH(MASTER!B1484,'Peoplesoft Classlist'!$B:$B,0)),MASTER!B1484,0)</f>
        <v>0</v>
      </c>
    </row>
    <row r="1480" spans="2:8" x14ac:dyDescent="0.25">
      <c r="B1480" s="114"/>
      <c r="C1480" s="114"/>
      <c r="D1480" s="114"/>
      <c r="G1480" s="120">
        <f>IF(ISERROR(MATCH(B1480,MASTER!$B:$B,0)),B1480,0)</f>
        <v>0</v>
      </c>
      <c r="H1480" s="120">
        <f>IF(ISERROR(MATCH(MASTER!B1485,'Peoplesoft Classlist'!$B:$B,0)),MASTER!B1485,0)</f>
        <v>0</v>
      </c>
    </row>
    <row r="1481" spans="2:8" x14ac:dyDescent="0.25">
      <c r="B1481" s="114"/>
      <c r="C1481" s="114"/>
      <c r="D1481" s="114"/>
      <c r="G1481" s="120">
        <f>IF(ISERROR(MATCH(B1481,MASTER!$B:$B,0)),B1481,0)</f>
        <v>0</v>
      </c>
      <c r="H1481" s="120">
        <f>IF(ISERROR(MATCH(MASTER!B1486,'Peoplesoft Classlist'!$B:$B,0)),MASTER!B1486,0)</f>
        <v>0</v>
      </c>
    </row>
    <row r="1482" spans="2:8" x14ac:dyDescent="0.25">
      <c r="B1482" s="114"/>
      <c r="C1482" s="114"/>
      <c r="D1482" s="114"/>
      <c r="G1482" s="120">
        <f>IF(ISERROR(MATCH(B1482,MASTER!$B:$B,0)),B1482,0)</f>
        <v>0</v>
      </c>
      <c r="H1482" s="120">
        <f>IF(ISERROR(MATCH(MASTER!B1487,'Peoplesoft Classlist'!$B:$B,0)),MASTER!B1487,0)</f>
        <v>0</v>
      </c>
    </row>
    <row r="1483" spans="2:8" x14ac:dyDescent="0.25">
      <c r="B1483" s="114"/>
      <c r="C1483" s="114"/>
      <c r="D1483" s="114"/>
      <c r="G1483" s="120">
        <f>IF(ISERROR(MATCH(B1483,MASTER!$B:$B,0)),B1483,0)</f>
        <v>0</v>
      </c>
      <c r="H1483" s="120">
        <f>IF(ISERROR(MATCH(MASTER!B1488,'Peoplesoft Classlist'!$B:$B,0)),MASTER!B1488,0)</f>
        <v>0</v>
      </c>
    </row>
    <row r="1484" spans="2:8" x14ac:dyDescent="0.25">
      <c r="B1484" s="114"/>
      <c r="C1484" s="114"/>
      <c r="D1484" s="114"/>
      <c r="G1484" s="120">
        <f>IF(ISERROR(MATCH(B1484,MASTER!$B:$B,0)),B1484,0)</f>
        <v>0</v>
      </c>
      <c r="H1484" s="120">
        <f>IF(ISERROR(MATCH(MASTER!B1489,'Peoplesoft Classlist'!$B:$B,0)),MASTER!B1489,0)</f>
        <v>0</v>
      </c>
    </row>
    <row r="1485" spans="2:8" x14ac:dyDescent="0.25">
      <c r="B1485" s="114"/>
      <c r="C1485" s="114"/>
      <c r="D1485" s="114"/>
      <c r="G1485" s="120">
        <f>IF(ISERROR(MATCH(B1485,MASTER!$B:$B,0)),B1485,0)</f>
        <v>0</v>
      </c>
      <c r="H1485" s="120">
        <f>IF(ISERROR(MATCH(MASTER!B1490,'Peoplesoft Classlist'!$B:$B,0)),MASTER!B1490,0)</f>
        <v>0</v>
      </c>
    </row>
    <row r="1486" spans="2:8" x14ac:dyDescent="0.25">
      <c r="B1486" s="114"/>
      <c r="C1486" s="114"/>
      <c r="D1486" s="114"/>
      <c r="G1486" s="120">
        <f>IF(ISERROR(MATCH(B1486,MASTER!$B:$B,0)),B1486,0)</f>
        <v>0</v>
      </c>
      <c r="H1486" s="120">
        <f>IF(ISERROR(MATCH(MASTER!B1491,'Peoplesoft Classlist'!$B:$B,0)),MASTER!B1491,0)</f>
        <v>0</v>
      </c>
    </row>
    <row r="1487" spans="2:8" x14ac:dyDescent="0.25">
      <c r="B1487" s="114"/>
      <c r="C1487" s="114"/>
      <c r="D1487" s="114"/>
      <c r="G1487" s="120">
        <f>IF(ISERROR(MATCH(B1487,MASTER!$B:$B,0)),B1487,0)</f>
        <v>0</v>
      </c>
      <c r="H1487" s="120">
        <f>IF(ISERROR(MATCH(MASTER!B1492,'Peoplesoft Classlist'!$B:$B,0)),MASTER!B1492,0)</f>
        <v>0</v>
      </c>
    </row>
    <row r="1488" spans="2:8" x14ac:dyDescent="0.25">
      <c r="B1488" s="114"/>
      <c r="C1488" s="114"/>
      <c r="D1488" s="114"/>
      <c r="G1488" s="120">
        <f>IF(ISERROR(MATCH(B1488,MASTER!$B:$B,0)),B1488,0)</f>
        <v>0</v>
      </c>
      <c r="H1488" s="120">
        <f>IF(ISERROR(MATCH(MASTER!B1493,'Peoplesoft Classlist'!$B:$B,0)),MASTER!B1493,0)</f>
        <v>0</v>
      </c>
    </row>
    <row r="1489" spans="2:8" x14ac:dyDescent="0.25">
      <c r="B1489" s="114"/>
      <c r="C1489" s="114"/>
      <c r="D1489" s="114"/>
      <c r="G1489" s="120">
        <f>IF(ISERROR(MATCH(B1489,MASTER!$B:$B,0)),B1489,0)</f>
        <v>0</v>
      </c>
      <c r="H1489" s="120">
        <f>IF(ISERROR(MATCH(MASTER!B1494,'Peoplesoft Classlist'!$B:$B,0)),MASTER!B1494,0)</f>
        <v>0</v>
      </c>
    </row>
    <row r="1490" spans="2:8" x14ac:dyDescent="0.25">
      <c r="B1490" s="114"/>
      <c r="C1490" s="114"/>
      <c r="D1490" s="114"/>
      <c r="G1490" s="120">
        <f>IF(ISERROR(MATCH(B1490,MASTER!$B:$B,0)),B1490,0)</f>
        <v>0</v>
      </c>
      <c r="H1490" s="120">
        <f>IF(ISERROR(MATCH(MASTER!B1495,'Peoplesoft Classlist'!$B:$B,0)),MASTER!B1495,0)</f>
        <v>0</v>
      </c>
    </row>
    <row r="1491" spans="2:8" x14ac:dyDescent="0.25">
      <c r="B1491" s="114"/>
      <c r="C1491" s="114"/>
      <c r="D1491" s="114"/>
      <c r="G1491" s="120">
        <f>IF(ISERROR(MATCH(B1491,MASTER!$B:$B,0)),B1491,0)</f>
        <v>0</v>
      </c>
      <c r="H1491" s="120">
        <f>IF(ISERROR(MATCH(MASTER!B1496,'Peoplesoft Classlist'!$B:$B,0)),MASTER!B1496,0)</f>
        <v>0</v>
      </c>
    </row>
    <row r="1492" spans="2:8" x14ac:dyDescent="0.25">
      <c r="B1492" s="114"/>
      <c r="C1492" s="114"/>
      <c r="D1492" s="114"/>
      <c r="G1492" s="120">
        <f>IF(ISERROR(MATCH(B1492,MASTER!$B:$B,0)),B1492,0)</f>
        <v>0</v>
      </c>
      <c r="H1492" s="120">
        <f>IF(ISERROR(MATCH(MASTER!B1497,'Peoplesoft Classlist'!$B:$B,0)),MASTER!B1497,0)</f>
        <v>0</v>
      </c>
    </row>
    <row r="1493" spans="2:8" x14ac:dyDescent="0.25">
      <c r="B1493" s="114"/>
      <c r="C1493" s="114"/>
      <c r="D1493" s="114"/>
      <c r="G1493" s="120">
        <f>IF(ISERROR(MATCH(B1493,MASTER!$B:$B,0)),B1493,0)</f>
        <v>0</v>
      </c>
      <c r="H1493" s="120">
        <f>IF(ISERROR(MATCH(MASTER!B1498,'Peoplesoft Classlist'!$B:$B,0)),MASTER!B1498,0)</f>
        <v>0</v>
      </c>
    </row>
    <row r="1494" spans="2:8" x14ac:dyDescent="0.25">
      <c r="B1494" s="114"/>
      <c r="C1494" s="114"/>
      <c r="D1494" s="114"/>
      <c r="G1494" s="120">
        <f>IF(ISERROR(MATCH(B1494,MASTER!$B:$B,0)),B1494,0)</f>
        <v>0</v>
      </c>
      <c r="H1494" s="120">
        <f>IF(ISERROR(MATCH(MASTER!B1499,'Peoplesoft Classlist'!$B:$B,0)),MASTER!B1499,0)</f>
        <v>0</v>
      </c>
    </row>
    <row r="1495" spans="2:8" x14ac:dyDescent="0.25">
      <c r="B1495" s="114"/>
      <c r="C1495" s="114"/>
      <c r="D1495" s="114"/>
      <c r="G1495" s="120">
        <f>IF(ISERROR(MATCH(B1495,MASTER!$B:$B,0)),B1495,0)</f>
        <v>0</v>
      </c>
      <c r="H1495" s="120">
        <f>IF(ISERROR(MATCH(MASTER!B1500,'Peoplesoft Classlist'!$B:$B,0)),MASTER!B1500,0)</f>
        <v>0</v>
      </c>
    </row>
    <row r="1496" spans="2:8" x14ac:dyDescent="0.25">
      <c r="B1496" s="114"/>
      <c r="C1496" s="114"/>
      <c r="D1496" s="114"/>
      <c r="G1496" s="120">
        <f>IF(ISERROR(MATCH(B1496,MASTER!$B:$B,0)),B1496,0)</f>
        <v>0</v>
      </c>
      <c r="H1496" s="120">
        <f>IF(ISERROR(MATCH(MASTER!B1501,'Peoplesoft Classlist'!$B:$B,0)),MASTER!B1501,0)</f>
        <v>0</v>
      </c>
    </row>
    <row r="1497" spans="2:8" x14ac:dyDescent="0.25">
      <c r="B1497" s="114"/>
      <c r="C1497" s="114"/>
      <c r="D1497" s="114"/>
      <c r="G1497" s="120">
        <f>IF(ISERROR(MATCH(B1497,MASTER!$B:$B,0)),B1497,0)</f>
        <v>0</v>
      </c>
      <c r="H1497" s="120">
        <f>IF(ISERROR(MATCH(MASTER!B1502,'Peoplesoft Classlist'!$B:$B,0)),MASTER!B1502,0)</f>
        <v>0</v>
      </c>
    </row>
    <row r="1498" spans="2:8" x14ac:dyDescent="0.25">
      <c r="B1498" s="114"/>
      <c r="C1498" s="114"/>
      <c r="D1498" s="114"/>
      <c r="G1498" s="120">
        <f>IF(ISERROR(MATCH(B1498,MASTER!$B:$B,0)),B1498,0)</f>
        <v>0</v>
      </c>
      <c r="H1498" s="120">
        <f>IF(ISERROR(MATCH(MASTER!B1503,'Peoplesoft Classlist'!$B:$B,0)),MASTER!B1503,0)</f>
        <v>0</v>
      </c>
    </row>
    <row r="1499" spans="2:8" x14ac:dyDescent="0.25">
      <c r="B1499" s="114"/>
      <c r="C1499" s="114"/>
      <c r="D1499" s="114"/>
      <c r="G1499" s="120">
        <f>IF(ISERROR(MATCH(B1499,MASTER!$B:$B,0)),B1499,0)</f>
        <v>0</v>
      </c>
      <c r="H1499" s="120">
        <f>IF(ISERROR(MATCH(MASTER!B1504,'Peoplesoft Classlist'!$B:$B,0)),MASTER!B1504,0)</f>
        <v>0</v>
      </c>
    </row>
    <row r="1500" spans="2:8" x14ac:dyDescent="0.25">
      <c r="B1500" s="114"/>
      <c r="C1500" s="114"/>
      <c r="D1500" s="114"/>
      <c r="G1500" s="120">
        <f>IF(ISERROR(MATCH(B1500,MASTER!$B:$B,0)),B1500,0)</f>
        <v>0</v>
      </c>
      <c r="H1500" s="120">
        <f>IF(ISERROR(MATCH(MASTER!B1505,'Peoplesoft Classlist'!$B:$B,0)),MASTER!B1505,0)</f>
        <v>0</v>
      </c>
    </row>
    <row r="1501" spans="2:8" x14ac:dyDescent="0.25">
      <c r="B1501" s="114"/>
      <c r="C1501" s="114"/>
      <c r="D1501" s="114"/>
      <c r="G1501" s="120">
        <f>IF(ISERROR(MATCH(B1501,MASTER!$B:$B,0)),B1501,0)</f>
        <v>0</v>
      </c>
      <c r="H1501" s="120">
        <f>IF(ISERROR(MATCH(MASTER!B1506,'Peoplesoft Classlist'!$B:$B,0)),MASTER!B1506,0)</f>
        <v>0</v>
      </c>
    </row>
    <row r="1502" spans="2:8" x14ac:dyDescent="0.25">
      <c r="B1502" s="114"/>
      <c r="C1502" s="114"/>
      <c r="D1502" s="114"/>
      <c r="G1502" s="120">
        <f>IF(ISERROR(MATCH(B1502,MASTER!$B:$B,0)),B1502,0)</f>
        <v>0</v>
      </c>
      <c r="H1502" s="120">
        <f>IF(ISERROR(MATCH(MASTER!B1507,'Peoplesoft Classlist'!$B:$B,0)),MASTER!B1507,0)</f>
        <v>0</v>
      </c>
    </row>
    <row r="1503" spans="2:8" x14ac:dyDescent="0.25">
      <c r="B1503" s="114"/>
      <c r="C1503" s="114"/>
      <c r="D1503" s="114"/>
      <c r="G1503" s="120">
        <f>IF(ISERROR(MATCH(B1503,MASTER!$B:$B,0)),B1503,0)</f>
        <v>0</v>
      </c>
      <c r="H1503" s="120">
        <f>IF(ISERROR(MATCH(MASTER!B1508,'Peoplesoft Classlist'!$B:$B,0)),MASTER!B1508,0)</f>
        <v>0</v>
      </c>
    </row>
    <row r="1504" spans="2:8" x14ac:dyDescent="0.25">
      <c r="B1504" s="114"/>
      <c r="C1504" s="114"/>
      <c r="D1504" s="114"/>
      <c r="G1504" s="120">
        <f>IF(ISERROR(MATCH(B1504,MASTER!$B:$B,0)),B1504,0)</f>
        <v>0</v>
      </c>
      <c r="H1504" s="120">
        <f>IF(ISERROR(MATCH(MASTER!B1509,'Peoplesoft Classlist'!$B:$B,0)),MASTER!B1509,0)</f>
        <v>0</v>
      </c>
    </row>
    <row r="1505" spans="2:8" x14ac:dyDescent="0.25">
      <c r="B1505" s="114"/>
      <c r="C1505" s="114"/>
      <c r="D1505" s="114"/>
      <c r="G1505" s="120">
        <f>IF(ISERROR(MATCH(B1505,MASTER!$B:$B,0)),B1505,0)</f>
        <v>0</v>
      </c>
      <c r="H1505" s="120">
        <f>IF(ISERROR(MATCH(MASTER!B1510,'Peoplesoft Classlist'!$B:$B,0)),MASTER!B1510,0)</f>
        <v>0</v>
      </c>
    </row>
    <row r="1506" spans="2:8" x14ac:dyDescent="0.25">
      <c r="B1506" s="114"/>
      <c r="C1506" s="114"/>
      <c r="D1506" s="114"/>
      <c r="G1506" s="120">
        <f>IF(ISERROR(MATCH(B1506,MASTER!$B:$B,0)),B1506,0)</f>
        <v>0</v>
      </c>
      <c r="H1506" s="120">
        <f>IF(ISERROR(MATCH(MASTER!B1511,'Peoplesoft Classlist'!$B:$B,0)),MASTER!B1511,0)</f>
        <v>0</v>
      </c>
    </row>
    <row r="1507" spans="2:8" x14ac:dyDescent="0.25">
      <c r="B1507" s="114"/>
      <c r="C1507" s="114"/>
      <c r="D1507" s="114"/>
      <c r="G1507" s="120">
        <f>IF(ISERROR(MATCH(B1507,MASTER!$B:$B,0)),B1507,0)</f>
        <v>0</v>
      </c>
      <c r="H1507" s="120">
        <f>IF(ISERROR(MATCH(MASTER!B1512,'Peoplesoft Classlist'!$B:$B,0)),MASTER!B1512,0)</f>
        <v>0</v>
      </c>
    </row>
    <row r="1508" spans="2:8" x14ac:dyDescent="0.25">
      <c r="B1508" s="114"/>
      <c r="C1508" s="114"/>
      <c r="D1508" s="114"/>
      <c r="G1508" s="120">
        <f>IF(ISERROR(MATCH(B1508,MASTER!$B:$B,0)),B1508,0)</f>
        <v>0</v>
      </c>
      <c r="H1508" s="120">
        <f>IF(ISERROR(MATCH(MASTER!B1513,'Peoplesoft Classlist'!$B:$B,0)),MASTER!B1513,0)</f>
        <v>0</v>
      </c>
    </row>
    <row r="1509" spans="2:8" x14ac:dyDescent="0.25">
      <c r="B1509" s="114"/>
      <c r="C1509" s="114"/>
      <c r="D1509" s="114"/>
      <c r="G1509" s="120">
        <f>IF(ISERROR(MATCH(B1509,MASTER!$B:$B,0)),B1509,0)</f>
        <v>0</v>
      </c>
      <c r="H1509" s="120">
        <f>IF(ISERROR(MATCH(MASTER!B1514,'Peoplesoft Classlist'!$B:$B,0)),MASTER!B1514,0)</f>
        <v>0</v>
      </c>
    </row>
    <row r="1510" spans="2:8" x14ac:dyDescent="0.25">
      <c r="B1510" s="114"/>
      <c r="C1510" s="114"/>
      <c r="D1510" s="114"/>
      <c r="G1510" s="120">
        <f>IF(ISERROR(MATCH(B1510,MASTER!$B:$B,0)),B1510,0)</f>
        <v>0</v>
      </c>
      <c r="H1510" s="120">
        <f>IF(ISERROR(MATCH(MASTER!B1515,'Peoplesoft Classlist'!$B:$B,0)),MASTER!B1515,0)</f>
        <v>0</v>
      </c>
    </row>
    <row r="1511" spans="2:8" x14ac:dyDescent="0.25">
      <c r="B1511" s="114"/>
      <c r="C1511" s="114"/>
      <c r="D1511" s="114"/>
      <c r="G1511" s="120">
        <f>IF(ISERROR(MATCH(B1511,MASTER!$B:$B,0)),B1511,0)</f>
        <v>0</v>
      </c>
      <c r="H1511" s="120">
        <f>IF(ISERROR(MATCH(MASTER!B1516,'Peoplesoft Classlist'!$B:$B,0)),MASTER!B1516,0)</f>
        <v>0</v>
      </c>
    </row>
    <row r="1512" spans="2:8" x14ac:dyDescent="0.25">
      <c r="B1512" s="114"/>
      <c r="C1512" s="114"/>
      <c r="D1512" s="114"/>
      <c r="G1512" s="120">
        <f>IF(ISERROR(MATCH(B1512,MASTER!$B:$B,0)),B1512,0)</f>
        <v>0</v>
      </c>
      <c r="H1512" s="120">
        <f>IF(ISERROR(MATCH(MASTER!B1517,'Peoplesoft Classlist'!$B:$B,0)),MASTER!B1517,0)</f>
        <v>0</v>
      </c>
    </row>
    <row r="1513" spans="2:8" x14ac:dyDescent="0.25">
      <c r="B1513" s="114"/>
      <c r="C1513" s="114"/>
      <c r="D1513" s="114"/>
      <c r="G1513" s="120">
        <f>IF(ISERROR(MATCH(B1513,MASTER!$B:$B,0)),B1513,0)</f>
        <v>0</v>
      </c>
      <c r="H1513" s="120">
        <f>IF(ISERROR(MATCH(MASTER!B1518,'Peoplesoft Classlist'!$B:$B,0)),MASTER!B1518,0)</f>
        <v>0</v>
      </c>
    </row>
    <row r="1514" spans="2:8" x14ac:dyDescent="0.25">
      <c r="B1514" s="114"/>
      <c r="C1514" s="114"/>
      <c r="D1514" s="114"/>
      <c r="G1514" s="120">
        <f>IF(ISERROR(MATCH(B1514,MASTER!$B:$B,0)),B1514,0)</f>
        <v>0</v>
      </c>
      <c r="H1514" s="120">
        <f>IF(ISERROR(MATCH(MASTER!B1519,'Peoplesoft Classlist'!$B:$B,0)),MASTER!B1519,0)</f>
        <v>0</v>
      </c>
    </row>
    <row r="1515" spans="2:8" x14ac:dyDescent="0.25">
      <c r="B1515" s="114"/>
      <c r="C1515" s="114"/>
      <c r="D1515" s="114"/>
      <c r="G1515" s="120">
        <f>IF(ISERROR(MATCH(B1515,MASTER!$B:$B,0)),B1515,0)</f>
        <v>0</v>
      </c>
      <c r="H1515" s="120">
        <f>IF(ISERROR(MATCH(MASTER!B1520,'Peoplesoft Classlist'!$B:$B,0)),MASTER!B1520,0)</f>
        <v>0</v>
      </c>
    </row>
    <row r="1516" spans="2:8" x14ac:dyDescent="0.25">
      <c r="B1516" s="114"/>
      <c r="C1516" s="114"/>
      <c r="D1516" s="114"/>
      <c r="G1516" s="120">
        <f>IF(ISERROR(MATCH(B1516,MASTER!$B:$B,0)),B1516,0)</f>
        <v>0</v>
      </c>
      <c r="H1516" s="120">
        <f>IF(ISERROR(MATCH(MASTER!B1521,'Peoplesoft Classlist'!$B:$B,0)),MASTER!B1521,0)</f>
        <v>0</v>
      </c>
    </row>
    <row r="1517" spans="2:8" x14ac:dyDescent="0.25">
      <c r="B1517" s="114"/>
      <c r="C1517" s="114"/>
      <c r="D1517" s="114"/>
      <c r="G1517" s="120">
        <f>IF(ISERROR(MATCH(B1517,MASTER!$B:$B,0)),B1517,0)</f>
        <v>0</v>
      </c>
      <c r="H1517" s="120">
        <f>IF(ISERROR(MATCH(MASTER!B1522,'Peoplesoft Classlist'!$B:$B,0)),MASTER!B1522,0)</f>
        <v>0</v>
      </c>
    </row>
    <row r="1518" spans="2:8" x14ac:dyDescent="0.25">
      <c r="B1518" s="114"/>
      <c r="C1518" s="114"/>
      <c r="D1518" s="114"/>
      <c r="G1518" s="120">
        <f>IF(ISERROR(MATCH(B1518,MASTER!$B:$B,0)),B1518,0)</f>
        <v>0</v>
      </c>
      <c r="H1518" s="120">
        <f>IF(ISERROR(MATCH(MASTER!B1523,'Peoplesoft Classlist'!$B:$B,0)),MASTER!B1523,0)</f>
        <v>0</v>
      </c>
    </row>
    <row r="1519" spans="2:8" x14ac:dyDescent="0.25">
      <c r="B1519" s="114"/>
      <c r="C1519" s="114"/>
      <c r="D1519" s="114"/>
      <c r="G1519" s="120">
        <f>IF(ISERROR(MATCH(B1519,MASTER!$B:$B,0)),B1519,0)</f>
        <v>0</v>
      </c>
      <c r="H1519" s="120">
        <f>IF(ISERROR(MATCH(MASTER!B1524,'Peoplesoft Classlist'!$B:$B,0)),MASTER!B1524,0)</f>
        <v>0</v>
      </c>
    </row>
    <row r="1520" spans="2:8" x14ac:dyDescent="0.25">
      <c r="B1520" s="114"/>
      <c r="C1520" s="114"/>
      <c r="D1520" s="114"/>
      <c r="G1520" s="120">
        <f>IF(ISERROR(MATCH(B1520,MASTER!$B:$B,0)),B1520,0)</f>
        <v>0</v>
      </c>
      <c r="H1520" s="120">
        <f>IF(ISERROR(MATCH(MASTER!B1525,'Peoplesoft Classlist'!$B:$B,0)),MASTER!B1525,0)</f>
        <v>0</v>
      </c>
    </row>
    <row r="1521" spans="2:8" x14ac:dyDescent="0.25">
      <c r="B1521" s="114"/>
      <c r="C1521" s="114"/>
      <c r="D1521" s="114"/>
      <c r="G1521" s="120">
        <f>IF(ISERROR(MATCH(B1521,MASTER!$B:$B,0)),B1521,0)</f>
        <v>0</v>
      </c>
      <c r="H1521" s="120">
        <f>IF(ISERROR(MATCH(MASTER!B1526,'Peoplesoft Classlist'!$B:$B,0)),MASTER!B1526,0)</f>
        <v>0</v>
      </c>
    </row>
    <row r="1522" spans="2:8" x14ac:dyDescent="0.25">
      <c r="B1522" s="114"/>
      <c r="C1522" s="114"/>
      <c r="D1522" s="114"/>
      <c r="G1522" s="120">
        <f>IF(ISERROR(MATCH(B1522,MASTER!$B:$B,0)),B1522,0)</f>
        <v>0</v>
      </c>
      <c r="H1522" s="120">
        <f>IF(ISERROR(MATCH(MASTER!B1527,'Peoplesoft Classlist'!$B:$B,0)),MASTER!B1527,0)</f>
        <v>0</v>
      </c>
    </row>
    <row r="1523" spans="2:8" x14ac:dyDescent="0.25">
      <c r="B1523" s="114"/>
      <c r="C1523" s="114"/>
      <c r="D1523" s="114"/>
      <c r="G1523" s="120">
        <f>IF(ISERROR(MATCH(B1523,MASTER!$B:$B,0)),B1523,0)</f>
        <v>0</v>
      </c>
      <c r="H1523" s="120">
        <f>IF(ISERROR(MATCH(MASTER!B1528,'Peoplesoft Classlist'!$B:$B,0)),MASTER!B1528,0)</f>
        <v>0</v>
      </c>
    </row>
    <row r="1524" spans="2:8" x14ac:dyDescent="0.25">
      <c r="B1524" s="114"/>
      <c r="C1524" s="114"/>
      <c r="D1524" s="114"/>
      <c r="G1524" s="120">
        <f>IF(ISERROR(MATCH(B1524,MASTER!$B:$B,0)),B1524,0)</f>
        <v>0</v>
      </c>
      <c r="H1524" s="120">
        <f>IF(ISERROR(MATCH(MASTER!B1529,'Peoplesoft Classlist'!$B:$B,0)),MASTER!B1529,0)</f>
        <v>0</v>
      </c>
    </row>
    <row r="1525" spans="2:8" x14ac:dyDescent="0.25">
      <c r="B1525" s="114"/>
      <c r="C1525" s="114"/>
      <c r="D1525" s="114"/>
      <c r="G1525" s="120">
        <f>IF(ISERROR(MATCH(B1525,MASTER!$B:$B,0)),B1525,0)</f>
        <v>0</v>
      </c>
      <c r="H1525" s="120">
        <f>IF(ISERROR(MATCH(MASTER!B1530,'Peoplesoft Classlist'!$B:$B,0)),MASTER!B1530,0)</f>
        <v>0</v>
      </c>
    </row>
    <row r="1526" spans="2:8" x14ac:dyDescent="0.25">
      <c r="B1526" s="114"/>
      <c r="C1526" s="114"/>
      <c r="D1526" s="114"/>
      <c r="G1526" s="120">
        <f>IF(ISERROR(MATCH(B1526,MASTER!$B:$B,0)),B1526,0)</f>
        <v>0</v>
      </c>
      <c r="H1526" s="120">
        <f>IF(ISERROR(MATCH(MASTER!B1531,'Peoplesoft Classlist'!$B:$B,0)),MASTER!B1531,0)</f>
        <v>0</v>
      </c>
    </row>
    <row r="1527" spans="2:8" x14ac:dyDescent="0.25">
      <c r="B1527" s="114"/>
      <c r="C1527" s="114"/>
      <c r="D1527" s="114"/>
      <c r="G1527" s="120">
        <f>IF(ISERROR(MATCH(B1527,MASTER!$B:$B,0)),B1527,0)</f>
        <v>0</v>
      </c>
      <c r="H1527" s="120">
        <f>IF(ISERROR(MATCH(MASTER!B1532,'Peoplesoft Classlist'!$B:$B,0)),MASTER!B1532,0)</f>
        <v>0</v>
      </c>
    </row>
    <row r="1528" spans="2:8" x14ac:dyDescent="0.25">
      <c r="B1528" s="114"/>
      <c r="C1528" s="114"/>
      <c r="D1528" s="114"/>
      <c r="G1528" s="120">
        <f>IF(ISERROR(MATCH(B1528,MASTER!$B:$B,0)),B1528,0)</f>
        <v>0</v>
      </c>
      <c r="H1528" s="120">
        <f>IF(ISERROR(MATCH(MASTER!B1533,'Peoplesoft Classlist'!$B:$B,0)),MASTER!B1533,0)</f>
        <v>0</v>
      </c>
    </row>
    <row r="1529" spans="2:8" x14ac:dyDescent="0.25">
      <c r="B1529" s="114"/>
      <c r="C1529" s="114"/>
      <c r="D1529" s="114"/>
      <c r="G1529" s="120">
        <f>IF(ISERROR(MATCH(B1529,MASTER!$B:$B,0)),B1529,0)</f>
        <v>0</v>
      </c>
      <c r="H1529" s="120">
        <f>IF(ISERROR(MATCH(MASTER!B1534,'Peoplesoft Classlist'!$B:$B,0)),MASTER!B1534,0)</f>
        <v>0</v>
      </c>
    </row>
    <row r="1530" spans="2:8" x14ac:dyDescent="0.25">
      <c r="B1530" s="114"/>
      <c r="C1530" s="114"/>
      <c r="D1530" s="114"/>
      <c r="G1530" s="120">
        <f>IF(ISERROR(MATCH(B1530,MASTER!$B:$B,0)),B1530,0)</f>
        <v>0</v>
      </c>
      <c r="H1530" s="120">
        <f>IF(ISERROR(MATCH(MASTER!B1535,'Peoplesoft Classlist'!$B:$B,0)),MASTER!B1535,0)</f>
        <v>0</v>
      </c>
    </row>
    <row r="1531" spans="2:8" x14ac:dyDescent="0.25">
      <c r="B1531" s="114"/>
      <c r="C1531" s="114"/>
      <c r="D1531" s="114"/>
      <c r="G1531" s="120">
        <f>IF(ISERROR(MATCH(B1531,MASTER!$B:$B,0)),B1531,0)</f>
        <v>0</v>
      </c>
      <c r="H1531" s="120">
        <f>IF(ISERROR(MATCH(MASTER!B1536,'Peoplesoft Classlist'!$B:$B,0)),MASTER!B1536,0)</f>
        <v>0</v>
      </c>
    </row>
    <row r="1532" spans="2:8" x14ac:dyDescent="0.25">
      <c r="B1532" s="114"/>
      <c r="C1532" s="114"/>
      <c r="D1532" s="114"/>
      <c r="G1532" s="120">
        <f>IF(ISERROR(MATCH(B1532,MASTER!$B:$B,0)),B1532,0)</f>
        <v>0</v>
      </c>
      <c r="H1532" s="120">
        <f>IF(ISERROR(MATCH(MASTER!B1537,'Peoplesoft Classlist'!$B:$B,0)),MASTER!B1537,0)</f>
        <v>0</v>
      </c>
    </row>
    <row r="1533" spans="2:8" x14ac:dyDescent="0.25">
      <c r="B1533" s="114"/>
      <c r="C1533" s="114"/>
      <c r="D1533" s="114"/>
      <c r="G1533" s="120">
        <f>IF(ISERROR(MATCH(B1533,MASTER!$B:$B,0)),B1533,0)</f>
        <v>0</v>
      </c>
      <c r="H1533" s="120">
        <f>IF(ISERROR(MATCH(MASTER!B1538,'Peoplesoft Classlist'!$B:$B,0)),MASTER!B1538,0)</f>
        <v>0</v>
      </c>
    </row>
    <row r="1534" spans="2:8" x14ac:dyDescent="0.25">
      <c r="B1534" s="114"/>
      <c r="C1534" s="114"/>
      <c r="D1534" s="114"/>
      <c r="G1534" s="120">
        <f>IF(ISERROR(MATCH(B1534,MASTER!$B:$B,0)),B1534,0)</f>
        <v>0</v>
      </c>
      <c r="H1534" s="120">
        <f>IF(ISERROR(MATCH(MASTER!B1539,'Peoplesoft Classlist'!$B:$B,0)),MASTER!B1539,0)</f>
        <v>0</v>
      </c>
    </row>
    <row r="1535" spans="2:8" x14ac:dyDescent="0.25">
      <c r="B1535" s="114"/>
      <c r="C1535" s="114"/>
      <c r="D1535" s="114"/>
      <c r="G1535" s="120">
        <f>IF(ISERROR(MATCH(B1535,MASTER!$B:$B,0)),B1535,0)</f>
        <v>0</v>
      </c>
      <c r="H1535" s="120">
        <f>IF(ISERROR(MATCH(MASTER!B1540,'Peoplesoft Classlist'!$B:$B,0)),MASTER!B1540,0)</f>
        <v>0</v>
      </c>
    </row>
    <row r="1536" spans="2:8" x14ac:dyDescent="0.25">
      <c r="B1536" s="114"/>
      <c r="C1536" s="114"/>
      <c r="D1536" s="114"/>
      <c r="G1536" s="120">
        <f>IF(ISERROR(MATCH(B1536,MASTER!$B:$B,0)),B1536,0)</f>
        <v>0</v>
      </c>
      <c r="H1536" s="120">
        <f>IF(ISERROR(MATCH(MASTER!B1541,'Peoplesoft Classlist'!$B:$B,0)),MASTER!B1541,0)</f>
        <v>0</v>
      </c>
    </row>
    <row r="1537" spans="2:8" x14ac:dyDescent="0.25">
      <c r="B1537" s="114"/>
      <c r="C1537" s="114"/>
      <c r="D1537" s="114"/>
      <c r="G1537" s="120">
        <f>IF(ISERROR(MATCH(B1537,MASTER!$B:$B,0)),B1537,0)</f>
        <v>0</v>
      </c>
      <c r="H1537" s="120">
        <f>IF(ISERROR(MATCH(MASTER!B1542,'Peoplesoft Classlist'!$B:$B,0)),MASTER!B1542,0)</f>
        <v>0</v>
      </c>
    </row>
    <row r="1538" spans="2:8" x14ac:dyDescent="0.25">
      <c r="B1538" s="114"/>
      <c r="C1538" s="114"/>
      <c r="D1538" s="114"/>
      <c r="G1538" s="120">
        <f>IF(ISERROR(MATCH(B1538,MASTER!$B:$B,0)),B1538,0)</f>
        <v>0</v>
      </c>
      <c r="H1538" s="120">
        <f>IF(ISERROR(MATCH(MASTER!B1543,'Peoplesoft Classlist'!$B:$B,0)),MASTER!B1543,0)</f>
        <v>0</v>
      </c>
    </row>
    <row r="1539" spans="2:8" x14ac:dyDescent="0.25">
      <c r="B1539" s="114"/>
      <c r="C1539" s="114"/>
      <c r="D1539" s="114"/>
      <c r="G1539" s="120">
        <f>IF(ISERROR(MATCH(B1539,MASTER!$B:$B,0)),B1539,0)</f>
        <v>0</v>
      </c>
      <c r="H1539" s="120">
        <f>IF(ISERROR(MATCH(MASTER!B1544,'Peoplesoft Classlist'!$B:$B,0)),MASTER!B1544,0)</f>
        <v>0</v>
      </c>
    </row>
    <row r="1540" spans="2:8" x14ac:dyDescent="0.25">
      <c r="B1540" s="114"/>
      <c r="C1540" s="114"/>
      <c r="D1540" s="114"/>
      <c r="G1540" s="120">
        <f>IF(ISERROR(MATCH(B1540,MASTER!$B:$B,0)),B1540,0)</f>
        <v>0</v>
      </c>
      <c r="H1540" s="120">
        <f>IF(ISERROR(MATCH(MASTER!B1545,'Peoplesoft Classlist'!$B:$B,0)),MASTER!B1545,0)</f>
        <v>0</v>
      </c>
    </row>
    <row r="1541" spans="2:8" x14ac:dyDescent="0.25">
      <c r="B1541" s="114"/>
      <c r="C1541" s="114"/>
      <c r="D1541" s="114"/>
      <c r="G1541" s="120">
        <f>IF(ISERROR(MATCH(B1541,MASTER!$B:$B,0)),B1541,0)</f>
        <v>0</v>
      </c>
      <c r="H1541" s="120">
        <f>IF(ISERROR(MATCH(MASTER!B1546,'Peoplesoft Classlist'!$B:$B,0)),MASTER!B1546,0)</f>
        <v>0</v>
      </c>
    </row>
    <row r="1542" spans="2:8" x14ac:dyDescent="0.25">
      <c r="B1542" s="114"/>
      <c r="C1542" s="114"/>
      <c r="D1542" s="114"/>
      <c r="G1542" s="120">
        <f>IF(ISERROR(MATCH(B1542,MASTER!$B:$B,0)),B1542,0)</f>
        <v>0</v>
      </c>
      <c r="H1542" s="120">
        <f>IF(ISERROR(MATCH(MASTER!B1547,'Peoplesoft Classlist'!$B:$B,0)),MASTER!B1547,0)</f>
        <v>0</v>
      </c>
    </row>
    <row r="1543" spans="2:8" x14ac:dyDescent="0.25">
      <c r="B1543" s="114"/>
      <c r="C1543" s="114"/>
      <c r="D1543" s="114"/>
      <c r="G1543" s="120">
        <f>IF(ISERROR(MATCH(B1543,MASTER!$B:$B,0)),B1543,0)</f>
        <v>0</v>
      </c>
      <c r="H1543" s="120">
        <f>IF(ISERROR(MATCH(MASTER!B1548,'Peoplesoft Classlist'!$B:$B,0)),MASTER!B1548,0)</f>
        <v>0</v>
      </c>
    </row>
    <row r="1544" spans="2:8" x14ac:dyDescent="0.25">
      <c r="B1544" s="114"/>
      <c r="C1544" s="114"/>
      <c r="D1544" s="114"/>
      <c r="G1544" s="120">
        <f>IF(ISERROR(MATCH(B1544,MASTER!$B:$B,0)),B1544,0)</f>
        <v>0</v>
      </c>
      <c r="H1544" s="120">
        <f>IF(ISERROR(MATCH(MASTER!B1549,'Peoplesoft Classlist'!$B:$B,0)),MASTER!B1549,0)</f>
        <v>0</v>
      </c>
    </row>
    <row r="1545" spans="2:8" x14ac:dyDescent="0.25">
      <c r="B1545" s="114"/>
      <c r="C1545" s="114"/>
      <c r="D1545" s="114"/>
      <c r="G1545" s="120">
        <f>IF(ISERROR(MATCH(B1545,MASTER!$B:$B,0)),B1545,0)</f>
        <v>0</v>
      </c>
      <c r="H1545" s="120">
        <f>IF(ISERROR(MATCH(MASTER!B1550,'Peoplesoft Classlist'!$B:$B,0)),MASTER!B1550,0)</f>
        <v>0</v>
      </c>
    </row>
    <row r="1546" spans="2:8" x14ac:dyDescent="0.25">
      <c r="B1546" s="114"/>
      <c r="C1546" s="114"/>
      <c r="D1546" s="114"/>
      <c r="G1546" s="120">
        <f>IF(ISERROR(MATCH(B1546,MASTER!$B:$B,0)),B1546,0)</f>
        <v>0</v>
      </c>
      <c r="H1546" s="120">
        <f>IF(ISERROR(MATCH(MASTER!B1551,'Peoplesoft Classlist'!$B:$B,0)),MASTER!B1551,0)</f>
        <v>0</v>
      </c>
    </row>
    <row r="1547" spans="2:8" x14ac:dyDescent="0.25">
      <c r="B1547" s="114"/>
      <c r="C1547" s="114"/>
      <c r="D1547" s="114"/>
      <c r="G1547" s="120">
        <f>IF(ISERROR(MATCH(B1547,MASTER!$B:$B,0)),B1547,0)</f>
        <v>0</v>
      </c>
      <c r="H1547" s="120">
        <f>IF(ISERROR(MATCH(MASTER!B1552,'Peoplesoft Classlist'!$B:$B,0)),MASTER!B1552,0)</f>
        <v>0</v>
      </c>
    </row>
    <row r="1548" spans="2:8" x14ac:dyDescent="0.25">
      <c r="B1548" s="114"/>
      <c r="C1548" s="114"/>
      <c r="D1548" s="114"/>
      <c r="G1548" s="120">
        <f>IF(ISERROR(MATCH(B1548,MASTER!$B:$B,0)),B1548,0)</f>
        <v>0</v>
      </c>
      <c r="H1548" s="120">
        <f>IF(ISERROR(MATCH(MASTER!B1553,'Peoplesoft Classlist'!$B:$B,0)),MASTER!B1553,0)</f>
        <v>0</v>
      </c>
    </row>
    <row r="1549" spans="2:8" x14ac:dyDescent="0.25">
      <c r="B1549" s="114"/>
      <c r="C1549" s="114"/>
      <c r="D1549" s="114"/>
      <c r="G1549" s="120">
        <f>IF(ISERROR(MATCH(B1549,MASTER!$B:$B,0)),B1549,0)</f>
        <v>0</v>
      </c>
      <c r="H1549" s="120">
        <f>IF(ISERROR(MATCH(MASTER!B1554,'Peoplesoft Classlist'!$B:$B,0)),MASTER!B1554,0)</f>
        <v>0</v>
      </c>
    </row>
    <row r="1550" spans="2:8" x14ac:dyDescent="0.25">
      <c r="B1550" s="114"/>
      <c r="C1550" s="114"/>
      <c r="D1550" s="114"/>
      <c r="G1550" s="120">
        <f>IF(ISERROR(MATCH(B1550,MASTER!$B:$B,0)),B1550,0)</f>
        <v>0</v>
      </c>
      <c r="H1550" s="120">
        <f>IF(ISERROR(MATCH(MASTER!B1555,'Peoplesoft Classlist'!$B:$B,0)),MASTER!B1555,0)</f>
        <v>0</v>
      </c>
    </row>
    <row r="1551" spans="2:8" x14ac:dyDescent="0.25">
      <c r="B1551" s="114"/>
      <c r="C1551" s="114"/>
      <c r="D1551" s="114"/>
      <c r="G1551" s="120">
        <f>IF(ISERROR(MATCH(B1551,MASTER!$B:$B,0)),B1551,0)</f>
        <v>0</v>
      </c>
      <c r="H1551" s="120">
        <f>IF(ISERROR(MATCH(MASTER!B1556,'Peoplesoft Classlist'!$B:$B,0)),MASTER!B1556,0)</f>
        <v>0</v>
      </c>
    </row>
    <row r="1552" spans="2:8" x14ac:dyDescent="0.25">
      <c r="B1552" s="114"/>
      <c r="C1552" s="114"/>
      <c r="D1552" s="114"/>
      <c r="G1552" s="120">
        <f>IF(ISERROR(MATCH(B1552,MASTER!$B:$B,0)),B1552,0)</f>
        <v>0</v>
      </c>
      <c r="H1552" s="120">
        <f>IF(ISERROR(MATCH(MASTER!B1557,'Peoplesoft Classlist'!$B:$B,0)),MASTER!B1557,0)</f>
        <v>0</v>
      </c>
    </row>
    <row r="1553" spans="2:8" x14ac:dyDescent="0.25">
      <c r="B1553" s="114"/>
      <c r="C1553" s="114"/>
      <c r="D1553" s="114"/>
      <c r="G1553" s="120">
        <f>IF(ISERROR(MATCH(B1553,MASTER!$B:$B,0)),B1553,0)</f>
        <v>0</v>
      </c>
      <c r="H1553" s="120">
        <f>IF(ISERROR(MATCH(MASTER!B1558,'Peoplesoft Classlist'!$B:$B,0)),MASTER!B1558,0)</f>
        <v>0</v>
      </c>
    </row>
    <row r="1554" spans="2:8" x14ac:dyDescent="0.25">
      <c r="B1554" s="114"/>
      <c r="C1554" s="114"/>
      <c r="D1554" s="114"/>
      <c r="G1554" s="120">
        <f>IF(ISERROR(MATCH(B1554,MASTER!$B:$B,0)),B1554,0)</f>
        <v>0</v>
      </c>
      <c r="H1554" s="120">
        <f>IF(ISERROR(MATCH(MASTER!B1559,'Peoplesoft Classlist'!$B:$B,0)),MASTER!B1559,0)</f>
        <v>0</v>
      </c>
    </row>
    <row r="1555" spans="2:8" x14ac:dyDescent="0.25">
      <c r="B1555" s="114"/>
      <c r="C1555" s="114"/>
      <c r="D1555" s="114"/>
      <c r="G1555" s="120">
        <f>IF(ISERROR(MATCH(B1555,MASTER!$B:$B,0)),B1555,0)</f>
        <v>0</v>
      </c>
      <c r="H1555" s="120">
        <f>IF(ISERROR(MATCH(MASTER!B1560,'Peoplesoft Classlist'!$B:$B,0)),MASTER!B1560,0)</f>
        <v>0</v>
      </c>
    </row>
    <row r="1556" spans="2:8" x14ac:dyDescent="0.25">
      <c r="B1556" s="114"/>
      <c r="C1556" s="114"/>
      <c r="D1556" s="114"/>
      <c r="G1556" s="120">
        <f>IF(ISERROR(MATCH(B1556,MASTER!$B:$B,0)),B1556,0)</f>
        <v>0</v>
      </c>
      <c r="H1556" s="120">
        <f>IF(ISERROR(MATCH(MASTER!B1561,'Peoplesoft Classlist'!$B:$B,0)),MASTER!B1561,0)</f>
        <v>0</v>
      </c>
    </row>
    <row r="1557" spans="2:8" x14ac:dyDescent="0.25">
      <c r="B1557" s="114"/>
      <c r="C1557" s="114"/>
      <c r="D1557" s="114"/>
      <c r="G1557" s="120">
        <f>IF(ISERROR(MATCH(B1557,MASTER!$B:$B,0)),B1557,0)</f>
        <v>0</v>
      </c>
      <c r="H1557" s="120">
        <f>IF(ISERROR(MATCH(MASTER!B1562,'Peoplesoft Classlist'!$B:$B,0)),MASTER!B1562,0)</f>
        <v>0</v>
      </c>
    </row>
    <row r="1558" spans="2:8" x14ac:dyDescent="0.25">
      <c r="B1558" s="114"/>
      <c r="C1558" s="114"/>
      <c r="D1558" s="114"/>
      <c r="G1558" s="120">
        <f>IF(ISERROR(MATCH(B1558,MASTER!$B:$B,0)),B1558,0)</f>
        <v>0</v>
      </c>
      <c r="H1558" s="120">
        <f>IF(ISERROR(MATCH(MASTER!B1563,'Peoplesoft Classlist'!$B:$B,0)),MASTER!B1563,0)</f>
        <v>0</v>
      </c>
    </row>
    <row r="1559" spans="2:8" x14ac:dyDescent="0.25">
      <c r="B1559" s="114"/>
      <c r="C1559" s="114"/>
      <c r="D1559" s="114"/>
      <c r="G1559" s="120">
        <f>IF(ISERROR(MATCH(B1559,MASTER!$B:$B,0)),B1559,0)</f>
        <v>0</v>
      </c>
      <c r="H1559" s="120">
        <f>IF(ISERROR(MATCH(MASTER!B1564,'Peoplesoft Classlist'!$B:$B,0)),MASTER!B1564,0)</f>
        <v>0</v>
      </c>
    </row>
    <row r="1560" spans="2:8" x14ac:dyDescent="0.25">
      <c r="B1560" s="114"/>
      <c r="C1560" s="114"/>
      <c r="D1560" s="114"/>
      <c r="G1560" s="120">
        <f>IF(ISERROR(MATCH(B1560,MASTER!$B:$B,0)),B1560,0)</f>
        <v>0</v>
      </c>
      <c r="H1560" s="120">
        <f>IF(ISERROR(MATCH(MASTER!B1565,'Peoplesoft Classlist'!$B:$B,0)),MASTER!B1565,0)</f>
        <v>0</v>
      </c>
    </row>
    <row r="1561" spans="2:8" x14ac:dyDescent="0.25">
      <c r="B1561" s="114"/>
      <c r="C1561" s="114"/>
      <c r="D1561" s="114"/>
      <c r="G1561" s="120">
        <f>IF(ISERROR(MATCH(B1561,MASTER!$B:$B,0)),B1561,0)</f>
        <v>0</v>
      </c>
      <c r="H1561" s="120">
        <f>IF(ISERROR(MATCH(MASTER!B1566,'Peoplesoft Classlist'!$B:$B,0)),MASTER!B1566,0)</f>
        <v>0</v>
      </c>
    </row>
    <row r="1562" spans="2:8" x14ac:dyDescent="0.25">
      <c r="B1562" s="114"/>
      <c r="C1562" s="114"/>
      <c r="D1562" s="114"/>
      <c r="G1562" s="120">
        <f>IF(ISERROR(MATCH(B1562,MASTER!$B:$B,0)),B1562,0)</f>
        <v>0</v>
      </c>
      <c r="H1562" s="120">
        <f>IF(ISERROR(MATCH(MASTER!B1567,'Peoplesoft Classlist'!$B:$B,0)),MASTER!B1567,0)</f>
        <v>0</v>
      </c>
    </row>
    <row r="1563" spans="2:8" x14ac:dyDescent="0.25">
      <c r="B1563" s="114"/>
      <c r="C1563" s="114"/>
      <c r="D1563" s="114"/>
      <c r="G1563" s="120">
        <f>IF(ISERROR(MATCH(B1563,MASTER!$B:$B,0)),B1563,0)</f>
        <v>0</v>
      </c>
      <c r="H1563" s="120">
        <f>IF(ISERROR(MATCH(MASTER!B1568,'Peoplesoft Classlist'!$B:$B,0)),MASTER!B1568,0)</f>
        <v>0</v>
      </c>
    </row>
    <row r="1564" spans="2:8" x14ac:dyDescent="0.25">
      <c r="B1564" s="114"/>
      <c r="C1564" s="114"/>
      <c r="D1564" s="114"/>
      <c r="G1564" s="120">
        <f>IF(ISERROR(MATCH(B1564,MASTER!$B:$B,0)),B1564,0)</f>
        <v>0</v>
      </c>
      <c r="H1564" s="120">
        <f>IF(ISERROR(MATCH(MASTER!B1569,'Peoplesoft Classlist'!$B:$B,0)),MASTER!B1569,0)</f>
        <v>0</v>
      </c>
    </row>
    <row r="1565" spans="2:8" x14ac:dyDescent="0.25">
      <c r="B1565" s="114"/>
      <c r="C1565" s="114"/>
      <c r="D1565" s="114"/>
      <c r="G1565" s="120">
        <f>IF(ISERROR(MATCH(B1565,MASTER!$B:$B,0)),B1565,0)</f>
        <v>0</v>
      </c>
      <c r="H1565" s="120">
        <f>IF(ISERROR(MATCH(MASTER!B1570,'Peoplesoft Classlist'!$B:$B,0)),MASTER!B1570,0)</f>
        <v>0</v>
      </c>
    </row>
    <row r="1566" spans="2:8" x14ac:dyDescent="0.25">
      <c r="B1566" s="114"/>
      <c r="C1566" s="114"/>
      <c r="D1566" s="114"/>
      <c r="G1566" s="120">
        <f>IF(ISERROR(MATCH(B1566,MASTER!$B:$B,0)),B1566,0)</f>
        <v>0</v>
      </c>
      <c r="H1566" s="120">
        <f>IF(ISERROR(MATCH(MASTER!B1571,'Peoplesoft Classlist'!$B:$B,0)),MASTER!B1571,0)</f>
        <v>0</v>
      </c>
    </row>
    <row r="1567" spans="2:8" x14ac:dyDescent="0.25">
      <c r="B1567" s="114"/>
      <c r="C1567" s="114"/>
      <c r="D1567" s="114"/>
      <c r="G1567" s="120">
        <f>IF(ISERROR(MATCH(B1567,MASTER!$B:$B,0)),B1567,0)</f>
        <v>0</v>
      </c>
      <c r="H1567" s="120">
        <f>IF(ISERROR(MATCH(MASTER!B1572,'Peoplesoft Classlist'!$B:$B,0)),MASTER!B1572,0)</f>
        <v>0</v>
      </c>
    </row>
    <row r="1568" spans="2:8" x14ac:dyDescent="0.25">
      <c r="B1568" s="114"/>
      <c r="C1568" s="114"/>
      <c r="D1568" s="114"/>
      <c r="G1568" s="120">
        <f>IF(ISERROR(MATCH(B1568,MASTER!$B:$B,0)),B1568,0)</f>
        <v>0</v>
      </c>
      <c r="H1568" s="120">
        <f>IF(ISERROR(MATCH(MASTER!B1573,'Peoplesoft Classlist'!$B:$B,0)),MASTER!B1573,0)</f>
        <v>0</v>
      </c>
    </row>
    <row r="1569" spans="2:8" x14ac:dyDescent="0.25">
      <c r="B1569" s="114"/>
      <c r="C1569" s="114"/>
      <c r="D1569" s="114"/>
      <c r="G1569" s="120">
        <f>IF(ISERROR(MATCH(B1569,MASTER!$B:$B,0)),B1569,0)</f>
        <v>0</v>
      </c>
      <c r="H1569" s="120">
        <f>IF(ISERROR(MATCH(MASTER!B1574,'Peoplesoft Classlist'!$B:$B,0)),MASTER!B1574,0)</f>
        <v>0</v>
      </c>
    </row>
    <row r="1570" spans="2:8" x14ac:dyDescent="0.25">
      <c r="B1570" s="114"/>
      <c r="C1570" s="114"/>
      <c r="D1570" s="114"/>
      <c r="G1570" s="120">
        <f>IF(ISERROR(MATCH(B1570,MASTER!$B:$B,0)),B1570,0)</f>
        <v>0</v>
      </c>
      <c r="H1570" s="120">
        <f>IF(ISERROR(MATCH(MASTER!B1575,'Peoplesoft Classlist'!$B:$B,0)),MASTER!B1575,0)</f>
        <v>0</v>
      </c>
    </row>
    <row r="1571" spans="2:8" x14ac:dyDescent="0.25">
      <c r="B1571" s="114"/>
      <c r="C1571" s="114"/>
      <c r="D1571" s="114"/>
      <c r="G1571" s="120">
        <f>IF(ISERROR(MATCH(B1571,MASTER!$B:$B,0)),B1571,0)</f>
        <v>0</v>
      </c>
      <c r="H1571" s="120">
        <f>IF(ISERROR(MATCH(MASTER!B1576,'Peoplesoft Classlist'!$B:$B,0)),MASTER!B1576,0)</f>
        <v>0</v>
      </c>
    </row>
    <row r="1572" spans="2:8" x14ac:dyDescent="0.25">
      <c r="B1572" s="114"/>
      <c r="C1572" s="114"/>
      <c r="D1572" s="114"/>
      <c r="G1572" s="120">
        <f>IF(ISERROR(MATCH(B1572,MASTER!$B:$B,0)),B1572,0)</f>
        <v>0</v>
      </c>
      <c r="H1572" s="120">
        <f>IF(ISERROR(MATCH(MASTER!B1577,'Peoplesoft Classlist'!$B:$B,0)),MASTER!B1577,0)</f>
        <v>0</v>
      </c>
    </row>
    <row r="1573" spans="2:8" x14ac:dyDescent="0.25">
      <c r="B1573" s="114"/>
      <c r="C1573" s="114"/>
      <c r="D1573" s="114"/>
      <c r="G1573" s="120">
        <f>IF(ISERROR(MATCH(B1573,MASTER!$B:$B,0)),B1573,0)</f>
        <v>0</v>
      </c>
      <c r="H1573" s="120">
        <f>IF(ISERROR(MATCH(MASTER!B1578,'Peoplesoft Classlist'!$B:$B,0)),MASTER!B1578,0)</f>
        <v>0</v>
      </c>
    </row>
    <row r="1574" spans="2:8" x14ac:dyDescent="0.25">
      <c r="B1574" s="114"/>
      <c r="C1574" s="114"/>
      <c r="D1574" s="114"/>
      <c r="G1574" s="120">
        <f>IF(ISERROR(MATCH(B1574,MASTER!$B:$B,0)),B1574,0)</f>
        <v>0</v>
      </c>
      <c r="H1574" s="120">
        <f>IF(ISERROR(MATCH(MASTER!B1579,'Peoplesoft Classlist'!$B:$B,0)),MASTER!B1579,0)</f>
        <v>0</v>
      </c>
    </row>
    <row r="1575" spans="2:8" x14ac:dyDescent="0.25">
      <c r="B1575" s="114"/>
      <c r="C1575" s="114"/>
      <c r="D1575" s="114"/>
      <c r="G1575" s="120">
        <f>IF(ISERROR(MATCH(B1575,MASTER!$B:$B,0)),B1575,0)</f>
        <v>0</v>
      </c>
      <c r="H1575" s="120">
        <f>IF(ISERROR(MATCH(MASTER!B1580,'Peoplesoft Classlist'!$B:$B,0)),MASTER!B1580,0)</f>
        <v>0</v>
      </c>
    </row>
    <row r="1576" spans="2:8" x14ac:dyDescent="0.25">
      <c r="B1576" s="114"/>
      <c r="C1576" s="114"/>
      <c r="D1576" s="114"/>
      <c r="G1576" s="120">
        <f>IF(ISERROR(MATCH(B1576,MASTER!$B:$B,0)),B1576,0)</f>
        <v>0</v>
      </c>
      <c r="H1576" s="120">
        <f>IF(ISERROR(MATCH(MASTER!B1581,'Peoplesoft Classlist'!$B:$B,0)),MASTER!B1581,0)</f>
        <v>0</v>
      </c>
    </row>
    <row r="1577" spans="2:8" x14ac:dyDescent="0.25">
      <c r="B1577" s="114"/>
      <c r="C1577" s="114"/>
      <c r="D1577" s="114"/>
      <c r="G1577" s="120">
        <f>IF(ISERROR(MATCH(B1577,MASTER!$B:$B,0)),B1577,0)</f>
        <v>0</v>
      </c>
      <c r="H1577" s="120">
        <f>IF(ISERROR(MATCH(MASTER!B1582,'Peoplesoft Classlist'!$B:$B,0)),MASTER!B1582,0)</f>
        <v>0</v>
      </c>
    </row>
    <row r="1578" spans="2:8" x14ac:dyDescent="0.25">
      <c r="B1578" s="114"/>
      <c r="C1578" s="114"/>
      <c r="D1578" s="114"/>
      <c r="G1578" s="120">
        <f>IF(ISERROR(MATCH(B1578,MASTER!$B:$B,0)),B1578,0)</f>
        <v>0</v>
      </c>
      <c r="H1578" s="120">
        <f>IF(ISERROR(MATCH(MASTER!B1583,'Peoplesoft Classlist'!$B:$B,0)),MASTER!B1583,0)</f>
        <v>0</v>
      </c>
    </row>
    <row r="1579" spans="2:8" x14ac:dyDescent="0.25">
      <c r="B1579" s="114"/>
      <c r="C1579" s="114"/>
      <c r="D1579" s="114"/>
      <c r="G1579" s="120">
        <f>IF(ISERROR(MATCH(B1579,MASTER!$B:$B,0)),B1579,0)</f>
        <v>0</v>
      </c>
      <c r="H1579" s="120">
        <f>IF(ISERROR(MATCH(MASTER!B1584,'Peoplesoft Classlist'!$B:$B,0)),MASTER!B1584,0)</f>
        <v>0</v>
      </c>
    </row>
    <row r="1580" spans="2:8" x14ac:dyDescent="0.25">
      <c r="B1580" s="114"/>
      <c r="C1580" s="114"/>
      <c r="D1580" s="114"/>
      <c r="G1580" s="120">
        <f>IF(ISERROR(MATCH(B1580,MASTER!$B:$B,0)),B1580,0)</f>
        <v>0</v>
      </c>
      <c r="H1580" s="120">
        <f>IF(ISERROR(MATCH(MASTER!B1585,'Peoplesoft Classlist'!$B:$B,0)),MASTER!B1585,0)</f>
        <v>0</v>
      </c>
    </row>
    <row r="1581" spans="2:8" x14ac:dyDescent="0.25">
      <c r="B1581" s="114"/>
      <c r="C1581" s="114"/>
      <c r="D1581" s="114"/>
      <c r="G1581" s="120">
        <f>IF(ISERROR(MATCH(B1581,MASTER!$B:$B,0)),B1581,0)</f>
        <v>0</v>
      </c>
      <c r="H1581" s="120">
        <f>IF(ISERROR(MATCH(MASTER!B1586,'Peoplesoft Classlist'!$B:$B,0)),MASTER!B1586,0)</f>
        <v>0</v>
      </c>
    </row>
    <row r="1582" spans="2:8" x14ac:dyDescent="0.25">
      <c r="B1582" s="114"/>
      <c r="C1582" s="114"/>
      <c r="D1582" s="114"/>
      <c r="G1582" s="120">
        <f>IF(ISERROR(MATCH(B1582,MASTER!$B:$B,0)),B1582,0)</f>
        <v>0</v>
      </c>
      <c r="H1582" s="120">
        <f>IF(ISERROR(MATCH(MASTER!B1587,'Peoplesoft Classlist'!$B:$B,0)),MASTER!B1587,0)</f>
        <v>0</v>
      </c>
    </row>
    <row r="1583" spans="2:8" x14ac:dyDescent="0.25">
      <c r="B1583" s="114"/>
      <c r="C1583" s="114"/>
      <c r="D1583" s="114"/>
      <c r="G1583" s="120">
        <f>IF(ISERROR(MATCH(B1583,MASTER!$B:$B,0)),B1583,0)</f>
        <v>0</v>
      </c>
      <c r="H1583" s="120">
        <f>IF(ISERROR(MATCH(MASTER!B1588,'Peoplesoft Classlist'!$B:$B,0)),MASTER!B1588,0)</f>
        <v>0</v>
      </c>
    </row>
    <row r="1584" spans="2:8" x14ac:dyDescent="0.25">
      <c r="B1584" s="114"/>
      <c r="C1584" s="114"/>
      <c r="D1584" s="114"/>
      <c r="G1584" s="120">
        <f>IF(ISERROR(MATCH(B1584,MASTER!$B:$B,0)),B1584,0)</f>
        <v>0</v>
      </c>
      <c r="H1584" s="120">
        <f>IF(ISERROR(MATCH(MASTER!B1589,'Peoplesoft Classlist'!$B:$B,0)),MASTER!B1589,0)</f>
        <v>0</v>
      </c>
    </row>
    <row r="1585" spans="2:8" x14ac:dyDescent="0.25">
      <c r="B1585" s="114"/>
      <c r="C1585" s="114"/>
      <c r="D1585" s="114"/>
      <c r="G1585" s="120">
        <f>IF(ISERROR(MATCH(B1585,MASTER!$B:$B,0)),B1585,0)</f>
        <v>0</v>
      </c>
      <c r="H1585" s="120">
        <f>IF(ISERROR(MATCH(MASTER!B1590,'Peoplesoft Classlist'!$B:$B,0)),MASTER!B1590,0)</f>
        <v>0</v>
      </c>
    </row>
    <row r="1586" spans="2:8" x14ac:dyDescent="0.25">
      <c r="B1586" s="114"/>
      <c r="C1586" s="114"/>
      <c r="D1586" s="114"/>
      <c r="G1586" s="120">
        <f>IF(ISERROR(MATCH(B1586,MASTER!$B:$B,0)),B1586,0)</f>
        <v>0</v>
      </c>
      <c r="H1586" s="120">
        <f>IF(ISERROR(MATCH(MASTER!B1591,'Peoplesoft Classlist'!$B:$B,0)),MASTER!B1591,0)</f>
        <v>0</v>
      </c>
    </row>
    <row r="1587" spans="2:8" x14ac:dyDescent="0.25">
      <c r="B1587" s="114"/>
      <c r="C1587" s="114"/>
      <c r="D1587" s="114"/>
      <c r="G1587" s="120">
        <f>IF(ISERROR(MATCH(B1587,MASTER!$B:$B,0)),B1587,0)</f>
        <v>0</v>
      </c>
      <c r="H1587" s="120">
        <f>IF(ISERROR(MATCH(MASTER!B1592,'Peoplesoft Classlist'!$B:$B,0)),MASTER!B1592,0)</f>
        <v>0</v>
      </c>
    </row>
    <row r="1588" spans="2:8" x14ac:dyDescent="0.25">
      <c r="B1588" s="114"/>
      <c r="C1588" s="114"/>
      <c r="D1588" s="114"/>
      <c r="G1588" s="120">
        <f>IF(ISERROR(MATCH(B1588,MASTER!$B:$B,0)),B1588,0)</f>
        <v>0</v>
      </c>
      <c r="H1588" s="120">
        <f>IF(ISERROR(MATCH(MASTER!B1593,'Peoplesoft Classlist'!$B:$B,0)),MASTER!B1593,0)</f>
        <v>0</v>
      </c>
    </row>
    <row r="1589" spans="2:8" x14ac:dyDescent="0.25">
      <c r="B1589" s="114"/>
      <c r="C1589" s="114"/>
      <c r="D1589" s="114"/>
      <c r="G1589" s="120">
        <f>IF(ISERROR(MATCH(B1589,MASTER!$B:$B,0)),B1589,0)</f>
        <v>0</v>
      </c>
      <c r="H1589" s="120">
        <f>IF(ISERROR(MATCH(MASTER!B1594,'Peoplesoft Classlist'!$B:$B,0)),MASTER!B1594,0)</f>
        <v>0</v>
      </c>
    </row>
    <row r="1590" spans="2:8" x14ac:dyDescent="0.25">
      <c r="B1590" s="114"/>
      <c r="C1590" s="114"/>
      <c r="D1590" s="114"/>
      <c r="G1590" s="120">
        <f>IF(ISERROR(MATCH(B1590,MASTER!$B:$B,0)),B1590,0)</f>
        <v>0</v>
      </c>
      <c r="H1590" s="120">
        <f>IF(ISERROR(MATCH(MASTER!B1595,'Peoplesoft Classlist'!$B:$B,0)),MASTER!B1595,0)</f>
        <v>0</v>
      </c>
    </row>
    <row r="1591" spans="2:8" x14ac:dyDescent="0.25">
      <c r="B1591" s="114"/>
      <c r="C1591" s="114"/>
      <c r="D1591" s="114"/>
      <c r="G1591" s="120">
        <f>IF(ISERROR(MATCH(B1591,MASTER!$B:$B,0)),B1591,0)</f>
        <v>0</v>
      </c>
      <c r="H1591" s="120">
        <f>IF(ISERROR(MATCH(MASTER!B1596,'Peoplesoft Classlist'!$B:$B,0)),MASTER!B1596,0)</f>
        <v>0</v>
      </c>
    </row>
    <row r="1592" spans="2:8" x14ac:dyDescent="0.25">
      <c r="B1592" s="114"/>
      <c r="C1592" s="114"/>
      <c r="D1592" s="114"/>
      <c r="G1592" s="120">
        <f>IF(ISERROR(MATCH(B1592,MASTER!$B:$B,0)),B1592,0)</f>
        <v>0</v>
      </c>
      <c r="H1592" s="120">
        <f>IF(ISERROR(MATCH(MASTER!B1597,'Peoplesoft Classlist'!$B:$B,0)),MASTER!B1597,0)</f>
        <v>0</v>
      </c>
    </row>
    <row r="1593" spans="2:8" x14ac:dyDescent="0.25">
      <c r="B1593" s="114"/>
      <c r="C1593" s="114"/>
      <c r="D1593" s="114"/>
      <c r="G1593" s="120">
        <f>IF(ISERROR(MATCH(B1593,MASTER!$B:$B,0)),B1593,0)</f>
        <v>0</v>
      </c>
      <c r="H1593" s="120">
        <f>IF(ISERROR(MATCH(MASTER!B1598,'Peoplesoft Classlist'!$B:$B,0)),MASTER!B1598,0)</f>
        <v>0</v>
      </c>
    </row>
    <row r="1594" spans="2:8" x14ac:dyDescent="0.25">
      <c r="B1594" s="114"/>
      <c r="C1594" s="114"/>
      <c r="D1594" s="114"/>
      <c r="G1594" s="120">
        <f>IF(ISERROR(MATCH(B1594,MASTER!$B:$B,0)),B1594,0)</f>
        <v>0</v>
      </c>
      <c r="H1594" s="120">
        <f>IF(ISERROR(MATCH(MASTER!B1599,'Peoplesoft Classlist'!$B:$B,0)),MASTER!B1599,0)</f>
        <v>0</v>
      </c>
    </row>
    <row r="1595" spans="2:8" x14ac:dyDescent="0.25">
      <c r="B1595" s="114"/>
      <c r="C1595" s="114"/>
      <c r="D1595" s="114"/>
      <c r="G1595" s="120">
        <f>IF(ISERROR(MATCH(B1595,MASTER!$B:$B,0)),B1595,0)</f>
        <v>0</v>
      </c>
      <c r="H1595" s="120">
        <f>IF(ISERROR(MATCH(MASTER!B1600,'Peoplesoft Classlist'!$B:$B,0)),MASTER!B1600,0)</f>
        <v>0</v>
      </c>
    </row>
    <row r="1596" spans="2:8" x14ac:dyDescent="0.25">
      <c r="B1596" s="114"/>
      <c r="C1596" s="114"/>
      <c r="D1596" s="114"/>
      <c r="G1596" s="120">
        <f>IF(ISERROR(MATCH(B1596,MASTER!$B:$B,0)),B1596,0)</f>
        <v>0</v>
      </c>
      <c r="H1596" s="120">
        <f>IF(ISERROR(MATCH(MASTER!B1601,'Peoplesoft Classlist'!$B:$B,0)),MASTER!B1601,0)</f>
        <v>0</v>
      </c>
    </row>
    <row r="1597" spans="2:8" x14ac:dyDescent="0.25">
      <c r="B1597" s="114"/>
      <c r="C1597" s="114"/>
      <c r="D1597" s="114"/>
      <c r="G1597" s="120">
        <f>IF(ISERROR(MATCH(B1597,MASTER!$B:$B,0)),B1597,0)</f>
        <v>0</v>
      </c>
      <c r="H1597" s="120">
        <f>IF(ISERROR(MATCH(MASTER!B1602,'Peoplesoft Classlist'!$B:$B,0)),MASTER!B1602,0)</f>
        <v>0</v>
      </c>
    </row>
    <row r="1598" spans="2:8" x14ac:dyDescent="0.25">
      <c r="B1598" s="114"/>
      <c r="C1598" s="114"/>
      <c r="D1598" s="114"/>
      <c r="G1598" s="120">
        <f>IF(ISERROR(MATCH(B1598,MASTER!$B:$B,0)),B1598,0)</f>
        <v>0</v>
      </c>
      <c r="H1598" s="120">
        <f>IF(ISERROR(MATCH(MASTER!B1602,'Peoplesoft Classlist'!$B:$B,0)),MASTER!B1602,0)</f>
        <v>0</v>
      </c>
    </row>
    <row r="1599" spans="2:8" x14ac:dyDescent="0.25">
      <c r="B1599" s="114"/>
      <c r="C1599" s="114"/>
      <c r="D1599" s="114"/>
      <c r="G1599" s="120">
        <f>IF(ISERROR(MATCH(B1599,MASTER!$B:$B,0)),B1599,0)</f>
        <v>0</v>
      </c>
      <c r="H1599" s="120">
        <f>IF(ISERROR(MATCH(MASTER!B1603,'Peoplesoft Classlist'!$B:$B,0)),MASTER!B1603,0)</f>
        <v>0</v>
      </c>
    </row>
    <row r="1600" spans="2:8" x14ac:dyDescent="0.25">
      <c r="B1600" s="114"/>
      <c r="C1600" s="114"/>
      <c r="D1600" s="114"/>
      <c r="G1600" s="120">
        <f>IF(ISERROR(MATCH(B1600,MASTER!$B:$B,0)),B1600,0)</f>
        <v>0</v>
      </c>
      <c r="H1600" s="120">
        <f>IF(ISERROR(MATCH(MASTER!B1604,'Peoplesoft Classlist'!$B:$B,0)),MASTER!B1604,0)</f>
        <v>0</v>
      </c>
    </row>
    <row r="1601" spans="2:8" x14ac:dyDescent="0.25">
      <c r="B1601" s="114"/>
      <c r="C1601" s="114"/>
      <c r="D1601" s="114"/>
      <c r="G1601" s="120">
        <f>IF(ISERROR(MATCH(B1601,MASTER!$B:$B,0)),B1601,0)</f>
        <v>0</v>
      </c>
      <c r="H1601" s="120">
        <f>IF(ISERROR(MATCH(MASTER!B1605,'Peoplesoft Classlist'!$B:$B,0)),MASTER!B1605,0)</f>
        <v>0</v>
      </c>
    </row>
    <row r="1602" spans="2:8" x14ac:dyDescent="0.25">
      <c r="B1602" s="114"/>
      <c r="C1602" s="114"/>
      <c r="D1602" s="114"/>
      <c r="G1602" s="120">
        <f>IF(ISERROR(MATCH(B1602,MASTER!$B:$B,0)),B1602,0)</f>
        <v>0</v>
      </c>
      <c r="H1602" s="120">
        <f>IF(ISERROR(MATCH(MASTER!B1606,'Peoplesoft Classlist'!$B:$B,0)),MASTER!B1606,0)</f>
        <v>0</v>
      </c>
    </row>
    <row r="1603" spans="2:8" x14ac:dyDescent="0.25">
      <c r="B1603" s="114"/>
      <c r="C1603" s="114"/>
      <c r="D1603" s="114"/>
      <c r="G1603" s="120">
        <f>IF(ISERROR(MATCH(B1603,MASTER!$B:$B,0)),B1603,0)</f>
        <v>0</v>
      </c>
      <c r="H1603" s="120">
        <f>IF(ISERROR(MATCH(MASTER!B1607,'Peoplesoft Classlist'!$B:$B,0)),MASTER!B1607,0)</f>
        <v>0</v>
      </c>
    </row>
    <row r="1604" spans="2:8" x14ac:dyDescent="0.25">
      <c r="B1604" s="114"/>
      <c r="C1604" s="114"/>
      <c r="D1604" s="114"/>
      <c r="G1604" s="120">
        <f>IF(ISERROR(MATCH(B1604,MASTER!$B:$B,0)),B1604,0)</f>
        <v>0</v>
      </c>
      <c r="H1604" s="120">
        <f>IF(ISERROR(MATCH(MASTER!B1608,'Peoplesoft Classlist'!$B:$B,0)),MASTER!B1608,0)</f>
        <v>0</v>
      </c>
    </row>
    <row r="1605" spans="2:8" x14ac:dyDescent="0.25">
      <c r="B1605" s="114"/>
      <c r="C1605" s="114"/>
      <c r="D1605" s="114"/>
      <c r="G1605" s="120">
        <f>IF(ISERROR(MATCH(B1605,MASTER!$B:$B,0)),B1605,0)</f>
        <v>0</v>
      </c>
      <c r="H1605" s="120">
        <f>IF(ISERROR(MATCH(MASTER!B1609,'Peoplesoft Classlist'!$B:$B,0)),MASTER!B1609,0)</f>
        <v>0</v>
      </c>
    </row>
    <row r="1606" spans="2:8" x14ac:dyDescent="0.25">
      <c r="B1606" s="114"/>
      <c r="C1606" s="114"/>
      <c r="D1606" s="114"/>
      <c r="G1606" s="120">
        <f>IF(ISERROR(MATCH(B1606,MASTER!$B:$B,0)),B1606,0)</f>
        <v>0</v>
      </c>
      <c r="H1606" s="120">
        <f>IF(ISERROR(MATCH(MASTER!B1610,'Peoplesoft Classlist'!$B:$B,0)),MASTER!B1610,0)</f>
        <v>0</v>
      </c>
    </row>
    <row r="1607" spans="2:8" x14ac:dyDescent="0.25">
      <c r="B1607" s="114"/>
      <c r="C1607" s="114"/>
      <c r="D1607" s="114"/>
      <c r="G1607" s="120">
        <f>IF(ISERROR(MATCH(B1607,MASTER!$B:$B,0)),B1607,0)</f>
        <v>0</v>
      </c>
      <c r="H1607" s="120">
        <f>IF(ISERROR(MATCH(MASTER!B1611,'Peoplesoft Classlist'!$B:$B,0)),MASTER!B1611,0)</f>
        <v>0</v>
      </c>
    </row>
    <row r="1608" spans="2:8" x14ac:dyDescent="0.25">
      <c r="B1608" s="114"/>
      <c r="C1608" s="114"/>
      <c r="D1608" s="114"/>
      <c r="G1608" s="120">
        <f>IF(ISERROR(MATCH(B1608,MASTER!$B:$B,0)),B1608,0)</f>
        <v>0</v>
      </c>
      <c r="H1608" s="120">
        <f>IF(ISERROR(MATCH(MASTER!B1612,'Peoplesoft Classlist'!$B:$B,0)),MASTER!B1612,0)</f>
        <v>0</v>
      </c>
    </row>
    <row r="1609" spans="2:8" x14ac:dyDescent="0.25">
      <c r="B1609" s="114"/>
      <c r="C1609" s="114"/>
      <c r="D1609" s="114"/>
      <c r="G1609" s="120">
        <f>IF(ISERROR(MATCH(B1609,MASTER!$B:$B,0)),B1609,0)</f>
        <v>0</v>
      </c>
      <c r="H1609" s="120">
        <f>IF(ISERROR(MATCH(MASTER!B1613,'Peoplesoft Classlist'!$B:$B,0)),MASTER!B1613,0)</f>
        <v>0</v>
      </c>
    </row>
    <row r="1610" spans="2:8" x14ac:dyDescent="0.25">
      <c r="B1610" s="114"/>
      <c r="C1610" s="114"/>
      <c r="D1610" s="114"/>
      <c r="G1610" s="120">
        <f>IF(ISERROR(MATCH(B1610,MASTER!$B:$B,0)),B1610,0)</f>
        <v>0</v>
      </c>
      <c r="H1610" s="120">
        <f>IF(ISERROR(MATCH(MASTER!B1614,'Peoplesoft Classlist'!$B:$B,0)),MASTER!B1614,0)</f>
        <v>0</v>
      </c>
    </row>
    <row r="1611" spans="2:8" x14ac:dyDescent="0.25">
      <c r="B1611" s="114"/>
      <c r="C1611" s="114"/>
      <c r="D1611" s="114"/>
      <c r="G1611" s="120">
        <f>IF(ISERROR(MATCH(B1611,MASTER!$B:$B,0)),B1611,0)</f>
        <v>0</v>
      </c>
      <c r="H1611" s="120">
        <f>IF(ISERROR(MATCH(MASTER!B1615,'Peoplesoft Classlist'!$B:$B,0)),MASTER!B1615,0)</f>
        <v>0</v>
      </c>
    </row>
    <row r="1612" spans="2:8" x14ac:dyDescent="0.25">
      <c r="B1612" s="114"/>
      <c r="C1612" s="114"/>
      <c r="D1612" s="114"/>
      <c r="G1612" s="120">
        <f>IF(ISERROR(MATCH(B1612,MASTER!$B:$B,0)),B1612,0)</f>
        <v>0</v>
      </c>
      <c r="H1612" s="120">
        <f>IF(ISERROR(MATCH(MASTER!B1616,'Peoplesoft Classlist'!$B:$B,0)),MASTER!B1616,0)</f>
        <v>0</v>
      </c>
    </row>
    <row r="1613" spans="2:8" x14ac:dyDescent="0.25">
      <c r="B1613" s="114"/>
      <c r="C1613" s="114"/>
      <c r="D1613" s="114"/>
      <c r="G1613" s="120">
        <f>IF(ISERROR(MATCH(B1613,MASTER!$B:$B,0)),B1613,0)</f>
        <v>0</v>
      </c>
      <c r="H1613" s="120">
        <f>IF(ISERROR(MATCH(MASTER!B1617,'Peoplesoft Classlist'!$B:$B,0)),MASTER!B1617,0)</f>
        <v>0</v>
      </c>
    </row>
    <row r="1614" spans="2:8" x14ac:dyDescent="0.25">
      <c r="B1614" s="114"/>
      <c r="C1614" s="114"/>
      <c r="D1614" s="114"/>
      <c r="G1614" s="120">
        <f>IF(ISERROR(MATCH(B1614,MASTER!$B:$B,0)),B1614,0)</f>
        <v>0</v>
      </c>
      <c r="H1614" s="120">
        <f>IF(ISERROR(MATCH(MASTER!B1618,'Peoplesoft Classlist'!$B:$B,0)),MASTER!B1618,0)</f>
        <v>0</v>
      </c>
    </row>
    <row r="1615" spans="2:8" x14ac:dyDescent="0.25">
      <c r="B1615" s="114"/>
      <c r="C1615" s="114"/>
      <c r="D1615" s="114"/>
      <c r="G1615" s="120">
        <f>IF(ISERROR(MATCH(B1615,MASTER!$B:$B,0)),B1615,0)</f>
        <v>0</v>
      </c>
      <c r="H1615" s="120">
        <f>IF(ISERROR(MATCH(MASTER!B1619,'Peoplesoft Classlist'!$B:$B,0)),MASTER!B1619,0)</f>
        <v>0</v>
      </c>
    </row>
    <row r="1616" spans="2:8" x14ac:dyDescent="0.25">
      <c r="B1616" s="114"/>
      <c r="C1616" s="114"/>
      <c r="D1616" s="114"/>
      <c r="G1616" s="120">
        <f>IF(ISERROR(MATCH(B1616,MASTER!$B:$B,0)),B1616,0)</f>
        <v>0</v>
      </c>
      <c r="H1616" s="120">
        <f>IF(ISERROR(MATCH(MASTER!B1620,'Peoplesoft Classlist'!$B:$B,0)),MASTER!B1620,0)</f>
        <v>0</v>
      </c>
    </row>
    <row r="1617" spans="2:8" x14ac:dyDescent="0.25">
      <c r="B1617" s="114"/>
      <c r="C1617" s="114"/>
      <c r="D1617" s="114"/>
      <c r="G1617" s="120">
        <f>IF(ISERROR(MATCH(B1617,MASTER!$B:$B,0)),B1617,0)</f>
        <v>0</v>
      </c>
      <c r="H1617" s="120">
        <f>IF(ISERROR(MATCH(MASTER!B1621,'Peoplesoft Classlist'!$B:$B,0)),MASTER!B1621,0)</f>
        <v>0</v>
      </c>
    </row>
    <row r="1618" spans="2:8" x14ac:dyDescent="0.25">
      <c r="B1618" s="114"/>
      <c r="C1618" s="114"/>
      <c r="D1618" s="114"/>
      <c r="G1618" s="120">
        <f>IF(ISERROR(MATCH(B1618,MASTER!$B:$B,0)),B1618,0)</f>
        <v>0</v>
      </c>
      <c r="H1618" s="120">
        <f>IF(ISERROR(MATCH(MASTER!B1622,'Peoplesoft Classlist'!$B:$B,0)),MASTER!B1622,0)</f>
        <v>0</v>
      </c>
    </row>
    <row r="1619" spans="2:8" x14ac:dyDescent="0.25">
      <c r="B1619" s="114"/>
      <c r="C1619" s="114"/>
      <c r="D1619" s="114"/>
      <c r="G1619" s="120">
        <f>IF(ISERROR(MATCH(B1619,MASTER!$B:$B,0)),B1619,0)</f>
        <v>0</v>
      </c>
      <c r="H1619" s="120">
        <f>IF(ISERROR(MATCH(MASTER!B1623,'Peoplesoft Classlist'!$B:$B,0)),MASTER!B1623,0)</f>
        <v>0</v>
      </c>
    </row>
    <row r="1620" spans="2:8" x14ac:dyDescent="0.25">
      <c r="B1620" s="114"/>
      <c r="C1620" s="114"/>
      <c r="D1620" s="114"/>
      <c r="G1620" s="120">
        <f>IF(ISERROR(MATCH(B1620,MASTER!$B:$B,0)),B1620,0)</f>
        <v>0</v>
      </c>
      <c r="H1620" s="120">
        <f>IF(ISERROR(MATCH(MASTER!B1624,'Peoplesoft Classlist'!$B:$B,0)),MASTER!B1624,0)</f>
        <v>0</v>
      </c>
    </row>
    <row r="1621" spans="2:8" x14ac:dyDescent="0.25">
      <c r="B1621" s="114"/>
      <c r="C1621" s="114"/>
      <c r="D1621" s="114"/>
      <c r="G1621" s="120">
        <f>IF(ISERROR(MATCH(B1621,MASTER!$B:$B,0)),B1621,0)</f>
        <v>0</v>
      </c>
      <c r="H1621" s="120">
        <f>IF(ISERROR(MATCH(MASTER!B1625,'Peoplesoft Classlist'!$B:$B,0)),MASTER!B1625,0)</f>
        <v>0</v>
      </c>
    </row>
    <row r="1622" spans="2:8" x14ac:dyDescent="0.25">
      <c r="B1622" s="114"/>
      <c r="C1622" s="114"/>
      <c r="D1622" s="114"/>
      <c r="G1622" s="120">
        <f>IF(ISERROR(MATCH(B1622,MASTER!$B:$B,0)),B1622,0)</f>
        <v>0</v>
      </c>
      <c r="H1622" s="120">
        <f>IF(ISERROR(MATCH(MASTER!B1626,'Peoplesoft Classlist'!$B:$B,0)),MASTER!B1626,0)</f>
        <v>0</v>
      </c>
    </row>
    <row r="1623" spans="2:8" x14ac:dyDescent="0.25">
      <c r="B1623" s="114"/>
      <c r="C1623" s="114"/>
      <c r="D1623" s="114"/>
      <c r="G1623" s="120">
        <f>IF(ISERROR(MATCH(B1623,MASTER!$B:$B,0)),B1623,0)</f>
        <v>0</v>
      </c>
      <c r="H1623" s="120">
        <f>IF(ISERROR(MATCH(MASTER!B1627,'Peoplesoft Classlist'!$B:$B,0)),MASTER!B1627,0)</f>
        <v>0</v>
      </c>
    </row>
    <row r="1624" spans="2:8" x14ac:dyDescent="0.25">
      <c r="B1624" s="114"/>
      <c r="C1624" s="114"/>
      <c r="D1624" s="114"/>
      <c r="G1624" s="120">
        <f>IF(ISERROR(MATCH(B1624,MASTER!$B:$B,0)),B1624,0)</f>
        <v>0</v>
      </c>
      <c r="H1624" s="120">
        <f>IF(ISERROR(MATCH(MASTER!B1628,'Peoplesoft Classlist'!$B:$B,0)),MASTER!B1628,0)</f>
        <v>0</v>
      </c>
    </row>
    <row r="1625" spans="2:8" x14ac:dyDescent="0.25">
      <c r="B1625" s="114"/>
      <c r="C1625" s="114"/>
      <c r="D1625" s="114"/>
      <c r="G1625" s="120">
        <f>IF(ISERROR(MATCH(B1625,MASTER!$B:$B,0)),B1625,0)</f>
        <v>0</v>
      </c>
      <c r="H1625" s="120">
        <f>IF(ISERROR(MATCH(MASTER!B1629,'Peoplesoft Classlist'!$B:$B,0)),MASTER!B1629,0)</f>
        <v>0</v>
      </c>
    </row>
    <row r="1626" spans="2:8" x14ac:dyDescent="0.25">
      <c r="B1626" s="114"/>
      <c r="C1626" s="114"/>
      <c r="D1626" s="114"/>
      <c r="G1626" s="120">
        <f>IF(ISERROR(MATCH(B1626,MASTER!$B:$B,0)),B1626,0)</f>
        <v>0</v>
      </c>
      <c r="H1626" s="120">
        <f>IF(ISERROR(MATCH(MASTER!B1630,'Peoplesoft Classlist'!$B:$B,0)),MASTER!B1630,0)</f>
        <v>0</v>
      </c>
    </row>
    <row r="1627" spans="2:8" x14ac:dyDescent="0.25">
      <c r="B1627" s="114"/>
      <c r="C1627" s="114"/>
      <c r="D1627" s="114"/>
      <c r="G1627" s="120">
        <f>IF(ISERROR(MATCH(B1627,MASTER!$B:$B,0)),B1627,0)</f>
        <v>0</v>
      </c>
      <c r="H1627" s="120">
        <f>IF(ISERROR(MATCH(MASTER!B1631,'Peoplesoft Classlist'!$B:$B,0)),MASTER!B1631,0)</f>
        <v>0</v>
      </c>
    </row>
    <row r="1628" spans="2:8" x14ac:dyDescent="0.25">
      <c r="B1628" s="114"/>
      <c r="C1628" s="114"/>
      <c r="D1628" s="114"/>
      <c r="G1628" s="120">
        <f>IF(ISERROR(MATCH(B1628,MASTER!$B:$B,0)),B1628,0)</f>
        <v>0</v>
      </c>
      <c r="H1628" s="120">
        <f>IF(ISERROR(MATCH(MASTER!B1632,'Peoplesoft Classlist'!$B:$B,0)),MASTER!B1632,0)</f>
        <v>0</v>
      </c>
    </row>
    <row r="1629" spans="2:8" x14ac:dyDescent="0.25">
      <c r="B1629" s="114"/>
      <c r="C1629" s="114"/>
      <c r="D1629" s="114"/>
      <c r="G1629" s="120">
        <f>IF(ISERROR(MATCH(B1629,MASTER!$B:$B,0)),B1629,0)</f>
        <v>0</v>
      </c>
      <c r="H1629" s="120">
        <f>IF(ISERROR(MATCH(MASTER!B1633,'Peoplesoft Classlist'!$B:$B,0)),MASTER!B1633,0)</f>
        <v>0</v>
      </c>
    </row>
    <row r="1630" spans="2:8" x14ac:dyDescent="0.25">
      <c r="B1630" s="114"/>
      <c r="C1630" s="114"/>
      <c r="D1630" s="114"/>
      <c r="G1630" s="120">
        <f>IF(ISERROR(MATCH(B1630,MASTER!$B:$B,0)),B1630,0)</f>
        <v>0</v>
      </c>
      <c r="H1630" s="120">
        <f>IF(ISERROR(MATCH(MASTER!B1634,'Peoplesoft Classlist'!$B:$B,0)),MASTER!B1634,0)</f>
        <v>0</v>
      </c>
    </row>
    <row r="1631" spans="2:8" x14ac:dyDescent="0.25">
      <c r="B1631" s="114"/>
      <c r="C1631" s="114"/>
      <c r="D1631" s="114"/>
      <c r="G1631" s="120">
        <f>IF(ISERROR(MATCH(B1631,MASTER!$B:$B,0)),B1631,0)</f>
        <v>0</v>
      </c>
      <c r="H1631" s="120">
        <f>IF(ISERROR(MATCH(MASTER!B1635,'Peoplesoft Classlist'!$B:$B,0)),MASTER!B1635,0)</f>
        <v>0</v>
      </c>
    </row>
    <row r="1632" spans="2:8" x14ac:dyDescent="0.25">
      <c r="B1632" s="114"/>
      <c r="C1632" s="114"/>
      <c r="D1632" s="114"/>
      <c r="G1632" s="120">
        <f>IF(ISERROR(MATCH(B1632,MASTER!$B:$B,0)),B1632,0)</f>
        <v>0</v>
      </c>
      <c r="H1632" s="120">
        <f>IF(ISERROR(MATCH(MASTER!B1636,'Peoplesoft Classlist'!$B:$B,0)),MASTER!B1636,0)</f>
        <v>0</v>
      </c>
    </row>
    <row r="1633" spans="2:8" x14ac:dyDescent="0.25">
      <c r="B1633" s="114"/>
      <c r="C1633" s="114"/>
      <c r="D1633" s="114"/>
      <c r="G1633" s="120">
        <f>IF(ISERROR(MATCH(B1633,MASTER!$B:$B,0)),B1633,0)</f>
        <v>0</v>
      </c>
      <c r="H1633" s="120">
        <f>IF(ISERROR(MATCH(MASTER!B1637,'Peoplesoft Classlist'!$B:$B,0)),MASTER!B1637,0)</f>
        <v>0</v>
      </c>
    </row>
    <row r="1634" spans="2:8" x14ac:dyDescent="0.25">
      <c r="B1634" s="114"/>
      <c r="C1634" s="114"/>
      <c r="D1634" s="114"/>
      <c r="G1634" s="120">
        <f>IF(ISERROR(MATCH(B1634,MASTER!$B:$B,0)),B1634,0)</f>
        <v>0</v>
      </c>
      <c r="H1634" s="120">
        <f>IF(ISERROR(MATCH(MASTER!B1638,'Peoplesoft Classlist'!$B:$B,0)),MASTER!B1638,0)</f>
        <v>0</v>
      </c>
    </row>
    <row r="1635" spans="2:8" x14ac:dyDescent="0.25">
      <c r="B1635" s="114"/>
      <c r="C1635" s="114"/>
      <c r="D1635" s="114"/>
      <c r="G1635" s="120">
        <f>IF(ISERROR(MATCH(B1635,MASTER!$B:$B,0)),B1635,0)</f>
        <v>0</v>
      </c>
      <c r="H1635" s="120">
        <f>IF(ISERROR(MATCH(MASTER!B1639,'Peoplesoft Classlist'!$B:$B,0)),MASTER!B1639,0)</f>
        <v>0</v>
      </c>
    </row>
    <row r="1636" spans="2:8" x14ac:dyDescent="0.25">
      <c r="B1636" s="114"/>
      <c r="C1636" s="114"/>
      <c r="D1636" s="114"/>
      <c r="G1636" s="120">
        <f>IF(ISERROR(MATCH(B1636,MASTER!$B:$B,0)),B1636,0)</f>
        <v>0</v>
      </c>
      <c r="H1636" s="120">
        <f>IF(ISERROR(MATCH(MASTER!B1640,'Peoplesoft Classlist'!$B:$B,0)),MASTER!B1640,0)</f>
        <v>0</v>
      </c>
    </row>
    <row r="1637" spans="2:8" x14ac:dyDescent="0.25">
      <c r="B1637" s="114"/>
      <c r="C1637" s="114"/>
      <c r="D1637" s="114"/>
      <c r="G1637" s="120">
        <f>IF(ISERROR(MATCH(B1637,MASTER!$B:$B,0)),B1637,0)</f>
        <v>0</v>
      </c>
      <c r="H1637" s="120">
        <f>IF(ISERROR(MATCH(MASTER!B1641,'Peoplesoft Classlist'!$B:$B,0)),MASTER!B1641,0)</f>
        <v>0</v>
      </c>
    </row>
    <row r="1638" spans="2:8" x14ac:dyDescent="0.25">
      <c r="B1638" s="114"/>
      <c r="C1638" s="114"/>
      <c r="D1638" s="114"/>
      <c r="G1638" s="120">
        <f>IF(ISERROR(MATCH(B1638,MASTER!$B:$B,0)),B1638,0)</f>
        <v>0</v>
      </c>
      <c r="H1638" s="120">
        <f>IF(ISERROR(MATCH(MASTER!B1642,'Peoplesoft Classlist'!$B:$B,0)),MASTER!B1642,0)</f>
        <v>0</v>
      </c>
    </row>
    <row r="1639" spans="2:8" x14ac:dyDescent="0.25">
      <c r="B1639" s="114"/>
      <c r="C1639" s="114"/>
      <c r="D1639" s="114"/>
      <c r="G1639" s="120">
        <f>IF(ISERROR(MATCH(B1639,MASTER!$B:$B,0)),B1639,0)</f>
        <v>0</v>
      </c>
      <c r="H1639" s="120">
        <f>IF(ISERROR(MATCH(MASTER!B1643,'Peoplesoft Classlist'!$B:$B,0)),MASTER!B1643,0)</f>
        <v>0</v>
      </c>
    </row>
    <row r="1640" spans="2:8" x14ac:dyDescent="0.25">
      <c r="B1640" s="114"/>
      <c r="C1640" s="114"/>
      <c r="D1640" s="114"/>
      <c r="G1640" s="120">
        <f>IF(ISERROR(MATCH(B1640,MASTER!$B:$B,0)),B1640,0)</f>
        <v>0</v>
      </c>
      <c r="H1640" s="120">
        <f>IF(ISERROR(MATCH(MASTER!B1644,'Peoplesoft Classlist'!$B:$B,0)),MASTER!B1644,0)</f>
        <v>0</v>
      </c>
    </row>
    <row r="1641" spans="2:8" x14ac:dyDescent="0.25">
      <c r="B1641" s="114"/>
      <c r="C1641" s="114"/>
      <c r="D1641" s="114"/>
      <c r="G1641" s="120">
        <f>IF(ISERROR(MATCH(B1641,MASTER!$B:$B,0)),B1641,0)</f>
        <v>0</v>
      </c>
      <c r="H1641" s="120">
        <f>IF(ISERROR(MATCH(MASTER!B1645,'Peoplesoft Classlist'!$B:$B,0)),MASTER!B1645,0)</f>
        <v>0</v>
      </c>
    </row>
    <row r="1642" spans="2:8" x14ac:dyDescent="0.25">
      <c r="B1642" s="114"/>
      <c r="C1642" s="114"/>
      <c r="D1642" s="114"/>
      <c r="G1642" s="120">
        <f>IF(ISERROR(MATCH(B1642,MASTER!$B:$B,0)),B1642,0)</f>
        <v>0</v>
      </c>
      <c r="H1642" s="120">
        <f>IF(ISERROR(MATCH(MASTER!B1646,'Peoplesoft Classlist'!$B:$B,0)),MASTER!B1646,0)</f>
        <v>0</v>
      </c>
    </row>
    <row r="1643" spans="2:8" x14ac:dyDescent="0.25">
      <c r="B1643" s="114"/>
      <c r="C1643" s="114"/>
      <c r="D1643" s="114"/>
      <c r="G1643" s="120">
        <f>IF(ISERROR(MATCH(B1643,MASTER!$B:$B,0)),B1643,0)</f>
        <v>0</v>
      </c>
      <c r="H1643" s="120">
        <f>IF(ISERROR(MATCH(MASTER!B1647,'Peoplesoft Classlist'!$B:$B,0)),MASTER!B1647,0)</f>
        <v>0</v>
      </c>
    </row>
    <row r="1644" spans="2:8" x14ac:dyDescent="0.25">
      <c r="B1644" s="114"/>
      <c r="C1644" s="114"/>
      <c r="D1644" s="114"/>
      <c r="G1644" s="120">
        <f>IF(ISERROR(MATCH(B1644,MASTER!$B:$B,0)),B1644,0)</f>
        <v>0</v>
      </c>
      <c r="H1644" s="120">
        <f>IF(ISERROR(MATCH(MASTER!B1648,'Peoplesoft Classlist'!$B:$B,0)),MASTER!B1648,0)</f>
        <v>0</v>
      </c>
    </row>
    <row r="1645" spans="2:8" x14ac:dyDescent="0.25">
      <c r="B1645" s="114"/>
      <c r="C1645" s="114"/>
      <c r="D1645" s="114"/>
      <c r="G1645" s="120">
        <f>IF(ISERROR(MATCH(B1645,MASTER!$B:$B,0)),B1645,0)</f>
        <v>0</v>
      </c>
      <c r="H1645" s="120">
        <f>IF(ISERROR(MATCH(MASTER!B1649,'Peoplesoft Classlist'!$B:$B,0)),MASTER!B1649,0)</f>
        <v>0</v>
      </c>
    </row>
    <row r="1646" spans="2:8" x14ac:dyDescent="0.25">
      <c r="B1646" s="114"/>
      <c r="C1646" s="114"/>
      <c r="D1646" s="114"/>
      <c r="G1646" s="120">
        <f>IF(ISERROR(MATCH(B1646,MASTER!$B:$B,0)),B1646,0)</f>
        <v>0</v>
      </c>
      <c r="H1646" s="120">
        <f>IF(ISERROR(MATCH(MASTER!B1650,'Peoplesoft Classlist'!$B:$B,0)),MASTER!B1650,0)</f>
        <v>0</v>
      </c>
    </row>
    <row r="1647" spans="2:8" x14ac:dyDescent="0.25">
      <c r="B1647" s="114"/>
      <c r="C1647" s="114"/>
      <c r="D1647" s="114"/>
      <c r="G1647" s="120">
        <f>IF(ISERROR(MATCH(B1647,MASTER!$B:$B,0)),B1647,0)</f>
        <v>0</v>
      </c>
      <c r="H1647" s="120">
        <f>IF(ISERROR(MATCH(MASTER!B1651,'Peoplesoft Classlist'!$B:$B,0)),MASTER!B1651,0)</f>
        <v>0</v>
      </c>
    </row>
    <row r="1648" spans="2:8" x14ac:dyDescent="0.25">
      <c r="B1648" s="114"/>
      <c r="C1648" s="114"/>
      <c r="D1648" s="114"/>
      <c r="G1648" s="120">
        <f>IF(ISERROR(MATCH(B1648,MASTER!$B:$B,0)),B1648,0)</f>
        <v>0</v>
      </c>
      <c r="H1648" s="120">
        <f>IF(ISERROR(MATCH(MASTER!B1652,'Peoplesoft Classlist'!$B:$B,0)),MASTER!B1652,0)</f>
        <v>0</v>
      </c>
    </row>
    <row r="1649" spans="2:8" x14ac:dyDescent="0.25">
      <c r="B1649" s="114"/>
      <c r="C1649" s="114"/>
      <c r="D1649" s="114"/>
      <c r="G1649" s="120">
        <f>IF(ISERROR(MATCH(B1649,MASTER!$B:$B,0)),B1649,0)</f>
        <v>0</v>
      </c>
      <c r="H1649" s="120">
        <f>IF(ISERROR(MATCH(MASTER!B1653,'Peoplesoft Classlist'!$B:$B,0)),MASTER!B1653,0)</f>
        <v>0</v>
      </c>
    </row>
    <row r="1650" spans="2:8" x14ac:dyDescent="0.25">
      <c r="B1650" s="114"/>
      <c r="C1650" s="114"/>
      <c r="D1650" s="114"/>
      <c r="G1650" s="120">
        <f>IF(ISERROR(MATCH(B1650,MASTER!$B:$B,0)),B1650,0)</f>
        <v>0</v>
      </c>
      <c r="H1650" s="120">
        <f>IF(ISERROR(MATCH(MASTER!B1654,'Peoplesoft Classlist'!$B:$B,0)),MASTER!B1654,0)</f>
        <v>0</v>
      </c>
    </row>
    <row r="1651" spans="2:8" x14ac:dyDescent="0.25">
      <c r="B1651" s="114"/>
      <c r="C1651" s="114"/>
      <c r="D1651" s="114"/>
      <c r="G1651" s="120">
        <f>IF(ISERROR(MATCH(B1651,MASTER!$B:$B,0)),B1651,0)</f>
        <v>0</v>
      </c>
      <c r="H1651" s="120">
        <f>IF(ISERROR(MATCH(MASTER!B1655,'Peoplesoft Classlist'!$B:$B,0)),MASTER!B1655,0)</f>
        <v>0</v>
      </c>
    </row>
    <row r="1652" spans="2:8" x14ac:dyDescent="0.25">
      <c r="B1652" s="114"/>
      <c r="C1652" s="114"/>
      <c r="D1652" s="114"/>
      <c r="G1652" s="120">
        <f>IF(ISERROR(MATCH(B1652,MASTER!$B:$B,0)),B1652,0)</f>
        <v>0</v>
      </c>
      <c r="H1652" s="120">
        <f>IF(ISERROR(MATCH(MASTER!B1656,'Peoplesoft Classlist'!$B:$B,0)),MASTER!B1656,0)</f>
        <v>0</v>
      </c>
    </row>
    <row r="1653" spans="2:8" x14ac:dyDescent="0.25">
      <c r="B1653" s="114"/>
      <c r="C1653" s="114"/>
      <c r="D1653" s="114"/>
      <c r="G1653" s="120">
        <f>IF(ISERROR(MATCH(B1653,MASTER!$B:$B,0)),B1653,0)</f>
        <v>0</v>
      </c>
      <c r="H1653" s="120">
        <f>IF(ISERROR(MATCH(MASTER!B1657,'Peoplesoft Classlist'!$B:$B,0)),MASTER!B1657,0)</f>
        <v>0</v>
      </c>
    </row>
    <row r="1654" spans="2:8" x14ac:dyDescent="0.25">
      <c r="B1654" s="114"/>
      <c r="C1654" s="114"/>
      <c r="D1654" s="114"/>
      <c r="G1654" s="120">
        <f>IF(ISERROR(MATCH(B1654,MASTER!$B:$B,0)),B1654,0)</f>
        <v>0</v>
      </c>
      <c r="H1654" s="120">
        <f>IF(ISERROR(MATCH(MASTER!B1658,'Peoplesoft Classlist'!$B:$B,0)),MASTER!B1658,0)</f>
        <v>0</v>
      </c>
    </row>
    <row r="1655" spans="2:8" x14ac:dyDescent="0.25">
      <c r="B1655" s="114"/>
      <c r="C1655" s="114"/>
      <c r="D1655" s="114"/>
      <c r="G1655" s="120">
        <f>IF(ISERROR(MATCH(B1655,MASTER!$B:$B,0)),B1655,0)</f>
        <v>0</v>
      </c>
      <c r="H1655" s="120">
        <f>IF(ISERROR(MATCH(MASTER!B1659,'Peoplesoft Classlist'!$B:$B,0)),MASTER!B1659,0)</f>
        <v>0</v>
      </c>
    </row>
    <row r="1656" spans="2:8" x14ac:dyDescent="0.25">
      <c r="B1656" s="114"/>
      <c r="C1656" s="114"/>
      <c r="D1656" s="114"/>
      <c r="G1656" s="120">
        <f>IF(ISERROR(MATCH(B1656,MASTER!$B:$B,0)),B1656,0)</f>
        <v>0</v>
      </c>
      <c r="H1656" s="120">
        <f>IF(ISERROR(MATCH(MASTER!B1660,'Peoplesoft Classlist'!$B:$B,0)),MASTER!B1660,0)</f>
        <v>0</v>
      </c>
    </row>
    <row r="1657" spans="2:8" x14ac:dyDescent="0.25">
      <c r="B1657" s="114"/>
      <c r="C1657" s="114"/>
      <c r="D1657" s="114"/>
      <c r="G1657" s="120">
        <f>IF(ISERROR(MATCH(B1657,MASTER!$B:$B,0)),B1657,0)</f>
        <v>0</v>
      </c>
      <c r="H1657" s="120">
        <f>IF(ISERROR(MATCH(MASTER!B1661,'Peoplesoft Classlist'!$B:$B,0)),MASTER!B1661,0)</f>
        <v>0</v>
      </c>
    </row>
    <row r="1658" spans="2:8" x14ac:dyDescent="0.25">
      <c r="B1658" s="114"/>
      <c r="C1658" s="114"/>
      <c r="D1658" s="114"/>
      <c r="G1658" s="120">
        <f>IF(ISERROR(MATCH(B1658,MASTER!$B:$B,0)),B1658,0)</f>
        <v>0</v>
      </c>
      <c r="H1658" s="120">
        <f>IF(ISERROR(MATCH(MASTER!B1662,'Peoplesoft Classlist'!$B:$B,0)),MASTER!B1662,0)</f>
        <v>0</v>
      </c>
    </row>
    <row r="1659" spans="2:8" x14ac:dyDescent="0.25">
      <c r="B1659" s="114"/>
      <c r="C1659" s="114"/>
      <c r="D1659" s="114"/>
      <c r="G1659" s="120">
        <f>IF(ISERROR(MATCH(B1659,MASTER!$B:$B,0)),B1659,0)</f>
        <v>0</v>
      </c>
      <c r="H1659" s="120">
        <f>IF(ISERROR(MATCH(MASTER!B1663,'Peoplesoft Classlist'!$B:$B,0)),MASTER!B1663,0)</f>
        <v>0</v>
      </c>
    </row>
    <row r="1660" spans="2:8" x14ac:dyDescent="0.25">
      <c r="B1660" s="114"/>
      <c r="C1660" s="114"/>
      <c r="D1660" s="114"/>
      <c r="G1660" s="120">
        <f>IF(ISERROR(MATCH(B1660,MASTER!$B:$B,0)),B1660,0)</f>
        <v>0</v>
      </c>
      <c r="H1660" s="120">
        <f>IF(ISERROR(MATCH(MASTER!B1664,'Peoplesoft Classlist'!$B:$B,0)),MASTER!B1664,0)</f>
        <v>0</v>
      </c>
    </row>
    <row r="1661" spans="2:8" x14ac:dyDescent="0.25">
      <c r="B1661" s="114"/>
      <c r="C1661" s="114"/>
      <c r="D1661" s="114"/>
      <c r="G1661" s="120">
        <f>IF(ISERROR(MATCH(B1661,MASTER!$B:$B,0)),B1661,0)</f>
        <v>0</v>
      </c>
      <c r="H1661" s="120">
        <f>IF(ISERROR(MATCH(MASTER!B1665,'Peoplesoft Classlist'!$B:$B,0)),MASTER!B1665,0)</f>
        <v>0</v>
      </c>
    </row>
    <row r="1662" spans="2:8" x14ac:dyDescent="0.25">
      <c r="B1662" s="114"/>
      <c r="C1662" s="114"/>
      <c r="D1662" s="114"/>
      <c r="G1662" s="120">
        <f>IF(ISERROR(MATCH(B1662,MASTER!$B:$B,0)),B1662,0)</f>
        <v>0</v>
      </c>
      <c r="H1662" s="120">
        <f>IF(ISERROR(MATCH(MASTER!B1666,'Peoplesoft Classlist'!$B:$B,0)),MASTER!B1666,0)</f>
        <v>0</v>
      </c>
    </row>
    <row r="1663" spans="2:8" x14ac:dyDescent="0.25">
      <c r="B1663" s="114"/>
      <c r="C1663" s="114"/>
      <c r="D1663" s="114"/>
      <c r="G1663" s="120">
        <f>IF(ISERROR(MATCH(B1663,MASTER!$B:$B,0)),B1663,0)</f>
        <v>0</v>
      </c>
      <c r="H1663" s="120">
        <f>IF(ISERROR(MATCH(MASTER!B1667,'Peoplesoft Classlist'!$B:$B,0)),MASTER!B1667,0)</f>
        <v>0</v>
      </c>
    </row>
    <row r="1664" spans="2:8" x14ac:dyDescent="0.25">
      <c r="B1664" s="114"/>
      <c r="C1664" s="114"/>
      <c r="D1664" s="114"/>
      <c r="G1664" s="120">
        <f>IF(ISERROR(MATCH(B1664,MASTER!$B:$B,0)),B1664,0)</f>
        <v>0</v>
      </c>
      <c r="H1664" s="120">
        <f>IF(ISERROR(MATCH(MASTER!B1668,'Peoplesoft Classlist'!$B:$B,0)),MASTER!B1668,0)</f>
        <v>0</v>
      </c>
    </row>
    <row r="1665" spans="2:8" x14ac:dyDescent="0.25">
      <c r="B1665" s="114"/>
      <c r="C1665" s="114"/>
      <c r="D1665" s="114"/>
      <c r="G1665" s="120">
        <f>IF(ISERROR(MATCH(B1665,MASTER!$B:$B,0)),B1665,0)</f>
        <v>0</v>
      </c>
      <c r="H1665" s="120">
        <f>IF(ISERROR(MATCH(MASTER!B1669,'Peoplesoft Classlist'!$B:$B,0)),MASTER!B1669,0)</f>
        <v>0</v>
      </c>
    </row>
    <row r="1666" spans="2:8" x14ac:dyDescent="0.25">
      <c r="B1666" s="114"/>
      <c r="C1666" s="114"/>
      <c r="D1666" s="114"/>
      <c r="G1666" s="120">
        <f>IF(ISERROR(MATCH(B1666,MASTER!$B:$B,0)),B1666,0)</f>
        <v>0</v>
      </c>
      <c r="H1666" s="120">
        <f>IF(ISERROR(MATCH(MASTER!B1670,'Peoplesoft Classlist'!$B:$B,0)),MASTER!B1670,0)</f>
        <v>0</v>
      </c>
    </row>
    <row r="1667" spans="2:8" x14ac:dyDescent="0.25">
      <c r="B1667" s="114"/>
      <c r="C1667" s="114"/>
      <c r="D1667" s="114"/>
      <c r="G1667" s="120">
        <f>IF(ISERROR(MATCH(B1667,MASTER!$B:$B,0)),B1667,0)</f>
        <v>0</v>
      </c>
      <c r="H1667" s="120">
        <f>IF(ISERROR(MATCH(MASTER!B1671,'Peoplesoft Classlist'!$B:$B,0)),MASTER!B1671,0)</f>
        <v>0</v>
      </c>
    </row>
    <row r="1668" spans="2:8" x14ac:dyDescent="0.25">
      <c r="B1668" s="114"/>
      <c r="C1668" s="114"/>
      <c r="D1668" s="114"/>
      <c r="G1668" s="120">
        <f>IF(ISERROR(MATCH(B1668,MASTER!$B:$B,0)),B1668,0)</f>
        <v>0</v>
      </c>
      <c r="H1668" s="120">
        <f>IF(ISERROR(MATCH(MASTER!B1672,'Peoplesoft Classlist'!$B:$B,0)),MASTER!B1672,0)</f>
        <v>0</v>
      </c>
    </row>
    <row r="1669" spans="2:8" x14ac:dyDescent="0.25">
      <c r="B1669" s="114"/>
      <c r="C1669" s="114"/>
      <c r="D1669" s="114"/>
      <c r="G1669" s="120">
        <f>IF(ISERROR(MATCH(B1669,MASTER!$B:$B,0)),B1669,0)</f>
        <v>0</v>
      </c>
      <c r="H1669" s="120">
        <f>IF(ISERROR(MATCH(MASTER!B1673,'Peoplesoft Classlist'!$B:$B,0)),MASTER!B1673,0)</f>
        <v>0</v>
      </c>
    </row>
    <row r="1670" spans="2:8" x14ac:dyDescent="0.25">
      <c r="B1670" s="114"/>
      <c r="C1670" s="114"/>
      <c r="D1670" s="114"/>
      <c r="G1670" s="120">
        <f>IF(ISERROR(MATCH(B1670,MASTER!$B:$B,0)),B1670,0)</f>
        <v>0</v>
      </c>
      <c r="H1670" s="120">
        <f>IF(ISERROR(MATCH(MASTER!B1674,'Peoplesoft Classlist'!$B:$B,0)),MASTER!B1674,0)</f>
        <v>0</v>
      </c>
    </row>
    <row r="1671" spans="2:8" x14ac:dyDescent="0.25">
      <c r="B1671" s="114"/>
      <c r="C1671" s="114"/>
      <c r="D1671" s="114"/>
      <c r="G1671" s="120">
        <f>IF(ISERROR(MATCH(B1671,MASTER!$B:$B,0)),B1671,0)</f>
        <v>0</v>
      </c>
      <c r="H1671" s="120">
        <f>IF(ISERROR(MATCH(MASTER!B1675,'Peoplesoft Classlist'!$B:$B,0)),MASTER!B1675,0)</f>
        <v>0</v>
      </c>
    </row>
    <row r="1672" spans="2:8" x14ac:dyDescent="0.25">
      <c r="B1672" s="114"/>
      <c r="C1672" s="114"/>
      <c r="D1672" s="114"/>
      <c r="G1672" s="120">
        <f>IF(ISERROR(MATCH(B1672,MASTER!$B:$B,0)),B1672,0)</f>
        <v>0</v>
      </c>
      <c r="H1672" s="120">
        <f>IF(ISERROR(MATCH(MASTER!B1676,'Peoplesoft Classlist'!$B:$B,0)),MASTER!B1676,0)</f>
        <v>0</v>
      </c>
    </row>
    <row r="1673" spans="2:8" x14ac:dyDescent="0.25">
      <c r="B1673" s="114"/>
      <c r="C1673" s="114"/>
      <c r="D1673" s="114"/>
      <c r="G1673" s="120">
        <f>IF(ISERROR(MATCH(B1673,MASTER!$B:$B,0)),B1673,0)</f>
        <v>0</v>
      </c>
      <c r="H1673" s="120">
        <f>IF(ISERROR(MATCH(MASTER!B1677,'Peoplesoft Classlist'!$B:$B,0)),MASTER!B1677,0)</f>
        <v>0</v>
      </c>
    </row>
    <row r="1674" spans="2:8" x14ac:dyDescent="0.25">
      <c r="B1674" s="114"/>
      <c r="C1674" s="114"/>
      <c r="D1674" s="114"/>
      <c r="G1674" s="120">
        <f>IF(ISERROR(MATCH(B1674,MASTER!$B:$B,0)),B1674,0)</f>
        <v>0</v>
      </c>
      <c r="H1674" s="120">
        <f>IF(ISERROR(MATCH(MASTER!B1678,'Peoplesoft Classlist'!$B:$B,0)),MASTER!B1678,0)</f>
        <v>0</v>
      </c>
    </row>
    <row r="1675" spans="2:8" x14ac:dyDescent="0.25">
      <c r="B1675" s="114"/>
      <c r="C1675" s="114"/>
      <c r="D1675" s="114"/>
      <c r="G1675" s="120">
        <f>IF(ISERROR(MATCH(B1675,MASTER!$B:$B,0)),B1675,0)</f>
        <v>0</v>
      </c>
      <c r="H1675" s="120">
        <f>IF(ISERROR(MATCH(MASTER!B1679,'Peoplesoft Classlist'!$B:$B,0)),MASTER!B1679,0)</f>
        <v>0</v>
      </c>
    </row>
    <row r="1676" spans="2:8" x14ac:dyDescent="0.25">
      <c r="B1676" s="114"/>
      <c r="C1676" s="114"/>
      <c r="D1676" s="114"/>
      <c r="G1676" s="120">
        <f>IF(ISERROR(MATCH(B1676,MASTER!$B:$B,0)),B1676,0)</f>
        <v>0</v>
      </c>
      <c r="H1676" s="120">
        <f>IF(ISERROR(MATCH(MASTER!B1680,'Peoplesoft Classlist'!$B:$B,0)),MASTER!B1680,0)</f>
        <v>0</v>
      </c>
    </row>
    <row r="1677" spans="2:8" x14ac:dyDescent="0.25">
      <c r="B1677" s="114"/>
      <c r="C1677" s="114"/>
      <c r="D1677" s="114"/>
      <c r="G1677" s="120">
        <f>IF(ISERROR(MATCH(B1677,MASTER!$B:$B,0)),B1677,0)</f>
        <v>0</v>
      </c>
      <c r="H1677" s="120">
        <f>IF(ISERROR(MATCH(MASTER!B1681,'Peoplesoft Classlist'!$B:$B,0)),MASTER!B1681,0)</f>
        <v>0</v>
      </c>
    </row>
    <row r="1678" spans="2:8" x14ac:dyDescent="0.25">
      <c r="B1678" s="114"/>
      <c r="C1678" s="114"/>
      <c r="D1678" s="114"/>
      <c r="G1678" s="120">
        <f>IF(ISERROR(MATCH(B1678,MASTER!$B:$B,0)),B1678,0)</f>
        <v>0</v>
      </c>
      <c r="H1678" s="120">
        <f>IF(ISERROR(MATCH(MASTER!B1682,'Peoplesoft Classlist'!$B:$B,0)),MASTER!B1682,0)</f>
        <v>0</v>
      </c>
    </row>
    <row r="1679" spans="2:8" x14ac:dyDescent="0.25">
      <c r="B1679" s="114"/>
      <c r="C1679" s="114"/>
      <c r="D1679" s="114"/>
      <c r="G1679" s="120">
        <f>IF(ISERROR(MATCH(B1679,MASTER!$B:$B,0)),B1679,0)</f>
        <v>0</v>
      </c>
      <c r="H1679" s="120">
        <f>IF(ISERROR(MATCH(MASTER!B1683,'Peoplesoft Classlist'!$B:$B,0)),MASTER!B1683,0)</f>
        <v>0</v>
      </c>
    </row>
    <row r="1680" spans="2:8" x14ac:dyDescent="0.25">
      <c r="B1680" s="114"/>
      <c r="C1680" s="114"/>
      <c r="D1680" s="114"/>
      <c r="G1680" s="120">
        <f>IF(ISERROR(MATCH(B1680,MASTER!$B:$B,0)),B1680,0)</f>
        <v>0</v>
      </c>
      <c r="H1680" s="120">
        <f>IF(ISERROR(MATCH(MASTER!B1684,'Peoplesoft Classlist'!$B:$B,0)),MASTER!B1684,0)</f>
        <v>0</v>
      </c>
    </row>
    <row r="1681" spans="2:8" x14ac:dyDescent="0.25">
      <c r="B1681" s="114"/>
      <c r="C1681" s="114"/>
      <c r="D1681" s="114"/>
      <c r="G1681" s="120">
        <f>IF(ISERROR(MATCH(B1681,MASTER!$B:$B,0)),B1681,0)</f>
        <v>0</v>
      </c>
      <c r="H1681" s="120">
        <f>IF(ISERROR(MATCH(MASTER!B1685,'Peoplesoft Classlist'!$B:$B,0)),MASTER!B1685,0)</f>
        <v>0</v>
      </c>
    </row>
    <row r="1682" spans="2:8" x14ac:dyDescent="0.25">
      <c r="B1682" s="114"/>
      <c r="C1682" s="114"/>
      <c r="D1682" s="114"/>
      <c r="G1682" s="120">
        <f>IF(ISERROR(MATCH(B1682,MASTER!$B:$B,0)),B1682,0)</f>
        <v>0</v>
      </c>
      <c r="H1682" s="120">
        <f>IF(ISERROR(MATCH(MASTER!B1686,'Peoplesoft Classlist'!$B:$B,0)),MASTER!B1686,0)</f>
        <v>0</v>
      </c>
    </row>
    <row r="1683" spans="2:8" x14ac:dyDescent="0.25">
      <c r="B1683" s="114"/>
      <c r="C1683" s="114"/>
      <c r="D1683" s="114"/>
      <c r="G1683" s="120">
        <f>IF(ISERROR(MATCH(B1683,MASTER!$B:$B,0)),B1683,0)</f>
        <v>0</v>
      </c>
      <c r="H1683" s="120">
        <f>IF(ISERROR(MATCH(MASTER!B1687,'Peoplesoft Classlist'!$B:$B,0)),MASTER!B1687,0)</f>
        <v>0</v>
      </c>
    </row>
    <row r="1684" spans="2:8" x14ac:dyDescent="0.25">
      <c r="B1684" s="114"/>
      <c r="C1684" s="114"/>
      <c r="D1684" s="114"/>
      <c r="G1684" s="120">
        <f>IF(ISERROR(MATCH(B1684,MASTER!$B:$B,0)),B1684,0)</f>
        <v>0</v>
      </c>
      <c r="H1684" s="120">
        <f>IF(ISERROR(MATCH(MASTER!B1688,'Peoplesoft Classlist'!$B:$B,0)),MASTER!B1688,0)</f>
        <v>0</v>
      </c>
    </row>
    <row r="1685" spans="2:8" x14ac:dyDescent="0.25">
      <c r="B1685" s="114"/>
      <c r="C1685" s="114"/>
      <c r="D1685" s="114"/>
      <c r="G1685" s="120">
        <f>IF(ISERROR(MATCH(B1685,MASTER!$B:$B,0)),B1685,0)</f>
        <v>0</v>
      </c>
      <c r="H1685" s="120">
        <f>IF(ISERROR(MATCH(MASTER!B1689,'Peoplesoft Classlist'!$B:$B,0)),MASTER!B1689,0)</f>
        <v>0</v>
      </c>
    </row>
    <row r="1686" spans="2:8" x14ac:dyDescent="0.25">
      <c r="B1686" s="114"/>
      <c r="C1686" s="114"/>
      <c r="D1686" s="114"/>
      <c r="G1686" s="120">
        <f>IF(ISERROR(MATCH(B1686,MASTER!$B:$B,0)),B1686,0)</f>
        <v>0</v>
      </c>
      <c r="H1686" s="120">
        <f>IF(ISERROR(MATCH(MASTER!B1690,'Peoplesoft Classlist'!$B:$B,0)),MASTER!B1690,0)</f>
        <v>0</v>
      </c>
    </row>
    <row r="1687" spans="2:8" x14ac:dyDescent="0.25">
      <c r="B1687" s="114"/>
      <c r="C1687" s="114"/>
      <c r="D1687" s="114"/>
      <c r="G1687" s="120">
        <f>IF(ISERROR(MATCH(B1687,MASTER!$B:$B,0)),B1687,0)</f>
        <v>0</v>
      </c>
      <c r="H1687" s="120">
        <f>IF(ISERROR(MATCH(MASTER!B1691,'Peoplesoft Classlist'!$B:$B,0)),MASTER!B1691,0)</f>
        <v>0</v>
      </c>
    </row>
    <row r="1688" spans="2:8" x14ac:dyDescent="0.25">
      <c r="B1688" s="114"/>
      <c r="C1688" s="114"/>
      <c r="D1688" s="114"/>
      <c r="G1688" s="120">
        <f>IF(ISERROR(MATCH(B1688,MASTER!$B:$B,0)),B1688,0)</f>
        <v>0</v>
      </c>
      <c r="H1688" s="120">
        <f>IF(ISERROR(MATCH(MASTER!B1692,'Peoplesoft Classlist'!$B:$B,0)),MASTER!B1692,0)</f>
        <v>0</v>
      </c>
    </row>
    <row r="1689" spans="2:8" x14ac:dyDescent="0.25">
      <c r="B1689" s="114"/>
      <c r="C1689" s="114"/>
      <c r="D1689" s="114"/>
      <c r="G1689" s="120">
        <f>IF(ISERROR(MATCH(B1689,MASTER!$B:$B,0)),B1689,0)</f>
        <v>0</v>
      </c>
      <c r="H1689" s="120">
        <f>IF(ISERROR(MATCH(MASTER!B1693,'Peoplesoft Classlist'!$B:$B,0)),MASTER!B1693,0)</f>
        <v>0</v>
      </c>
    </row>
    <row r="1690" spans="2:8" x14ac:dyDescent="0.25">
      <c r="B1690" s="114"/>
      <c r="C1690" s="114"/>
      <c r="D1690" s="114"/>
      <c r="G1690" s="120">
        <f>IF(ISERROR(MATCH(B1690,MASTER!$B:$B,0)),B1690,0)</f>
        <v>0</v>
      </c>
      <c r="H1690" s="120">
        <f>IF(ISERROR(MATCH(MASTER!B1694,'Peoplesoft Classlist'!$B:$B,0)),MASTER!B1694,0)</f>
        <v>0</v>
      </c>
    </row>
    <row r="1691" spans="2:8" x14ac:dyDescent="0.25">
      <c r="B1691" s="114"/>
      <c r="C1691" s="114"/>
      <c r="D1691" s="114"/>
      <c r="G1691" s="120">
        <f>IF(ISERROR(MATCH(B1691,MASTER!$B:$B,0)),B1691,0)</f>
        <v>0</v>
      </c>
      <c r="H1691" s="120">
        <f>IF(ISERROR(MATCH(MASTER!B1695,'Peoplesoft Classlist'!$B:$B,0)),MASTER!B1695,0)</f>
        <v>0</v>
      </c>
    </row>
    <row r="1692" spans="2:8" x14ac:dyDescent="0.25">
      <c r="B1692" s="114"/>
      <c r="C1692" s="114"/>
      <c r="D1692" s="114"/>
      <c r="G1692" s="120">
        <f>IF(ISERROR(MATCH(B1692,MASTER!$B:$B,0)),B1692,0)</f>
        <v>0</v>
      </c>
      <c r="H1692" s="120">
        <f>IF(ISERROR(MATCH(MASTER!B1696,'Peoplesoft Classlist'!$B:$B,0)),MASTER!B1696,0)</f>
        <v>0</v>
      </c>
    </row>
    <row r="1693" spans="2:8" x14ac:dyDescent="0.25">
      <c r="B1693" s="114"/>
      <c r="C1693" s="114"/>
      <c r="D1693" s="114"/>
      <c r="G1693" s="120">
        <f>IF(ISERROR(MATCH(B1693,MASTER!$B:$B,0)),B1693,0)</f>
        <v>0</v>
      </c>
      <c r="H1693" s="120">
        <f>IF(ISERROR(MATCH(MASTER!B1697,'Peoplesoft Classlist'!$B:$B,0)),MASTER!B1697,0)</f>
        <v>0</v>
      </c>
    </row>
    <row r="1694" spans="2:8" x14ac:dyDescent="0.25">
      <c r="B1694" s="114"/>
      <c r="C1694" s="114"/>
      <c r="D1694" s="114"/>
      <c r="G1694" s="120">
        <f>IF(ISERROR(MATCH(B1694,MASTER!$B:$B,0)),B1694,0)</f>
        <v>0</v>
      </c>
      <c r="H1694" s="120">
        <f>IF(ISERROR(MATCH(MASTER!B1698,'Peoplesoft Classlist'!$B:$B,0)),MASTER!B1698,0)</f>
        <v>0</v>
      </c>
    </row>
    <row r="1695" spans="2:8" x14ac:dyDescent="0.25">
      <c r="B1695" s="114"/>
      <c r="C1695" s="114"/>
      <c r="D1695" s="114"/>
      <c r="G1695" s="120">
        <f>IF(ISERROR(MATCH(B1695,MASTER!$B:$B,0)),B1695,0)</f>
        <v>0</v>
      </c>
      <c r="H1695" s="120">
        <f>IF(ISERROR(MATCH(MASTER!B1699,'Peoplesoft Classlist'!$B:$B,0)),MASTER!B1699,0)</f>
        <v>0</v>
      </c>
    </row>
    <row r="1696" spans="2:8" x14ac:dyDescent="0.25">
      <c r="B1696" s="114"/>
      <c r="C1696" s="114"/>
      <c r="D1696" s="114"/>
      <c r="G1696" s="120">
        <f>IF(ISERROR(MATCH(B1696,MASTER!$B:$B,0)),B1696,0)</f>
        <v>0</v>
      </c>
      <c r="H1696" s="120">
        <f>IF(ISERROR(MATCH(MASTER!B1700,'Peoplesoft Classlist'!$B:$B,0)),MASTER!B1700,0)</f>
        <v>0</v>
      </c>
    </row>
    <row r="1697" spans="2:8" x14ac:dyDescent="0.25">
      <c r="B1697" s="114"/>
      <c r="C1697" s="114"/>
      <c r="D1697" s="114"/>
      <c r="G1697" s="120">
        <f>IF(ISERROR(MATCH(B1697,MASTER!$B:$B,0)),B1697,0)</f>
        <v>0</v>
      </c>
      <c r="H1697" s="120">
        <f>IF(ISERROR(MATCH(MASTER!B1701,'Peoplesoft Classlist'!$B:$B,0)),MASTER!B1701,0)</f>
        <v>0</v>
      </c>
    </row>
    <row r="1698" spans="2:8" x14ac:dyDescent="0.25">
      <c r="B1698" s="114"/>
      <c r="C1698" s="114"/>
      <c r="D1698" s="114"/>
      <c r="G1698" s="120">
        <f>IF(ISERROR(MATCH(B1698,MASTER!$B:$B,0)),B1698,0)</f>
        <v>0</v>
      </c>
      <c r="H1698" s="120">
        <f>IF(ISERROR(MATCH(MASTER!B1702,'Peoplesoft Classlist'!$B:$B,0)),MASTER!B1702,0)</f>
        <v>0</v>
      </c>
    </row>
    <row r="1699" spans="2:8" x14ac:dyDescent="0.25">
      <c r="B1699" s="114"/>
      <c r="C1699" s="114"/>
      <c r="D1699" s="114"/>
      <c r="G1699" s="120">
        <f>IF(ISERROR(MATCH(B1699,MASTER!$B:$B,0)),B1699,0)</f>
        <v>0</v>
      </c>
      <c r="H1699" s="120">
        <f>IF(ISERROR(MATCH(MASTER!B1703,'Peoplesoft Classlist'!$B:$B,0)),MASTER!B1703,0)</f>
        <v>0</v>
      </c>
    </row>
    <row r="1700" spans="2:8" x14ac:dyDescent="0.25">
      <c r="B1700" s="114"/>
      <c r="C1700" s="114"/>
      <c r="D1700" s="114"/>
      <c r="G1700" s="120">
        <f>IF(ISERROR(MATCH(B1700,MASTER!$B:$B,0)),B1700,0)</f>
        <v>0</v>
      </c>
      <c r="H1700" s="120">
        <f>IF(ISERROR(MATCH(MASTER!B1704,'Peoplesoft Classlist'!$B:$B,0)),MASTER!B1704,0)</f>
        <v>0</v>
      </c>
    </row>
    <row r="1701" spans="2:8" x14ac:dyDescent="0.25">
      <c r="B1701" s="114"/>
      <c r="C1701" s="114"/>
      <c r="D1701" s="114"/>
      <c r="G1701" s="120">
        <f>IF(ISERROR(MATCH(B1701,MASTER!$B:$B,0)),B1701,0)</f>
        <v>0</v>
      </c>
      <c r="H1701" s="120">
        <f>IF(ISERROR(MATCH(MASTER!B1705,'Peoplesoft Classlist'!$B:$B,0)),MASTER!B1705,0)</f>
        <v>0</v>
      </c>
    </row>
    <row r="1702" spans="2:8" x14ac:dyDescent="0.25">
      <c r="B1702" s="114"/>
      <c r="C1702" s="114"/>
      <c r="D1702" s="114"/>
      <c r="G1702" s="120">
        <f>IF(ISERROR(MATCH(B1702,MASTER!$B:$B,0)),B1702,0)</f>
        <v>0</v>
      </c>
      <c r="H1702" s="120">
        <f>IF(ISERROR(MATCH(MASTER!B1706,'Peoplesoft Classlist'!$B:$B,0)),MASTER!B1706,0)</f>
        <v>0</v>
      </c>
    </row>
    <row r="1703" spans="2:8" x14ac:dyDescent="0.25">
      <c r="B1703" s="114"/>
      <c r="C1703" s="114"/>
      <c r="D1703" s="114"/>
      <c r="G1703" s="120">
        <f>IF(ISERROR(MATCH(B1703,MASTER!$B:$B,0)),B1703,0)</f>
        <v>0</v>
      </c>
      <c r="H1703" s="120">
        <f>IF(ISERROR(MATCH(MASTER!B1707,'Peoplesoft Classlist'!$B:$B,0)),MASTER!B1707,0)</f>
        <v>0</v>
      </c>
    </row>
    <row r="1704" spans="2:8" x14ac:dyDescent="0.25">
      <c r="B1704" s="114"/>
      <c r="C1704" s="114"/>
      <c r="D1704" s="114"/>
      <c r="G1704" s="120">
        <f>IF(ISERROR(MATCH(B1704,MASTER!$B:$B,0)),B1704,0)</f>
        <v>0</v>
      </c>
      <c r="H1704" s="120">
        <f>IF(ISERROR(MATCH(MASTER!B1708,'Peoplesoft Classlist'!$B:$B,0)),MASTER!B1708,0)</f>
        <v>0</v>
      </c>
    </row>
    <row r="1705" spans="2:8" x14ac:dyDescent="0.25">
      <c r="B1705" s="114"/>
      <c r="C1705" s="114"/>
      <c r="D1705" s="114"/>
      <c r="G1705" s="120">
        <f>IF(ISERROR(MATCH(B1705,MASTER!$B:$B,0)),B1705,0)</f>
        <v>0</v>
      </c>
      <c r="H1705" s="120">
        <f>IF(ISERROR(MATCH(MASTER!B1709,'Peoplesoft Classlist'!$B:$B,0)),MASTER!B1709,0)</f>
        <v>0</v>
      </c>
    </row>
    <row r="1706" spans="2:8" x14ac:dyDescent="0.25">
      <c r="B1706" s="114"/>
      <c r="C1706" s="114"/>
      <c r="D1706" s="114"/>
      <c r="G1706" s="120">
        <f>IF(ISERROR(MATCH(B1706,MASTER!$B:$B,0)),B1706,0)</f>
        <v>0</v>
      </c>
      <c r="H1706" s="120">
        <f>IF(ISERROR(MATCH(MASTER!B1710,'Peoplesoft Classlist'!$B:$B,0)),MASTER!B1710,0)</f>
        <v>0</v>
      </c>
    </row>
    <row r="1707" spans="2:8" x14ac:dyDescent="0.25">
      <c r="B1707" s="114"/>
      <c r="C1707" s="114"/>
      <c r="D1707" s="114"/>
      <c r="G1707" s="120">
        <f>IF(ISERROR(MATCH(B1707,MASTER!$B:$B,0)),B1707,0)</f>
        <v>0</v>
      </c>
      <c r="H1707" s="120">
        <f>IF(ISERROR(MATCH(MASTER!B1711,'Peoplesoft Classlist'!$B:$B,0)),MASTER!B1711,0)</f>
        <v>0</v>
      </c>
    </row>
    <row r="1708" spans="2:8" x14ac:dyDescent="0.25">
      <c r="B1708" s="114"/>
      <c r="C1708" s="114"/>
      <c r="D1708" s="114"/>
      <c r="G1708" s="120">
        <f>IF(ISERROR(MATCH(B1708,MASTER!$B:$B,0)),B1708,0)</f>
        <v>0</v>
      </c>
      <c r="H1708" s="120">
        <f>IF(ISERROR(MATCH(MASTER!B1712,'Peoplesoft Classlist'!$B:$B,0)),MASTER!B1712,0)</f>
        <v>0</v>
      </c>
    </row>
    <row r="1709" spans="2:8" x14ac:dyDescent="0.25">
      <c r="B1709" s="114"/>
      <c r="C1709" s="114"/>
      <c r="D1709" s="114"/>
      <c r="G1709" s="120">
        <f>IF(ISERROR(MATCH(B1709,MASTER!$B:$B,0)),B1709,0)</f>
        <v>0</v>
      </c>
      <c r="H1709" s="120">
        <f>IF(ISERROR(MATCH(MASTER!B1713,'Peoplesoft Classlist'!$B:$B,0)),MASTER!B1713,0)</f>
        <v>0</v>
      </c>
    </row>
    <row r="1710" spans="2:8" x14ac:dyDescent="0.25">
      <c r="B1710" s="114"/>
      <c r="C1710" s="114"/>
      <c r="D1710" s="114"/>
      <c r="G1710" s="120">
        <f>IF(ISERROR(MATCH(B1710,MASTER!$B:$B,0)),B1710,0)</f>
        <v>0</v>
      </c>
      <c r="H1710" s="120">
        <f>IF(ISERROR(MATCH(MASTER!B1714,'Peoplesoft Classlist'!$B:$B,0)),MASTER!B1714,0)</f>
        <v>0</v>
      </c>
    </row>
    <row r="1711" spans="2:8" x14ac:dyDescent="0.25">
      <c r="B1711" s="114"/>
      <c r="C1711" s="114"/>
      <c r="D1711" s="114"/>
      <c r="G1711" s="120">
        <f>IF(ISERROR(MATCH(B1711,MASTER!$B:$B,0)),B1711,0)</f>
        <v>0</v>
      </c>
      <c r="H1711" s="120">
        <f>IF(ISERROR(MATCH(MASTER!B1715,'Peoplesoft Classlist'!$B:$B,0)),MASTER!B1715,0)</f>
        <v>0</v>
      </c>
    </row>
    <row r="1712" spans="2:8" x14ac:dyDescent="0.25">
      <c r="B1712" s="114"/>
      <c r="C1712" s="114"/>
      <c r="D1712" s="114"/>
      <c r="G1712" s="120">
        <f>IF(ISERROR(MATCH(B1712,MASTER!$B:$B,0)),B1712,0)</f>
        <v>0</v>
      </c>
      <c r="H1712" s="120">
        <f>IF(ISERROR(MATCH(MASTER!B1716,'Peoplesoft Classlist'!$B:$B,0)),MASTER!B1716,0)</f>
        <v>0</v>
      </c>
    </row>
    <row r="1713" spans="2:8" x14ac:dyDescent="0.25">
      <c r="B1713" s="114"/>
      <c r="C1713" s="114"/>
      <c r="D1713" s="114"/>
      <c r="G1713" s="120">
        <f>IF(ISERROR(MATCH(B1713,MASTER!$B:$B,0)),B1713,0)</f>
        <v>0</v>
      </c>
      <c r="H1713" s="120">
        <f>IF(ISERROR(MATCH(MASTER!B1717,'Peoplesoft Classlist'!$B:$B,0)),MASTER!B1717,0)</f>
        <v>0</v>
      </c>
    </row>
    <row r="1714" spans="2:8" x14ac:dyDescent="0.25">
      <c r="B1714" s="114"/>
      <c r="C1714" s="114"/>
      <c r="D1714" s="114"/>
      <c r="G1714" s="120">
        <f>IF(ISERROR(MATCH(B1714,MASTER!$B:$B,0)),B1714,0)</f>
        <v>0</v>
      </c>
      <c r="H1714" s="120">
        <f>IF(ISERROR(MATCH(MASTER!B1718,'Peoplesoft Classlist'!$B:$B,0)),MASTER!B1718,0)</f>
        <v>0</v>
      </c>
    </row>
    <row r="1715" spans="2:8" x14ac:dyDescent="0.25">
      <c r="B1715" s="114"/>
      <c r="C1715" s="114"/>
      <c r="D1715" s="114"/>
      <c r="G1715" s="120">
        <f>IF(ISERROR(MATCH(B1715,MASTER!$B:$B,0)),B1715,0)</f>
        <v>0</v>
      </c>
      <c r="H1715" s="120">
        <f>IF(ISERROR(MATCH(MASTER!B1719,'Peoplesoft Classlist'!$B:$B,0)),MASTER!B1719,0)</f>
        <v>0</v>
      </c>
    </row>
    <row r="1716" spans="2:8" x14ac:dyDescent="0.25">
      <c r="B1716" s="114"/>
      <c r="C1716" s="114"/>
      <c r="D1716" s="114"/>
      <c r="G1716" s="120">
        <f>IF(ISERROR(MATCH(B1716,MASTER!$B:$B,0)),B1716,0)</f>
        <v>0</v>
      </c>
      <c r="H1716" s="120">
        <f>IF(ISERROR(MATCH(MASTER!B1720,'Peoplesoft Classlist'!$B:$B,0)),MASTER!B1720,0)</f>
        <v>0</v>
      </c>
    </row>
    <row r="1717" spans="2:8" x14ac:dyDescent="0.25">
      <c r="B1717" s="114"/>
      <c r="C1717" s="114"/>
      <c r="D1717" s="114"/>
      <c r="G1717" s="120">
        <f>IF(ISERROR(MATCH(B1717,MASTER!$B:$B,0)),B1717,0)</f>
        <v>0</v>
      </c>
      <c r="H1717" s="120">
        <f>IF(ISERROR(MATCH(MASTER!B1721,'Peoplesoft Classlist'!$B:$B,0)),MASTER!B1721,0)</f>
        <v>0</v>
      </c>
    </row>
    <row r="1718" spans="2:8" x14ac:dyDescent="0.25">
      <c r="B1718" s="114"/>
      <c r="C1718" s="114"/>
      <c r="D1718" s="114"/>
      <c r="G1718" s="120">
        <f>IF(ISERROR(MATCH(B1718,MASTER!$B:$B,0)),B1718,0)</f>
        <v>0</v>
      </c>
      <c r="H1718" s="120">
        <f>IF(ISERROR(MATCH(MASTER!B1722,'Peoplesoft Classlist'!$B:$B,0)),MASTER!B1722,0)</f>
        <v>0</v>
      </c>
    </row>
    <row r="1719" spans="2:8" x14ac:dyDescent="0.25">
      <c r="B1719" s="114"/>
      <c r="C1719" s="114"/>
      <c r="D1719" s="114"/>
      <c r="G1719" s="120">
        <f>IF(ISERROR(MATCH(B1719,MASTER!$B:$B,0)),B1719,0)</f>
        <v>0</v>
      </c>
      <c r="H1719" s="120">
        <f>IF(ISERROR(MATCH(MASTER!B1723,'Peoplesoft Classlist'!$B:$B,0)),MASTER!B1723,0)</f>
        <v>0</v>
      </c>
    </row>
    <row r="1720" spans="2:8" x14ac:dyDescent="0.25">
      <c r="B1720" s="114"/>
      <c r="C1720" s="114"/>
      <c r="D1720" s="114"/>
      <c r="G1720" s="120">
        <f>IF(ISERROR(MATCH(B1720,MASTER!$B:$B,0)),B1720,0)</f>
        <v>0</v>
      </c>
      <c r="H1720" s="120">
        <f>IF(ISERROR(MATCH(MASTER!B1724,'Peoplesoft Classlist'!$B:$B,0)),MASTER!B1724,0)</f>
        <v>0</v>
      </c>
    </row>
    <row r="1721" spans="2:8" x14ac:dyDescent="0.25">
      <c r="B1721" s="114"/>
      <c r="C1721" s="114"/>
      <c r="D1721" s="114"/>
      <c r="G1721" s="120">
        <f>IF(ISERROR(MATCH(B1721,MASTER!$B:$B,0)),B1721,0)</f>
        <v>0</v>
      </c>
      <c r="H1721" s="120">
        <f>IF(ISERROR(MATCH(MASTER!B1725,'Peoplesoft Classlist'!$B:$B,0)),MASTER!B1725,0)</f>
        <v>0</v>
      </c>
    </row>
    <row r="1722" spans="2:8" x14ac:dyDescent="0.25">
      <c r="B1722" s="114"/>
      <c r="C1722" s="114"/>
      <c r="D1722" s="114"/>
      <c r="G1722" s="120">
        <f>IF(ISERROR(MATCH(B1722,MASTER!$B:$B,0)),B1722,0)</f>
        <v>0</v>
      </c>
      <c r="H1722" s="120">
        <f>IF(ISERROR(MATCH(MASTER!B1726,'Peoplesoft Classlist'!$B:$B,0)),MASTER!B1726,0)</f>
        <v>0</v>
      </c>
    </row>
    <row r="1723" spans="2:8" x14ac:dyDescent="0.25">
      <c r="B1723" s="114"/>
      <c r="C1723" s="114"/>
      <c r="D1723" s="114"/>
      <c r="G1723" s="120">
        <f>IF(ISERROR(MATCH(B1723,MASTER!$B:$B,0)),B1723,0)</f>
        <v>0</v>
      </c>
      <c r="H1723" s="120">
        <f>IF(ISERROR(MATCH(MASTER!B1727,'Peoplesoft Classlist'!$B:$B,0)),MASTER!B1727,0)</f>
        <v>0</v>
      </c>
    </row>
    <row r="1724" spans="2:8" x14ac:dyDescent="0.25">
      <c r="B1724" s="114"/>
      <c r="C1724" s="114"/>
      <c r="D1724" s="114"/>
      <c r="G1724" s="120">
        <f>IF(ISERROR(MATCH(B1724,MASTER!$B:$B,0)),B1724,0)</f>
        <v>0</v>
      </c>
      <c r="H1724" s="120">
        <f>IF(ISERROR(MATCH(MASTER!B1728,'Peoplesoft Classlist'!$B:$B,0)),MASTER!B1728,0)</f>
        <v>0</v>
      </c>
    </row>
    <row r="1725" spans="2:8" x14ac:dyDescent="0.25">
      <c r="B1725" s="114"/>
      <c r="C1725" s="114"/>
      <c r="D1725" s="114"/>
      <c r="G1725" s="120">
        <f>IF(ISERROR(MATCH(B1725,MASTER!$B:$B,0)),B1725,0)</f>
        <v>0</v>
      </c>
      <c r="H1725" s="120">
        <f>IF(ISERROR(MATCH(MASTER!B1729,'Peoplesoft Classlist'!$B:$B,0)),MASTER!B1729,0)</f>
        <v>0</v>
      </c>
    </row>
    <row r="1726" spans="2:8" x14ac:dyDescent="0.25">
      <c r="B1726" s="114"/>
      <c r="C1726" s="114"/>
      <c r="D1726" s="114"/>
      <c r="G1726" s="120">
        <f>IF(ISERROR(MATCH(B1726,MASTER!$B:$B,0)),B1726,0)</f>
        <v>0</v>
      </c>
      <c r="H1726" s="120">
        <f>IF(ISERROR(MATCH(MASTER!B1730,'Peoplesoft Classlist'!$B:$B,0)),MASTER!B1730,0)</f>
        <v>0</v>
      </c>
    </row>
    <row r="1727" spans="2:8" x14ac:dyDescent="0.25">
      <c r="B1727" s="114"/>
      <c r="C1727" s="114"/>
      <c r="D1727" s="114"/>
      <c r="G1727" s="120">
        <f>IF(ISERROR(MATCH(B1727,MASTER!$B:$B,0)),B1727,0)</f>
        <v>0</v>
      </c>
      <c r="H1727" s="120">
        <f>IF(ISERROR(MATCH(MASTER!B1731,'Peoplesoft Classlist'!$B:$B,0)),MASTER!B1731,0)</f>
        <v>0</v>
      </c>
    </row>
    <row r="1728" spans="2:8" x14ac:dyDescent="0.25">
      <c r="B1728" s="114"/>
      <c r="C1728" s="114"/>
      <c r="D1728" s="114"/>
      <c r="G1728" s="120">
        <f>IF(ISERROR(MATCH(B1728,MASTER!$B:$B,0)),B1728,0)</f>
        <v>0</v>
      </c>
      <c r="H1728" s="120">
        <f>IF(ISERROR(MATCH(MASTER!B1732,'Peoplesoft Classlist'!$B:$B,0)),MASTER!B1732,0)</f>
        <v>0</v>
      </c>
    </row>
    <row r="1729" spans="2:8" x14ac:dyDescent="0.25">
      <c r="B1729" s="114"/>
      <c r="C1729" s="114"/>
      <c r="D1729" s="114"/>
      <c r="G1729" s="120">
        <f>IF(ISERROR(MATCH(B1729,MASTER!$B:$B,0)),B1729,0)</f>
        <v>0</v>
      </c>
      <c r="H1729" s="120">
        <f>IF(ISERROR(MATCH(MASTER!B1733,'Peoplesoft Classlist'!$B:$B,0)),MASTER!B1733,0)</f>
        <v>0</v>
      </c>
    </row>
    <row r="1730" spans="2:8" x14ac:dyDescent="0.25">
      <c r="B1730" s="114"/>
      <c r="C1730" s="114"/>
      <c r="D1730" s="114"/>
      <c r="G1730" s="120">
        <f>IF(ISERROR(MATCH(B1730,MASTER!$B:$B,0)),B1730,0)</f>
        <v>0</v>
      </c>
      <c r="H1730" s="120">
        <f>IF(ISERROR(MATCH(MASTER!B1734,'Peoplesoft Classlist'!$B:$B,0)),MASTER!B1734,0)</f>
        <v>0</v>
      </c>
    </row>
    <row r="1731" spans="2:8" x14ac:dyDescent="0.25">
      <c r="B1731" s="114"/>
      <c r="C1731" s="114"/>
      <c r="D1731" s="114"/>
      <c r="G1731" s="120">
        <f>IF(ISERROR(MATCH(B1731,MASTER!$B:$B,0)),B1731,0)</f>
        <v>0</v>
      </c>
      <c r="H1731" s="120">
        <f>IF(ISERROR(MATCH(MASTER!B1735,'Peoplesoft Classlist'!$B:$B,0)),MASTER!B1735,0)</f>
        <v>0</v>
      </c>
    </row>
    <row r="1732" spans="2:8" x14ac:dyDescent="0.25">
      <c r="B1732" s="114"/>
      <c r="C1732" s="114"/>
      <c r="D1732" s="114"/>
      <c r="G1732" s="120">
        <f>IF(ISERROR(MATCH(B1732,MASTER!$B:$B,0)),B1732,0)</f>
        <v>0</v>
      </c>
      <c r="H1732" s="120">
        <f>IF(ISERROR(MATCH(MASTER!B1736,'Peoplesoft Classlist'!$B:$B,0)),MASTER!B1736,0)</f>
        <v>0</v>
      </c>
    </row>
    <row r="1733" spans="2:8" x14ac:dyDescent="0.25">
      <c r="B1733" s="114"/>
      <c r="C1733" s="114"/>
      <c r="D1733" s="114"/>
      <c r="G1733" s="120">
        <f>IF(ISERROR(MATCH(B1733,MASTER!$B:$B,0)),B1733,0)</f>
        <v>0</v>
      </c>
      <c r="H1733" s="120">
        <f>IF(ISERROR(MATCH(MASTER!B1737,'Peoplesoft Classlist'!$B:$B,0)),MASTER!B1737,0)</f>
        <v>0</v>
      </c>
    </row>
    <row r="1734" spans="2:8" x14ac:dyDescent="0.25">
      <c r="B1734" s="114"/>
      <c r="C1734" s="114"/>
      <c r="D1734" s="114"/>
      <c r="G1734" s="120">
        <f>IF(ISERROR(MATCH(B1734,MASTER!$B:$B,0)),B1734,0)</f>
        <v>0</v>
      </c>
      <c r="H1734" s="120">
        <f>IF(ISERROR(MATCH(MASTER!B1738,'Peoplesoft Classlist'!$B:$B,0)),MASTER!B1738,0)</f>
        <v>0</v>
      </c>
    </row>
    <row r="1735" spans="2:8" x14ac:dyDescent="0.25">
      <c r="B1735" s="114"/>
      <c r="C1735" s="114"/>
      <c r="D1735" s="114"/>
      <c r="G1735" s="120">
        <f>IF(ISERROR(MATCH(B1735,MASTER!$B:$B,0)),B1735,0)</f>
        <v>0</v>
      </c>
      <c r="H1735" s="120">
        <f>IF(ISERROR(MATCH(MASTER!B1739,'Peoplesoft Classlist'!$B:$B,0)),MASTER!B1739,0)</f>
        <v>0</v>
      </c>
    </row>
    <row r="1736" spans="2:8" x14ac:dyDescent="0.25">
      <c r="B1736" s="114"/>
      <c r="C1736" s="114"/>
      <c r="D1736" s="114"/>
      <c r="G1736" s="120">
        <f>IF(ISERROR(MATCH(B1736,MASTER!$B:$B,0)),B1736,0)</f>
        <v>0</v>
      </c>
      <c r="H1736" s="120">
        <f>IF(ISERROR(MATCH(MASTER!B1740,'Peoplesoft Classlist'!$B:$B,0)),MASTER!B1740,0)</f>
        <v>0</v>
      </c>
    </row>
    <row r="1737" spans="2:8" x14ac:dyDescent="0.25">
      <c r="B1737" s="114"/>
      <c r="C1737" s="114"/>
      <c r="D1737" s="114"/>
      <c r="G1737" s="120">
        <f>IF(ISERROR(MATCH(B1737,MASTER!$B:$B,0)),B1737,0)</f>
        <v>0</v>
      </c>
      <c r="H1737" s="120">
        <f>IF(ISERROR(MATCH(MASTER!B1741,'Peoplesoft Classlist'!$B:$B,0)),MASTER!B1741,0)</f>
        <v>0</v>
      </c>
    </row>
    <row r="1738" spans="2:8" x14ac:dyDescent="0.25">
      <c r="B1738" s="114"/>
      <c r="C1738" s="114"/>
      <c r="D1738" s="114"/>
      <c r="G1738" s="120">
        <f>IF(ISERROR(MATCH(B1738,MASTER!$B:$B,0)),B1738,0)</f>
        <v>0</v>
      </c>
      <c r="H1738" s="120">
        <f>IF(ISERROR(MATCH(MASTER!B1742,'Peoplesoft Classlist'!$B:$B,0)),MASTER!B1742,0)</f>
        <v>0</v>
      </c>
    </row>
    <row r="1739" spans="2:8" x14ac:dyDescent="0.25">
      <c r="B1739" s="114"/>
      <c r="C1739" s="114"/>
      <c r="D1739" s="114"/>
      <c r="G1739" s="120">
        <f>IF(ISERROR(MATCH(B1739,MASTER!$B:$B,0)),B1739,0)</f>
        <v>0</v>
      </c>
      <c r="H1739" s="120">
        <f>IF(ISERROR(MATCH(MASTER!B1743,'Peoplesoft Classlist'!$B:$B,0)),MASTER!B1743,0)</f>
        <v>0</v>
      </c>
    </row>
    <row r="1740" spans="2:8" x14ac:dyDescent="0.25">
      <c r="B1740" s="114"/>
      <c r="C1740" s="114"/>
      <c r="D1740" s="114"/>
      <c r="G1740" s="120">
        <f>IF(ISERROR(MATCH(B1740,MASTER!$B:$B,0)),B1740,0)</f>
        <v>0</v>
      </c>
      <c r="H1740" s="120">
        <f>IF(ISERROR(MATCH(MASTER!B1744,'Peoplesoft Classlist'!$B:$B,0)),MASTER!B1744,0)</f>
        <v>0</v>
      </c>
    </row>
    <row r="1741" spans="2:8" x14ac:dyDescent="0.25">
      <c r="B1741" s="114"/>
      <c r="C1741" s="114"/>
      <c r="D1741" s="114"/>
      <c r="G1741" s="120">
        <f>IF(ISERROR(MATCH(B1741,MASTER!$B:$B,0)),B1741,0)</f>
        <v>0</v>
      </c>
      <c r="H1741" s="120">
        <f>IF(ISERROR(MATCH(MASTER!B1745,'Peoplesoft Classlist'!$B:$B,0)),MASTER!B1745,0)</f>
        <v>0</v>
      </c>
    </row>
    <row r="1742" spans="2:8" x14ac:dyDescent="0.25">
      <c r="B1742" s="114"/>
      <c r="C1742" s="114"/>
      <c r="D1742" s="114"/>
      <c r="G1742" s="120">
        <f>IF(ISERROR(MATCH(B1742,MASTER!$B:$B,0)),B1742,0)</f>
        <v>0</v>
      </c>
      <c r="H1742" s="120">
        <f>IF(ISERROR(MATCH(MASTER!B1746,'Peoplesoft Classlist'!$B:$B,0)),MASTER!B1746,0)</f>
        <v>0</v>
      </c>
    </row>
    <row r="1743" spans="2:8" x14ac:dyDescent="0.25">
      <c r="B1743" s="114"/>
      <c r="C1743" s="114"/>
      <c r="D1743" s="114"/>
      <c r="G1743" s="120">
        <f>IF(ISERROR(MATCH(B1743,MASTER!$B:$B,0)),B1743,0)</f>
        <v>0</v>
      </c>
      <c r="H1743" s="120">
        <f>IF(ISERROR(MATCH(MASTER!B1747,'Peoplesoft Classlist'!$B:$B,0)),MASTER!B1747,0)</f>
        <v>0</v>
      </c>
    </row>
    <row r="1744" spans="2:8" x14ac:dyDescent="0.25">
      <c r="B1744" s="114"/>
      <c r="C1744" s="114"/>
      <c r="D1744" s="114"/>
      <c r="G1744" s="120">
        <f>IF(ISERROR(MATCH(B1744,MASTER!$B:$B,0)),B1744,0)</f>
        <v>0</v>
      </c>
      <c r="H1744" s="120">
        <f>IF(ISERROR(MATCH(MASTER!B1748,'Peoplesoft Classlist'!$B:$B,0)),MASTER!B1748,0)</f>
        <v>0</v>
      </c>
    </row>
    <row r="1745" spans="2:8" x14ac:dyDescent="0.25">
      <c r="B1745" s="114"/>
      <c r="C1745" s="114"/>
      <c r="D1745" s="114"/>
      <c r="G1745" s="120">
        <f>IF(ISERROR(MATCH(B1745,MASTER!$B:$B,0)),B1745,0)</f>
        <v>0</v>
      </c>
      <c r="H1745" s="120">
        <f>IF(ISERROR(MATCH(MASTER!B1749,'Peoplesoft Classlist'!$B:$B,0)),MASTER!B1749,0)</f>
        <v>0</v>
      </c>
    </row>
    <row r="1746" spans="2:8" x14ac:dyDescent="0.25">
      <c r="B1746" s="114"/>
      <c r="C1746" s="114"/>
      <c r="D1746" s="114"/>
      <c r="G1746" s="120">
        <f>IF(ISERROR(MATCH(B1746,MASTER!$B:$B,0)),B1746,0)</f>
        <v>0</v>
      </c>
      <c r="H1746" s="120">
        <f>IF(ISERROR(MATCH(MASTER!B1750,'Peoplesoft Classlist'!$B:$B,0)),MASTER!B1750,0)</f>
        <v>0</v>
      </c>
    </row>
    <row r="1747" spans="2:8" x14ac:dyDescent="0.25">
      <c r="B1747" s="114"/>
      <c r="C1747" s="114"/>
      <c r="D1747" s="114"/>
      <c r="G1747" s="120">
        <f>IF(ISERROR(MATCH(B1747,MASTER!$B:$B,0)),B1747,0)</f>
        <v>0</v>
      </c>
      <c r="H1747" s="120">
        <f>IF(ISERROR(MATCH(MASTER!B1751,'Peoplesoft Classlist'!$B:$B,0)),MASTER!B1751,0)</f>
        <v>0</v>
      </c>
    </row>
    <row r="1748" spans="2:8" x14ac:dyDescent="0.25">
      <c r="B1748" s="114"/>
      <c r="C1748" s="114"/>
      <c r="D1748" s="114"/>
      <c r="G1748" s="120">
        <f>IF(ISERROR(MATCH(B1748,MASTER!$B:$B,0)),B1748,0)</f>
        <v>0</v>
      </c>
      <c r="H1748" s="120">
        <f>IF(ISERROR(MATCH(MASTER!B1752,'Peoplesoft Classlist'!$B:$B,0)),MASTER!B1752,0)</f>
        <v>0</v>
      </c>
    </row>
    <row r="1749" spans="2:8" x14ac:dyDescent="0.25">
      <c r="B1749" s="114"/>
      <c r="C1749" s="114"/>
      <c r="D1749" s="114"/>
      <c r="G1749" s="120">
        <f>IF(ISERROR(MATCH(B1749,MASTER!$B:$B,0)),B1749,0)</f>
        <v>0</v>
      </c>
      <c r="H1749" s="120">
        <f>IF(ISERROR(MATCH(MASTER!B1753,'Peoplesoft Classlist'!$B:$B,0)),MASTER!B1753,0)</f>
        <v>0</v>
      </c>
    </row>
    <row r="1750" spans="2:8" x14ac:dyDescent="0.25">
      <c r="B1750" s="114"/>
      <c r="C1750" s="114"/>
      <c r="D1750" s="114"/>
      <c r="G1750" s="120">
        <f>IF(ISERROR(MATCH(B1750,MASTER!$B:$B,0)),B1750,0)</f>
        <v>0</v>
      </c>
      <c r="H1750" s="120">
        <f>IF(ISERROR(MATCH(MASTER!B1754,'Peoplesoft Classlist'!$B:$B,0)),MASTER!B1754,0)</f>
        <v>0</v>
      </c>
    </row>
    <row r="1751" spans="2:8" x14ac:dyDescent="0.25">
      <c r="B1751" s="114"/>
      <c r="C1751" s="114"/>
      <c r="D1751" s="114"/>
      <c r="G1751" s="120">
        <f>IF(ISERROR(MATCH(B1751,MASTER!$B:$B,0)),B1751,0)</f>
        <v>0</v>
      </c>
      <c r="H1751" s="120">
        <f>IF(ISERROR(MATCH(MASTER!B1755,'Peoplesoft Classlist'!$B:$B,0)),MASTER!B1755,0)</f>
        <v>0</v>
      </c>
    </row>
    <row r="1752" spans="2:8" x14ac:dyDescent="0.25">
      <c r="B1752" s="114"/>
      <c r="C1752" s="114"/>
      <c r="D1752" s="114"/>
      <c r="G1752" s="120">
        <f>IF(ISERROR(MATCH(B1752,MASTER!$B:$B,0)),B1752,0)</f>
        <v>0</v>
      </c>
      <c r="H1752" s="120">
        <f>IF(ISERROR(MATCH(MASTER!B1756,'Peoplesoft Classlist'!$B:$B,0)),MASTER!B1756,0)</f>
        <v>0</v>
      </c>
    </row>
    <row r="1753" spans="2:8" x14ac:dyDescent="0.25">
      <c r="B1753" s="114"/>
      <c r="C1753" s="114"/>
      <c r="D1753" s="114"/>
      <c r="G1753" s="120">
        <f>IF(ISERROR(MATCH(B1753,MASTER!$B:$B,0)),B1753,0)</f>
        <v>0</v>
      </c>
      <c r="H1753" s="120">
        <f>IF(ISERROR(MATCH(MASTER!B1757,'Peoplesoft Classlist'!$B:$B,0)),MASTER!B1757,0)</f>
        <v>0</v>
      </c>
    </row>
    <row r="1754" spans="2:8" x14ac:dyDescent="0.25">
      <c r="B1754" s="114"/>
      <c r="C1754" s="114"/>
      <c r="D1754" s="114"/>
      <c r="G1754" s="120">
        <f>IF(ISERROR(MATCH(B1754,MASTER!$B:$B,0)),B1754,0)</f>
        <v>0</v>
      </c>
      <c r="H1754" s="120">
        <f>IF(ISERROR(MATCH(MASTER!B1758,'Peoplesoft Classlist'!$B:$B,0)),MASTER!B1758,0)</f>
        <v>0</v>
      </c>
    </row>
    <row r="1755" spans="2:8" x14ac:dyDescent="0.25">
      <c r="B1755" s="114"/>
      <c r="C1755" s="114"/>
      <c r="D1755" s="114"/>
      <c r="G1755" s="120">
        <f>IF(ISERROR(MATCH(B1755,MASTER!$B:$B,0)),B1755,0)</f>
        <v>0</v>
      </c>
      <c r="H1755" s="120">
        <f>IF(ISERROR(MATCH(MASTER!B1759,'Peoplesoft Classlist'!$B:$B,0)),MASTER!B1759,0)</f>
        <v>0</v>
      </c>
    </row>
    <row r="1756" spans="2:8" x14ac:dyDescent="0.25">
      <c r="B1756" s="114"/>
      <c r="C1756" s="114"/>
      <c r="D1756" s="114"/>
      <c r="G1756" s="120">
        <f>IF(ISERROR(MATCH(B1756,MASTER!$B:$B,0)),B1756,0)</f>
        <v>0</v>
      </c>
      <c r="H1756" s="120">
        <f>IF(ISERROR(MATCH(MASTER!B1760,'Peoplesoft Classlist'!$B:$B,0)),MASTER!B1760,0)</f>
        <v>0</v>
      </c>
    </row>
    <row r="1757" spans="2:8" x14ac:dyDescent="0.25">
      <c r="B1757" s="114"/>
      <c r="C1757" s="114"/>
      <c r="D1757" s="114"/>
      <c r="G1757" s="120">
        <f>IF(ISERROR(MATCH(B1757,MASTER!$B:$B,0)),B1757,0)</f>
        <v>0</v>
      </c>
      <c r="H1757" s="120">
        <f>IF(ISERROR(MATCH(MASTER!B1761,'Peoplesoft Classlist'!$B:$B,0)),MASTER!B1761,0)</f>
        <v>0</v>
      </c>
    </row>
    <row r="1758" spans="2:8" x14ac:dyDescent="0.25">
      <c r="B1758" s="114"/>
      <c r="C1758" s="114"/>
      <c r="D1758" s="114"/>
      <c r="G1758" s="120">
        <f>IF(ISERROR(MATCH(B1758,MASTER!$B:$B,0)),B1758,0)</f>
        <v>0</v>
      </c>
      <c r="H1758" s="120">
        <f>IF(ISERROR(MATCH(MASTER!B1762,'Peoplesoft Classlist'!$B:$B,0)),MASTER!B1762,0)</f>
        <v>0</v>
      </c>
    </row>
    <row r="1759" spans="2:8" x14ac:dyDescent="0.25">
      <c r="B1759" s="114"/>
      <c r="C1759" s="114"/>
      <c r="D1759" s="114"/>
      <c r="G1759" s="120">
        <f>IF(ISERROR(MATCH(B1759,MASTER!$B:$B,0)),B1759,0)</f>
        <v>0</v>
      </c>
      <c r="H1759" s="120">
        <f>IF(ISERROR(MATCH(MASTER!B1763,'Peoplesoft Classlist'!$B:$B,0)),MASTER!B1763,0)</f>
        <v>0</v>
      </c>
    </row>
    <row r="1760" spans="2:8" x14ac:dyDescent="0.25">
      <c r="B1760" s="114"/>
      <c r="C1760" s="114"/>
      <c r="D1760" s="114"/>
      <c r="G1760" s="120">
        <f>IF(ISERROR(MATCH(B1760,MASTER!$B:$B,0)),B1760,0)</f>
        <v>0</v>
      </c>
      <c r="H1760" s="120">
        <f>IF(ISERROR(MATCH(MASTER!B1764,'Peoplesoft Classlist'!$B:$B,0)),MASTER!B1764,0)</f>
        <v>0</v>
      </c>
    </row>
    <row r="1761" spans="2:8" x14ac:dyDescent="0.25">
      <c r="B1761" s="114"/>
      <c r="C1761" s="114"/>
      <c r="D1761" s="114"/>
      <c r="G1761" s="120">
        <f>IF(ISERROR(MATCH(B1761,MASTER!$B:$B,0)),B1761,0)</f>
        <v>0</v>
      </c>
      <c r="H1761" s="120">
        <f>IF(ISERROR(MATCH(MASTER!B1765,'Peoplesoft Classlist'!$B:$B,0)),MASTER!B1765,0)</f>
        <v>0</v>
      </c>
    </row>
    <row r="1762" spans="2:8" x14ac:dyDescent="0.25">
      <c r="B1762" s="114"/>
      <c r="C1762" s="114"/>
      <c r="D1762" s="114"/>
      <c r="G1762" s="120">
        <f>IF(ISERROR(MATCH(B1762,MASTER!$B:$B,0)),B1762,0)</f>
        <v>0</v>
      </c>
      <c r="H1762" s="120">
        <f>IF(ISERROR(MATCH(MASTER!B1766,'Peoplesoft Classlist'!$B:$B,0)),MASTER!B1766,0)</f>
        <v>0</v>
      </c>
    </row>
    <row r="1763" spans="2:8" x14ac:dyDescent="0.25">
      <c r="B1763" s="114"/>
      <c r="C1763" s="114"/>
      <c r="D1763" s="114"/>
      <c r="G1763" s="120">
        <f>IF(ISERROR(MATCH(B1763,MASTER!$B:$B,0)),B1763,0)</f>
        <v>0</v>
      </c>
      <c r="H1763" s="120">
        <f>IF(ISERROR(MATCH(MASTER!B1767,'Peoplesoft Classlist'!$B:$B,0)),MASTER!B1767,0)</f>
        <v>0</v>
      </c>
    </row>
    <row r="1764" spans="2:8" x14ac:dyDescent="0.25">
      <c r="B1764" s="114"/>
      <c r="C1764" s="114"/>
      <c r="D1764" s="114"/>
      <c r="G1764" s="120">
        <f>IF(ISERROR(MATCH(B1764,MASTER!$B:$B,0)),B1764,0)</f>
        <v>0</v>
      </c>
      <c r="H1764" s="120">
        <f>IF(ISERROR(MATCH(MASTER!B1768,'Peoplesoft Classlist'!$B:$B,0)),MASTER!B1768,0)</f>
        <v>0</v>
      </c>
    </row>
    <row r="1765" spans="2:8" x14ac:dyDescent="0.25">
      <c r="B1765" s="114"/>
      <c r="C1765" s="114"/>
      <c r="D1765" s="114"/>
      <c r="G1765" s="120">
        <f>IF(ISERROR(MATCH(B1765,MASTER!$B:$B,0)),B1765,0)</f>
        <v>0</v>
      </c>
      <c r="H1765" s="120">
        <f>IF(ISERROR(MATCH(MASTER!B1769,'Peoplesoft Classlist'!$B:$B,0)),MASTER!B1769,0)</f>
        <v>0</v>
      </c>
    </row>
    <row r="1766" spans="2:8" x14ac:dyDescent="0.25">
      <c r="B1766" s="114"/>
      <c r="C1766" s="114"/>
      <c r="D1766" s="114"/>
      <c r="G1766" s="120">
        <f>IF(ISERROR(MATCH(B1766,MASTER!$B:$B,0)),B1766,0)</f>
        <v>0</v>
      </c>
      <c r="H1766" s="120">
        <f>IF(ISERROR(MATCH(MASTER!B1770,'Peoplesoft Classlist'!$B:$B,0)),MASTER!B1770,0)</f>
        <v>0</v>
      </c>
    </row>
    <row r="1767" spans="2:8" x14ac:dyDescent="0.25">
      <c r="B1767" s="114"/>
      <c r="C1767" s="114"/>
      <c r="D1767" s="114"/>
      <c r="G1767" s="120">
        <f>IF(ISERROR(MATCH(B1767,MASTER!$B:$B,0)),B1767,0)</f>
        <v>0</v>
      </c>
      <c r="H1767" s="120">
        <f>IF(ISERROR(MATCH(MASTER!B1771,'Peoplesoft Classlist'!$B:$B,0)),MASTER!B1771,0)</f>
        <v>0</v>
      </c>
    </row>
    <row r="1768" spans="2:8" x14ac:dyDescent="0.25">
      <c r="B1768" s="114"/>
      <c r="C1768" s="114"/>
      <c r="D1768" s="114"/>
      <c r="G1768" s="120">
        <f>IF(ISERROR(MATCH(B1768,MASTER!$B:$B,0)),B1768,0)</f>
        <v>0</v>
      </c>
      <c r="H1768" s="120">
        <f>IF(ISERROR(MATCH(MASTER!B1772,'Peoplesoft Classlist'!$B:$B,0)),MASTER!B1772,0)</f>
        <v>0</v>
      </c>
    </row>
    <row r="1769" spans="2:8" x14ac:dyDescent="0.25">
      <c r="B1769" s="114"/>
      <c r="C1769" s="114"/>
      <c r="D1769" s="114"/>
      <c r="G1769" s="120">
        <f>IF(ISERROR(MATCH(B1769,MASTER!$B:$B,0)),B1769,0)</f>
        <v>0</v>
      </c>
      <c r="H1769" s="120">
        <f>IF(ISERROR(MATCH(MASTER!B1773,'Peoplesoft Classlist'!$B:$B,0)),MASTER!B1773,0)</f>
        <v>0</v>
      </c>
    </row>
    <row r="1770" spans="2:8" x14ac:dyDescent="0.25">
      <c r="B1770" s="114"/>
      <c r="C1770" s="114"/>
      <c r="D1770" s="114"/>
      <c r="G1770" s="120">
        <f>IF(ISERROR(MATCH(B1770,MASTER!$B:$B,0)),B1770,0)</f>
        <v>0</v>
      </c>
      <c r="H1770" s="120">
        <f>IF(ISERROR(MATCH(MASTER!B1774,'Peoplesoft Classlist'!$B:$B,0)),MASTER!B1774,0)</f>
        <v>0</v>
      </c>
    </row>
    <row r="1771" spans="2:8" x14ac:dyDescent="0.25">
      <c r="B1771" s="114"/>
      <c r="C1771" s="114"/>
      <c r="D1771" s="114"/>
      <c r="G1771" s="120">
        <f>IF(ISERROR(MATCH(B1771,MASTER!$B:$B,0)),B1771,0)</f>
        <v>0</v>
      </c>
      <c r="H1771" s="120">
        <f>IF(ISERROR(MATCH(MASTER!B1775,'Peoplesoft Classlist'!$B:$B,0)),MASTER!B1775,0)</f>
        <v>0</v>
      </c>
    </row>
    <row r="1772" spans="2:8" x14ac:dyDescent="0.25">
      <c r="B1772" s="114"/>
      <c r="C1772" s="114"/>
      <c r="D1772" s="114"/>
      <c r="G1772" s="120">
        <f>IF(ISERROR(MATCH(B1772,MASTER!$B:$B,0)),B1772,0)</f>
        <v>0</v>
      </c>
      <c r="H1772" s="120">
        <f>IF(ISERROR(MATCH(MASTER!B1776,'Peoplesoft Classlist'!$B:$B,0)),MASTER!B1776,0)</f>
        <v>0</v>
      </c>
    </row>
    <row r="1773" spans="2:8" x14ac:dyDescent="0.25">
      <c r="B1773" s="114"/>
      <c r="C1773" s="114"/>
      <c r="D1773" s="114"/>
      <c r="G1773" s="120">
        <f>IF(ISERROR(MATCH(B1773,MASTER!$B:$B,0)),B1773,0)</f>
        <v>0</v>
      </c>
      <c r="H1773" s="120">
        <f>IF(ISERROR(MATCH(MASTER!B1777,'Peoplesoft Classlist'!$B:$B,0)),MASTER!B1777,0)</f>
        <v>0</v>
      </c>
    </row>
    <row r="1774" spans="2:8" x14ac:dyDescent="0.25">
      <c r="B1774" s="114"/>
      <c r="C1774" s="114"/>
      <c r="D1774" s="114"/>
      <c r="G1774" s="120">
        <f>IF(ISERROR(MATCH(B1774,MASTER!$B:$B,0)),B1774,0)</f>
        <v>0</v>
      </c>
      <c r="H1774" s="120">
        <f>IF(ISERROR(MATCH(MASTER!B1778,'Peoplesoft Classlist'!$B:$B,0)),MASTER!B1778,0)</f>
        <v>0</v>
      </c>
    </row>
    <row r="1775" spans="2:8" x14ac:dyDescent="0.25">
      <c r="B1775" s="114"/>
      <c r="C1775" s="114"/>
      <c r="D1775" s="114"/>
      <c r="G1775" s="120">
        <f>IF(ISERROR(MATCH(B1775,MASTER!$B:$B,0)),B1775,0)</f>
        <v>0</v>
      </c>
      <c r="H1775" s="120">
        <f>IF(ISERROR(MATCH(MASTER!B1779,'Peoplesoft Classlist'!$B:$B,0)),MASTER!B1779,0)</f>
        <v>0</v>
      </c>
    </row>
    <row r="1776" spans="2:8" x14ac:dyDescent="0.25">
      <c r="B1776" s="114"/>
      <c r="C1776" s="114"/>
      <c r="D1776" s="114"/>
      <c r="G1776" s="120">
        <f>IF(ISERROR(MATCH(B1776,MASTER!$B:$B,0)),B1776,0)</f>
        <v>0</v>
      </c>
      <c r="H1776" s="120">
        <f>IF(ISERROR(MATCH(MASTER!B1780,'Peoplesoft Classlist'!$B:$B,0)),MASTER!B1780,0)</f>
        <v>0</v>
      </c>
    </row>
    <row r="1777" spans="2:8" x14ac:dyDescent="0.25">
      <c r="B1777" s="114"/>
      <c r="C1777" s="114"/>
      <c r="D1777" s="114"/>
      <c r="G1777" s="120">
        <f>IF(ISERROR(MATCH(B1777,MASTER!$B:$B,0)),B1777,0)</f>
        <v>0</v>
      </c>
      <c r="H1777" s="120">
        <f>IF(ISERROR(MATCH(MASTER!B1781,'Peoplesoft Classlist'!$B:$B,0)),MASTER!B1781,0)</f>
        <v>0</v>
      </c>
    </row>
    <row r="1778" spans="2:8" x14ac:dyDescent="0.25">
      <c r="B1778" s="114"/>
      <c r="C1778" s="114"/>
      <c r="D1778" s="114"/>
      <c r="G1778" s="120">
        <f>IF(ISERROR(MATCH(B1778,MASTER!$B:$B,0)),B1778,0)</f>
        <v>0</v>
      </c>
      <c r="H1778" s="120">
        <f>IF(ISERROR(MATCH(MASTER!B1782,'Peoplesoft Classlist'!$B:$B,0)),MASTER!B1782,0)</f>
        <v>0</v>
      </c>
    </row>
    <row r="1779" spans="2:8" x14ac:dyDescent="0.25">
      <c r="B1779" s="114"/>
      <c r="C1779" s="114"/>
      <c r="D1779" s="114"/>
      <c r="G1779" s="120">
        <f>IF(ISERROR(MATCH(B1779,MASTER!$B:$B,0)),B1779,0)</f>
        <v>0</v>
      </c>
      <c r="H1779" s="120">
        <f>IF(ISERROR(MATCH(MASTER!B1783,'Peoplesoft Classlist'!$B:$B,0)),MASTER!B1783,0)</f>
        <v>0</v>
      </c>
    </row>
    <row r="1780" spans="2:8" x14ac:dyDescent="0.25">
      <c r="B1780" s="114"/>
      <c r="C1780" s="114"/>
      <c r="D1780" s="114"/>
      <c r="G1780" s="120">
        <f>IF(ISERROR(MATCH(B1780,MASTER!$B:$B,0)),B1780,0)</f>
        <v>0</v>
      </c>
      <c r="H1780" s="120">
        <f>IF(ISERROR(MATCH(MASTER!B1784,'Peoplesoft Classlist'!$B:$B,0)),MASTER!B1784,0)</f>
        <v>0</v>
      </c>
    </row>
    <row r="1781" spans="2:8" x14ac:dyDescent="0.25">
      <c r="B1781" s="114"/>
      <c r="C1781" s="114"/>
      <c r="D1781" s="114"/>
      <c r="G1781" s="120">
        <f>IF(ISERROR(MATCH(B1781,MASTER!$B:$B,0)),B1781,0)</f>
        <v>0</v>
      </c>
      <c r="H1781" s="120">
        <f>IF(ISERROR(MATCH(MASTER!B1785,'Peoplesoft Classlist'!$B:$B,0)),MASTER!B1785,0)</f>
        <v>0</v>
      </c>
    </row>
    <row r="1782" spans="2:8" x14ac:dyDescent="0.25">
      <c r="B1782" s="114"/>
      <c r="C1782" s="114"/>
      <c r="D1782" s="114"/>
      <c r="G1782" s="120">
        <f>IF(ISERROR(MATCH(B1782,MASTER!$B:$B,0)),B1782,0)</f>
        <v>0</v>
      </c>
      <c r="H1782" s="120">
        <f>IF(ISERROR(MATCH(MASTER!B1786,'Peoplesoft Classlist'!$B:$B,0)),MASTER!B1786,0)</f>
        <v>0</v>
      </c>
    </row>
    <row r="1783" spans="2:8" x14ac:dyDescent="0.25">
      <c r="B1783" s="114"/>
      <c r="C1783" s="114"/>
      <c r="D1783" s="114"/>
      <c r="G1783" s="120">
        <f>IF(ISERROR(MATCH(B1783,MASTER!$B:$B,0)),B1783,0)</f>
        <v>0</v>
      </c>
      <c r="H1783" s="120">
        <f>IF(ISERROR(MATCH(MASTER!B1787,'Peoplesoft Classlist'!$B:$B,0)),MASTER!B1787,0)</f>
        <v>0</v>
      </c>
    </row>
    <row r="1784" spans="2:8" x14ac:dyDescent="0.25">
      <c r="B1784" s="114"/>
      <c r="C1784" s="114"/>
      <c r="D1784" s="114"/>
      <c r="G1784" s="120">
        <f>IF(ISERROR(MATCH(B1784,MASTER!$B:$B,0)),B1784,0)</f>
        <v>0</v>
      </c>
      <c r="H1784" s="120">
        <f>IF(ISERROR(MATCH(MASTER!B1788,'Peoplesoft Classlist'!$B:$B,0)),MASTER!B1788,0)</f>
        <v>0</v>
      </c>
    </row>
    <row r="1785" spans="2:8" x14ac:dyDescent="0.25">
      <c r="B1785" s="114"/>
      <c r="C1785" s="114"/>
      <c r="D1785" s="114"/>
      <c r="G1785" s="120">
        <f>IF(ISERROR(MATCH(B1785,MASTER!$B:$B,0)),B1785,0)</f>
        <v>0</v>
      </c>
      <c r="H1785" s="120">
        <f>IF(ISERROR(MATCH(MASTER!B1789,'Peoplesoft Classlist'!$B:$B,0)),MASTER!B1789,0)</f>
        <v>0</v>
      </c>
    </row>
    <row r="1786" spans="2:8" x14ac:dyDescent="0.25">
      <c r="B1786" s="114"/>
      <c r="C1786" s="114"/>
      <c r="D1786" s="114"/>
      <c r="G1786" s="120">
        <f>IF(ISERROR(MATCH(B1786,MASTER!$B:$B,0)),B1786,0)</f>
        <v>0</v>
      </c>
      <c r="H1786" s="120">
        <f>IF(ISERROR(MATCH(MASTER!B1790,'Peoplesoft Classlist'!$B:$B,0)),MASTER!B1790,0)</f>
        <v>0</v>
      </c>
    </row>
    <row r="1787" spans="2:8" x14ac:dyDescent="0.25">
      <c r="B1787" s="114"/>
      <c r="C1787" s="114"/>
      <c r="D1787" s="114"/>
      <c r="G1787" s="120">
        <f>IF(ISERROR(MATCH(B1787,MASTER!$B:$B,0)),B1787,0)</f>
        <v>0</v>
      </c>
      <c r="H1787" s="120">
        <f>IF(ISERROR(MATCH(MASTER!B1791,'Peoplesoft Classlist'!$B:$B,0)),MASTER!B1791,0)</f>
        <v>0</v>
      </c>
    </row>
    <row r="1788" spans="2:8" x14ac:dyDescent="0.25">
      <c r="B1788" s="114"/>
      <c r="C1788" s="114"/>
      <c r="D1788" s="114"/>
      <c r="G1788" s="120">
        <f>IF(ISERROR(MATCH(B1788,MASTER!$B:$B,0)),B1788,0)</f>
        <v>0</v>
      </c>
      <c r="H1788" s="120">
        <f>IF(ISERROR(MATCH(MASTER!B1792,'Peoplesoft Classlist'!$B:$B,0)),MASTER!B1792,0)</f>
        <v>0</v>
      </c>
    </row>
    <row r="1789" spans="2:8" x14ac:dyDescent="0.25">
      <c r="B1789" s="114"/>
      <c r="C1789" s="114"/>
      <c r="D1789" s="114"/>
      <c r="G1789" s="120">
        <f>IF(ISERROR(MATCH(B1789,MASTER!$B:$B,0)),B1789,0)</f>
        <v>0</v>
      </c>
      <c r="H1789" s="120">
        <f>IF(ISERROR(MATCH(MASTER!B1793,'Peoplesoft Classlist'!$B:$B,0)),MASTER!B1793,0)</f>
        <v>0</v>
      </c>
    </row>
    <row r="1790" spans="2:8" x14ac:dyDescent="0.25">
      <c r="B1790" s="114"/>
      <c r="C1790" s="114"/>
      <c r="D1790" s="114"/>
      <c r="G1790" s="120">
        <f>IF(ISERROR(MATCH(B1790,MASTER!$B:$B,0)),B1790,0)</f>
        <v>0</v>
      </c>
      <c r="H1790" s="120">
        <f>IF(ISERROR(MATCH(MASTER!B1794,'Peoplesoft Classlist'!$B:$B,0)),MASTER!B1794,0)</f>
        <v>0</v>
      </c>
    </row>
    <row r="1791" spans="2:8" x14ac:dyDescent="0.25">
      <c r="B1791" s="114"/>
      <c r="C1791" s="114"/>
      <c r="D1791" s="114"/>
      <c r="G1791" s="120">
        <f>IF(ISERROR(MATCH(B1791,MASTER!$B:$B,0)),B1791,0)</f>
        <v>0</v>
      </c>
      <c r="H1791" s="120">
        <f>IF(ISERROR(MATCH(MASTER!B1795,'Peoplesoft Classlist'!$B:$B,0)),MASTER!B1795,0)</f>
        <v>0</v>
      </c>
    </row>
    <row r="1792" spans="2:8" x14ac:dyDescent="0.25">
      <c r="B1792" s="114"/>
      <c r="C1792" s="114"/>
      <c r="D1792" s="114"/>
      <c r="G1792" s="120">
        <f>IF(ISERROR(MATCH(B1792,MASTER!$B:$B,0)),B1792,0)</f>
        <v>0</v>
      </c>
      <c r="H1792" s="120">
        <f>IF(ISERROR(MATCH(MASTER!B1796,'Peoplesoft Classlist'!$B:$B,0)),MASTER!B1796,0)</f>
        <v>0</v>
      </c>
    </row>
    <row r="1793" spans="2:8" x14ac:dyDescent="0.25">
      <c r="B1793" s="114"/>
      <c r="C1793" s="114"/>
      <c r="D1793" s="114"/>
      <c r="G1793" s="120">
        <f>IF(ISERROR(MATCH(B1793,MASTER!$B:$B,0)),B1793,0)</f>
        <v>0</v>
      </c>
      <c r="H1793" s="120">
        <f>IF(ISERROR(MATCH(MASTER!B1797,'Peoplesoft Classlist'!$B:$B,0)),MASTER!B1797,0)</f>
        <v>0</v>
      </c>
    </row>
    <row r="1794" spans="2:8" x14ac:dyDescent="0.25">
      <c r="B1794" s="114"/>
      <c r="C1794" s="114"/>
      <c r="D1794" s="114"/>
      <c r="G1794" s="120">
        <f>IF(ISERROR(MATCH(B1794,MASTER!$B:$B,0)),B1794,0)</f>
        <v>0</v>
      </c>
      <c r="H1794" s="120">
        <f>IF(ISERROR(MATCH(MASTER!B1798,'Peoplesoft Classlist'!$B:$B,0)),MASTER!B1798,0)</f>
        <v>0</v>
      </c>
    </row>
    <row r="1795" spans="2:8" x14ac:dyDescent="0.25">
      <c r="B1795" s="114"/>
      <c r="C1795" s="114"/>
      <c r="D1795" s="114"/>
      <c r="G1795" s="120">
        <f>IF(ISERROR(MATCH(B1795,MASTER!$B:$B,0)),B1795,0)</f>
        <v>0</v>
      </c>
      <c r="H1795" s="120">
        <f>IF(ISERROR(MATCH(MASTER!B1799,'Peoplesoft Classlist'!$B:$B,0)),MASTER!B1799,0)</f>
        <v>0</v>
      </c>
    </row>
    <row r="1796" spans="2:8" x14ac:dyDescent="0.25">
      <c r="B1796" s="114"/>
      <c r="C1796" s="114"/>
      <c r="D1796" s="114"/>
      <c r="G1796" s="120">
        <f>IF(ISERROR(MATCH(B1796,MASTER!$B:$B,0)),B1796,0)</f>
        <v>0</v>
      </c>
      <c r="H1796" s="120">
        <f>IF(ISERROR(MATCH(MASTER!B1800,'Peoplesoft Classlist'!$B:$B,0)),MASTER!B1800,0)</f>
        <v>0</v>
      </c>
    </row>
    <row r="1797" spans="2:8" x14ac:dyDescent="0.25">
      <c r="B1797" s="114"/>
      <c r="C1797" s="114"/>
      <c r="D1797" s="114"/>
      <c r="G1797" s="120">
        <f>IF(ISERROR(MATCH(B1797,MASTER!$B:$B,0)),B1797,0)</f>
        <v>0</v>
      </c>
      <c r="H1797" s="120">
        <f>IF(ISERROR(MATCH(MASTER!B1801,'Peoplesoft Classlist'!$B:$B,0)),MASTER!B1801,0)</f>
        <v>0</v>
      </c>
    </row>
    <row r="1798" spans="2:8" x14ac:dyDescent="0.25">
      <c r="B1798" s="114"/>
      <c r="C1798" s="114"/>
      <c r="D1798" s="114"/>
      <c r="G1798" s="120">
        <f>IF(ISERROR(MATCH(B1798,MASTER!$B:$B,0)),B1798,0)</f>
        <v>0</v>
      </c>
      <c r="H1798" s="120">
        <f>IF(ISERROR(MATCH(MASTER!B1802,'Peoplesoft Classlist'!$B:$B,0)),MASTER!B1802,0)</f>
        <v>0</v>
      </c>
    </row>
    <row r="1799" spans="2:8" x14ac:dyDescent="0.25">
      <c r="B1799" s="114"/>
      <c r="C1799" s="114"/>
      <c r="D1799" s="114"/>
      <c r="G1799" s="120">
        <f>IF(ISERROR(MATCH(B1799,MASTER!$B:$B,0)),B1799,0)</f>
        <v>0</v>
      </c>
      <c r="H1799" s="120">
        <f>IF(ISERROR(MATCH(MASTER!B1803,'Peoplesoft Classlist'!$B:$B,0)),MASTER!B1803,0)</f>
        <v>0</v>
      </c>
    </row>
    <row r="1800" spans="2:8" x14ac:dyDescent="0.25">
      <c r="B1800" s="114"/>
      <c r="C1800" s="114"/>
      <c r="D1800" s="114"/>
      <c r="G1800" s="120">
        <f>IF(ISERROR(MATCH(B1800,MASTER!$B:$B,0)),B1800,0)</f>
        <v>0</v>
      </c>
      <c r="H1800" s="120">
        <f>IF(ISERROR(MATCH(MASTER!B1804,'Peoplesoft Classlist'!$B:$B,0)),MASTER!B1804,0)</f>
        <v>0</v>
      </c>
    </row>
    <row r="1801" spans="2:8" x14ac:dyDescent="0.25">
      <c r="B1801" s="114"/>
      <c r="C1801" s="114"/>
      <c r="D1801" s="114"/>
      <c r="G1801" s="120">
        <f>IF(ISERROR(MATCH(B1801,MASTER!$B:$B,0)),B1801,0)</f>
        <v>0</v>
      </c>
      <c r="H1801" s="120">
        <f>IF(ISERROR(MATCH(MASTER!B1805,'Peoplesoft Classlist'!$B:$B,0)),MASTER!B1805,0)</f>
        <v>0</v>
      </c>
    </row>
    <row r="1802" spans="2:8" x14ac:dyDescent="0.25">
      <c r="B1802" s="114"/>
      <c r="C1802" s="114"/>
      <c r="D1802" s="114"/>
      <c r="G1802" s="120">
        <f>IF(ISERROR(MATCH(B1802,MASTER!$B:$B,0)),B1802,0)</f>
        <v>0</v>
      </c>
      <c r="H1802" s="120">
        <f>IF(ISERROR(MATCH(MASTER!B1806,'Peoplesoft Classlist'!$B:$B,0)),MASTER!B1806,0)</f>
        <v>0</v>
      </c>
    </row>
    <row r="1803" spans="2:8" x14ac:dyDescent="0.25">
      <c r="B1803" s="114"/>
      <c r="C1803" s="114"/>
      <c r="D1803" s="114"/>
      <c r="G1803" s="120">
        <f>IF(ISERROR(MATCH(B1803,MASTER!$B:$B,0)),B1803,0)</f>
        <v>0</v>
      </c>
      <c r="H1803" s="120">
        <f>IF(ISERROR(MATCH(MASTER!B1807,'Peoplesoft Classlist'!$B:$B,0)),MASTER!B1807,0)</f>
        <v>0</v>
      </c>
    </row>
    <row r="1804" spans="2:8" x14ac:dyDescent="0.25">
      <c r="B1804" s="114"/>
      <c r="C1804" s="114"/>
      <c r="D1804" s="114"/>
      <c r="G1804" s="120">
        <f>IF(ISERROR(MATCH(B1804,MASTER!$B:$B,0)),B1804,0)</f>
        <v>0</v>
      </c>
      <c r="H1804" s="120">
        <f>IF(ISERROR(MATCH(MASTER!B1808,'Peoplesoft Classlist'!$B:$B,0)),MASTER!B1808,0)</f>
        <v>0</v>
      </c>
    </row>
    <row r="1805" spans="2:8" x14ac:dyDescent="0.25">
      <c r="B1805" s="114"/>
      <c r="C1805" s="114"/>
      <c r="D1805" s="114"/>
      <c r="G1805" s="120">
        <f>IF(ISERROR(MATCH(B1805,MASTER!$B:$B,0)),B1805,0)</f>
        <v>0</v>
      </c>
      <c r="H1805" s="120">
        <f>IF(ISERROR(MATCH(MASTER!B1809,'Peoplesoft Classlist'!$B:$B,0)),MASTER!B1809,0)</f>
        <v>0</v>
      </c>
    </row>
    <row r="1806" spans="2:8" x14ac:dyDescent="0.25">
      <c r="B1806" s="114"/>
      <c r="C1806" s="114"/>
      <c r="D1806" s="114"/>
      <c r="G1806" s="120">
        <f>IF(ISERROR(MATCH(B1806,MASTER!$B:$B,0)),B1806,0)</f>
        <v>0</v>
      </c>
      <c r="H1806" s="120">
        <f>IF(ISERROR(MATCH(MASTER!B1810,'Peoplesoft Classlist'!$B:$B,0)),MASTER!B1810,0)</f>
        <v>0</v>
      </c>
    </row>
    <row r="1807" spans="2:8" x14ac:dyDescent="0.25">
      <c r="B1807" s="114"/>
      <c r="C1807" s="114"/>
      <c r="D1807" s="114"/>
      <c r="G1807" s="120">
        <f>IF(ISERROR(MATCH(B1807,MASTER!$B:$B,0)),B1807,0)</f>
        <v>0</v>
      </c>
      <c r="H1807" s="120">
        <f>IF(ISERROR(MATCH(MASTER!B1811,'Peoplesoft Classlist'!$B:$B,0)),MASTER!B1811,0)</f>
        <v>0</v>
      </c>
    </row>
    <row r="1808" spans="2:8" x14ac:dyDescent="0.25">
      <c r="B1808" s="114"/>
      <c r="C1808" s="114"/>
      <c r="D1808" s="114"/>
      <c r="G1808" s="120">
        <f>IF(ISERROR(MATCH(B1808,MASTER!$B:$B,0)),B1808,0)</f>
        <v>0</v>
      </c>
      <c r="H1808" s="120">
        <f>IF(ISERROR(MATCH(MASTER!B1812,'Peoplesoft Classlist'!$B:$B,0)),MASTER!B1812,0)</f>
        <v>0</v>
      </c>
    </row>
    <row r="1809" spans="2:8" x14ac:dyDescent="0.25">
      <c r="B1809" s="114"/>
      <c r="C1809" s="114"/>
      <c r="D1809" s="114"/>
      <c r="G1809" s="120">
        <f>IF(ISERROR(MATCH(B1809,MASTER!$B:$B,0)),B1809,0)</f>
        <v>0</v>
      </c>
      <c r="H1809" s="120">
        <f>IF(ISERROR(MATCH(MASTER!B1813,'Peoplesoft Classlist'!$B:$B,0)),MASTER!B1813,0)</f>
        <v>0</v>
      </c>
    </row>
    <row r="1810" spans="2:8" x14ac:dyDescent="0.25">
      <c r="B1810" s="114"/>
      <c r="C1810" s="114"/>
      <c r="D1810" s="114"/>
      <c r="G1810" s="120">
        <f>IF(ISERROR(MATCH(B1810,MASTER!$B:$B,0)),B1810,0)</f>
        <v>0</v>
      </c>
      <c r="H1810" s="120">
        <f>IF(ISERROR(MATCH(MASTER!B1814,'Peoplesoft Classlist'!$B:$B,0)),MASTER!B1814,0)</f>
        <v>0</v>
      </c>
    </row>
    <row r="1811" spans="2:8" x14ac:dyDescent="0.25">
      <c r="B1811" s="114"/>
      <c r="C1811" s="114"/>
      <c r="D1811" s="114"/>
      <c r="G1811" s="120">
        <f>IF(ISERROR(MATCH(B1811,MASTER!$B:$B,0)),B1811,0)</f>
        <v>0</v>
      </c>
      <c r="H1811" s="120">
        <f>IF(ISERROR(MATCH(MASTER!B1815,'Peoplesoft Classlist'!$B:$B,0)),MASTER!B1815,0)</f>
        <v>0</v>
      </c>
    </row>
    <row r="1812" spans="2:8" x14ac:dyDescent="0.25">
      <c r="B1812" s="114"/>
      <c r="C1812" s="114"/>
      <c r="D1812" s="114"/>
      <c r="G1812" s="120">
        <f>IF(ISERROR(MATCH(B1812,MASTER!$B:$B,0)),B1812,0)</f>
        <v>0</v>
      </c>
      <c r="H1812" s="120">
        <f>IF(ISERROR(MATCH(MASTER!B1816,'Peoplesoft Classlist'!$B:$B,0)),MASTER!B1816,0)</f>
        <v>0</v>
      </c>
    </row>
    <row r="1813" spans="2:8" x14ac:dyDescent="0.25">
      <c r="B1813" s="114"/>
      <c r="C1813" s="114"/>
      <c r="D1813" s="114"/>
      <c r="G1813" s="120">
        <f>IF(ISERROR(MATCH(B1813,MASTER!$B:$B,0)),B1813,0)</f>
        <v>0</v>
      </c>
      <c r="H1813" s="120">
        <f>IF(ISERROR(MATCH(MASTER!B1817,'Peoplesoft Classlist'!$B:$B,0)),MASTER!B1817,0)</f>
        <v>0</v>
      </c>
    </row>
    <row r="1814" spans="2:8" x14ac:dyDescent="0.25">
      <c r="B1814" s="114"/>
      <c r="C1814" s="114"/>
      <c r="D1814" s="114"/>
      <c r="G1814" s="120">
        <f>IF(ISERROR(MATCH(B1814,MASTER!$B:$B,0)),B1814,0)</f>
        <v>0</v>
      </c>
      <c r="H1814" s="120">
        <f>IF(ISERROR(MATCH(MASTER!B1818,'Peoplesoft Classlist'!$B:$B,0)),MASTER!B1818,0)</f>
        <v>0</v>
      </c>
    </row>
    <row r="1815" spans="2:8" x14ac:dyDescent="0.25">
      <c r="B1815" s="114"/>
      <c r="C1815" s="114"/>
      <c r="D1815" s="114"/>
      <c r="G1815" s="120">
        <f>IF(ISERROR(MATCH(B1815,MASTER!$B:$B,0)),B1815,0)</f>
        <v>0</v>
      </c>
      <c r="H1815" s="120">
        <f>IF(ISERROR(MATCH(MASTER!B1819,'Peoplesoft Classlist'!$B:$B,0)),MASTER!B1819,0)</f>
        <v>0</v>
      </c>
    </row>
    <row r="1816" spans="2:8" x14ac:dyDescent="0.25">
      <c r="B1816" s="114"/>
      <c r="C1816" s="114"/>
      <c r="D1816" s="114"/>
      <c r="G1816" s="120">
        <f>IF(ISERROR(MATCH(B1816,MASTER!$B:$B,0)),B1816,0)</f>
        <v>0</v>
      </c>
      <c r="H1816" s="120">
        <f>IF(ISERROR(MATCH(MASTER!B1820,'Peoplesoft Classlist'!$B:$B,0)),MASTER!B1820,0)</f>
        <v>0</v>
      </c>
    </row>
    <row r="1817" spans="2:8" x14ac:dyDescent="0.25">
      <c r="B1817" s="114"/>
      <c r="C1817" s="114"/>
      <c r="D1817" s="114"/>
      <c r="G1817" s="120">
        <f>IF(ISERROR(MATCH(B1817,MASTER!$B:$B,0)),B1817,0)</f>
        <v>0</v>
      </c>
      <c r="H1817" s="120">
        <f>IF(ISERROR(MATCH(MASTER!B1821,'Peoplesoft Classlist'!$B:$B,0)),MASTER!B1821,0)</f>
        <v>0</v>
      </c>
    </row>
    <row r="1818" spans="2:8" x14ac:dyDescent="0.25">
      <c r="B1818" s="114"/>
      <c r="C1818" s="114"/>
      <c r="D1818" s="114"/>
      <c r="G1818" s="120">
        <f>IF(ISERROR(MATCH(B1818,MASTER!$B:$B,0)),B1818,0)</f>
        <v>0</v>
      </c>
      <c r="H1818" s="120">
        <f>IF(ISERROR(MATCH(MASTER!B1822,'Peoplesoft Classlist'!$B:$B,0)),MASTER!B1822,0)</f>
        <v>0</v>
      </c>
    </row>
    <row r="1819" spans="2:8" x14ac:dyDescent="0.25">
      <c r="B1819" s="114"/>
      <c r="C1819" s="114"/>
      <c r="D1819" s="114"/>
      <c r="G1819" s="120">
        <f>IF(ISERROR(MATCH(B1819,MASTER!$B:$B,0)),B1819,0)</f>
        <v>0</v>
      </c>
      <c r="H1819" s="120">
        <f>IF(ISERROR(MATCH(MASTER!B1823,'Peoplesoft Classlist'!$B:$B,0)),MASTER!B1823,0)</f>
        <v>0</v>
      </c>
    </row>
    <row r="1820" spans="2:8" x14ac:dyDescent="0.25">
      <c r="B1820" s="114"/>
      <c r="C1820" s="114"/>
      <c r="D1820" s="114"/>
      <c r="G1820" s="120">
        <f>IF(ISERROR(MATCH(B1820,MASTER!$B:$B,0)),B1820,0)</f>
        <v>0</v>
      </c>
      <c r="H1820" s="120">
        <f>IF(ISERROR(MATCH(MASTER!B1824,'Peoplesoft Classlist'!$B:$B,0)),MASTER!B1824,0)</f>
        <v>0</v>
      </c>
    </row>
    <row r="1821" spans="2:8" x14ac:dyDescent="0.25">
      <c r="B1821" s="114"/>
      <c r="C1821" s="114"/>
      <c r="D1821" s="114"/>
      <c r="G1821" s="120">
        <f>IF(ISERROR(MATCH(B1821,MASTER!$B:$B,0)),B1821,0)</f>
        <v>0</v>
      </c>
      <c r="H1821" s="120">
        <f>IF(ISERROR(MATCH(MASTER!B1825,'Peoplesoft Classlist'!$B:$B,0)),MASTER!B1825,0)</f>
        <v>0</v>
      </c>
    </row>
    <row r="1822" spans="2:8" x14ac:dyDescent="0.25">
      <c r="B1822" s="114"/>
      <c r="C1822" s="114"/>
      <c r="D1822" s="114"/>
      <c r="G1822" s="120">
        <f>IF(ISERROR(MATCH(B1822,MASTER!$B:$B,0)),B1822,0)</f>
        <v>0</v>
      </c>
      <c r="H1822" s="120">
        <f>IF(ISERROR(MATCH(MASTER!B1826,'Peoplesoft Classlist'!$B:$B,0)),MASTER!B1826,0)</f>
        <v>0</v>
      </c>
    </row>
    <row r="1823" spans="2:8" x14ac:dyDescent="0.25">
      <c r="B1823" s="114"/>
      <c r="C1823" s="114"/>
      <c r="D1823" s="114"/>
      <c r="G1823" s="120">
        <f>IF(ISERROR(MATCH(B1823,MASTER!$B:$B,0)),B1823,0)</f>
        <v>0</v>
      </c>
      <c r="H1823" s="120">
        <f>IF(ISERROR(MATCH(MASTER!B1827,'Peoplesoft Classlist'!$B:$B,0)),MASTER!B1827,0)</f>
        <v>0</v>
      </c>
    </row>
    <row r="1824" spans="2:8" x14ac:dyDescent="0.25">
      <c r="B1824" s="114"/>
      <c r="C1824" s="114"/>
      <c r="D1824" s="114"/>
      <c r="G1824" s="120">
        <f>IF(ISERROR(MATCH(B1824,MASTER!$B:$B,0)),B1824,0)</f>
        <v>0</v>
      </c>
      <c r="H1824" s="120">
        <f>IF(ISERROR(MATCH(MASTER!B1828,'Peoplesoft Classlist'!$B:$B,0)),MASTER!B1828,0)</f>
        <v>0</v>
      </c>
    </row>
    <row r="1825" spans="2:8" x14ac:dyDescent="0.25">
      <c r="B1825" s="114"/>
      <c r="C1825" s="114"/>
      <c r="D1825" s="114"/>
      <c r="G1825" s="120">
        <f>IF(ISERROR(MATCH(B1825,MASTER!$B:$B,0)),B1825,0)</f>
        <v>0</v>
      </c>
      <c r="H1825" s="120">
        <f>IF(ISERROR(MATCH(MASTER!B1829,'Peoplesoft Classlist'!$B:$B,0)),MASTER!B1829,0)</f>
        <v>0</v>
      </c>
    </row>
    <row r="1826" spans="2:8" x14ac:dyDescent="0.25">
      <c r="B1826" s="114"/>
      <c r="C1826" s="114"/>
      <c r="D1826" s="114"/>
      <c r="G1826" s="120">
        <f>IF(ISERROR(MATCH(B1826,MASTER!$B:$B,0)),B1826,0)</f>
        <v>0</v>
      </c>
      <c r="H1826" s="120">
        <f>IF(ISERROR(MATCH(MASTER!B1830,'Peoplesoft Classlist'!$B:$B,0)),MASTER!B1830,0)</f>
        <v>0</v>
      </c>
    </row>
    <row r="1827" spans="2:8" x14ac:dyDescent="0.25">
      <c r="B1827" s="114"/>
      <c r="C1827" s="114"/>
      <c r="D1827" s="114"/>
      <c r="G1827" s="120">
        <f>IF(ISERROR(MATCH(B1827,MASTER!$B:$B,0)),B1827,0)</f>
        <v>0</v>
      </c>
      <c r="H1827" s="120">
        <f>IF(ISERROR(MATCH(MASTER!B1831,'Peoplesoft Classlist'!$B:$B,0)),MASTER!B1831,0)</f>
        <v>0</v>
      </c>
    </row>
    <row r="1828" spans="2:8" x14ac:dyDescent="0.25">
      <c r="B1828" s="114"/>
      <c r="C1828" s="114"/>
      <c r="D1828" s="114"/>
      <c r="G1828" s="120">
        <f>IF(ISERROR(MATCH(B1828,MASTER!$B:$B,0)),B1828,0)</f>
        <v>0</v>
      </c>
      <c r="H1828" s="120">
        <f>IF(ISERROR(MATCH(MASTER!B1832,'Peoplesoft Classlist'!$B:$B,0)),MASTER!B1832,0)</f>
        <v>0</v>
      </c>
    </row>
    <row r="1829" spans="2:8" x14ac:dyDescent="0.25">
      <c r="B1829" s="114"/>
      <c r="C1829" s="114"/>
      <c r="D1829" s="114"/>
      <c r="G1829" s="120">
        <f>IF(ISERROR(MATCH(B1829,MASTER!$B:$B,0)),B1829,0)</f>
        <v>0</v>
      </c>
      <c r="H1829" s="120">
        <f>IF(ISERROR(MATCH(MASTER!B1833,'Peoplesoft Classlist'!$B:$B,0)),MASTER!B1833,0)</f>
        <v>0</v>
      </c>
    </row>
    <row r="1830" spans="2:8" x14ac:dyDescent="0.25">
      <c r="B1830" s="114"/>
      <c r="C1830" s="114"/>
      <c r="D1830" s="114"/>
      <c r="G1830" s="120">
        <f>IF(ISERROR(MATCH(B1830,MASTER!$B:$B,0)),B1830,0)</f>
        <v>0</v>
      </c>
      <c r="H1830" s="120">
        <f>IF(ISERROR(MATCH(MASTER!B1834,'Peoplesoft Classlist'!$B:$B,0)),MASTER!B1834,0)</f>
        <v>0</v>
      </c>
    </row>
    <row r="1831" spans="2:8" x14ac:dyDescent="0.25">
      <c r="B1831" s="114"/>
      <c r="C1831" s="114"/>
      <c r="D1831" s="114"/>
      <c r="G1831" s="120">
        <f>IF(ISERROR(MATCH(B1831,MASTER!$B:$B,0)),B1831,0)</f>
        <v>0</v>
      </c>
      <c r="H1831" s="120">
        <f>IF(ISERROR(MATCH(MASTER!B1835,'Peoplesoft Classlist'!$B:$B,0)),MASTER!B1835,0)</f>
        <v>0</v>
      </c>
    </row>
    <row r="1832" spans="2:8" x14ac:dyDescent="0.25">
      <c r="B1832" s="114"/>
      <c r="C1832" s="114"/>
      <c r="D1832" s="114"/>
      <c r="G1832" s="120">
        <f>IF(ISERROR(MATCH(B1832,MASTER!$B:$B,0)),B1832,0)</f>
        <v>0</v>
      </c>
      <c r="H1832" s="120">
        <f>IF(ISERROR(MATCH(MASTER!B1836,'Peoplesoft Classlist'!$B:$B,0)),MASTER!B1836,0)</f>
        <v>0</v>
      </c>
    </row>
    <row r="1833" spans="2:8" x14ac:dyDescent="0.25">
      <c r="B1833" s="114"/>
      <c r="C1833" s="114"/>
      <c r="D1833" s="114"/>
      <c r="G1833" s="120">
        <f>IF(ISERROR(MATCH(B1833,MASTER!$B:$B,0)),B1833,0)</f>
        <v>0</v>
      </c>
      <c r="H1833" s="120">
        <f>IF(ISERROR(MATCH(MASTER!B1837,'Peoplesoft Classlist'!$B:$B,0)),MASTER!B1837,0)</f>
        <v>0</v>
      </c>
    </row>
    <row r="1834" spans="2:8" x14ac:dyDescent="0.25">
      <c r="B1834" s="114"/>
      <c r="C1834" s="114"/>
      <c r="D1834" s="114"/>
      <c r="G1834" s="120">
        <f>IF(ISERROR(MATCH(B1834,MASTER!$B:$B,0)),B1834,0)</f>
        <v>0</v>
      </c>
      <c r="H1834" s="120">
        <f>IF(ISERROR(MATCH(MASTER!B1838,'Peoplesoft Classlist'!$B:$B,0)),MASTER!B1838,0)</f>
        <v>0</v>
      </c>
    </row>
    <row r="1835" spans="2:8" x14ac:dyDescent="0.25">
      <c r="B1835" s="114"/>
      <c r="C1835" s="114"/>
      <c r="D1835" s="114"/>
      <c r="G1835" s="120">
        <f>IF(ISERROR(MATCH(B1835,MASTER!$B:$B,0)),B1835,0)</f>
        <v>0</v>
      </c>
      <c r="H1835" s="120">
        <f>IF(ISERROR(MATCH(MASTER!B1839,'Peoplesoft Classlist'!$B:$B,0)),MASTER!B1839,0)</f>
        <v>0</v>
      </c>
    </row>
    <row r="1836" spans="2:8" x14ac:dyDescent="0.25">
      <c r="B1836" s="114"/>
      <c r="C1836" s="114"/>
      <c r="D1836" s="114"/>
      <c r="G1836" s="120">
        <f>IF(ISERROR(MATCH(B1836,MASTER!$B:$B,0)),B1836,0)</f>
        <v>0</v>
      </c>
      <c r="H1836" s="120">
        <f>IF(ISERROR(MATCH(MASTER!B1840,'Peoplesoft Classlist'!$B:$B,0)),MASTER!B1840,0)</f>
        <v>0</v>
      </c>
    </row>
    <row r="1837" spans="2:8" x14ac:dyDescent="0.25">
      <c r="B1837" s="114"/>
      <c r="C1837" s="114"/>
      <c r="D1837" s="114"/>
      <c r="G1837" s="120">
        <f>IF(ISERROR(MATCH(B1837,MASTER!$B:$B,0)),B1837,0)</f>
        <v>0</v>
      </c>
      <c r="H1837" s="120">
        <f>IF(ISERROR(MATCH(MASTER!B1841,'Peoplesoft Classlist'!$B:$B,0)),MASTER!B1841,0)</f>
        <v>0</v>
      </c>
    </row>
    <row r="1838" spans="2:8" x14ac:dyDescent="0.25">
      <c r="B1838" s="114"/>
      <c r="C1838" s="114"/>
      <c r="D1838" s="114"/>
      <c r="G1838" s="120">
        <f>IF(ISERROR(MATCH(B1838,MASTER!$B:$B,0)),B1838,0)</f>
        <v>0</v>
      </c>
      <c r="H1838" s="120">
        <f>IF(ISERROR(MATCH(MASTER!B1842,'Peoplesoft Classlist'!$B:$B,0)),MASTER!B1842,0)</f>
        <v>0</v>
      </c>
    </row>
    <row r="1839" spans="2:8" x14ac:dyDescent="0.25">
      <c r="B1839" s="114"/>
      <c r="C1839" s="114"/>
      <c r="D1839" s="114"/>
      <c r="G1839" s="120">
        <f>IF(ISERROR(MATCH(B1839,MASTER!$B:$B,0)),B1839,0)</f>
        <v>0</v>
      </c>
      <c r="H1839" s="120">
        <f>IF(ISERROR(MATCH(MASTER!B1843,'Peoplesoft Classlist'!$B:$B,0)),MASTER!B1843,0)</f>
        <v>0</v>
      </c>
    </row>
    <row r="1840" spans="2:8" x14ac:dyDescent="0.25">
      <c r="B1840" s="114"/>
      <c r="C1840" s="114"/>
      <c r="D1840" s="114"/>
      <c r="G1840" s="120">
        <f>IF(ISERROR(MATCH(B1840,MASTER!$B:$B,0)),B1840,0)</f>
        <v>0</v>
      </c>
      <c r="H1840" s="120">
        <f>IF(ISERROR(MATCH(MASTER!B1844,'Peoplesoft Classlist'!$B:$B,0)),MASTER!B1844,0)</f>
        <v>0</v>
      </c>
    </row>
    <row r="1841" spans="2:8" x14ac:dyDescent="0.25">
      <c r="B1841" s="114"/>
      <c r="C1841" s="114"/>
      <c r="D1841" s="114"/>
      <c r="G1841" s="120">
        <f>IF(ISERROR(MATCH(B1841,MASTER!$B:$B,0)),B1841,0)</f>
        <v>0</v>
      </c>
      <c r="H1841" s="120">
        <f>IF(ISERROR(MATCH(MASTER!B1845,'Peoplesoft Classlist'!$B:$B,0)),MASTER!B1845,0)</f>
        <v>0</v>
      </c>
    </row>
    <row r="1842" spans="2:8" x14ac:dyDescent="0.25">
      <c r="B1842" s="114"/>
      <c r="C1842" s="114"/>
      <c r="D1842" s="114"/>
      <c r="G1842" s="120">
        <f>IF(ISERROR(MATCH(B1842,MASTER!$B:$B,0)),B1842,0)</f>
        <v>0</v>
      </c>
      <c r="H1842" s="120">
        <f>IF(ISERROR(MATCH(MASTER!B1846,'Peoplesoft Classlist'!$B:$B,0)),MASTER!B1846,0)</f>
        <v>0</v>
      </c>
    </row>
    <row r="1843" spans="2:8" x14ac:dyDescent="0.25">
      <c r="B1843" s="114"/>
      <c r="C1843" s="114"/>
      <c r="D1843" s="114"/>
      <c r="G1843" s="120">
        <f>IF(ISERROR(MATCH(B1843,MASTER!$B:$B,0)),B1843,0)</f>
        <v>0</v>
      </c>
      <c r="H1843" s="120">
        <f>IF(ISERROR(MATCH(MASTER!B1847,'Peoplesoft Classlist'!$B:$B,0)),MASTER!B1847,0)</f>
        <v>0</v>
      </c>
    </row>
    <row r="1844" spans="2:8" x14ac:dyDescent="0.25">
      <c r="B1844" s="114"/>
      <c r="C1844" s="114"/>
      <c r="D1844" s="114"/>
      <c r="G1844" s="120">
        <f>IF(ISERROR(MATCH(B1844,MASTER!$B:$B,0)),B1844,0)</f>
        <v>0</v>
      </c>
      <c r="H1844" s="120">
        <f>IF(ISERROR(MATCH(MASTER!B1848,'Peoplesoft Classlist'!$B:$B,0)),MASTER!B1848,0)</f>
        <v>0</v>
      </c>
    </row>
    <row r="1845" spans="2:8" x14ac:dyDescent="0.25">
      <c r="B1845" s="114"/>
      <c r="C1845" s="114"/>
      <c r="D1845" s="114"/>
      <c r="G1845" s="120">
        <f>IF(ISERROR(MATCH(B1845,MASTER!$B:$B,0)),B1845,0)</f>
        <v>0</v>
      </c>
      <c r="H1845" s="120">
        <f>IF(ISERROR(MATCH(MASTER!B1849,'Peoplesoft Classlist'!$B:$B,0)),MASTER!B1849,0)</f>
        <v>0</v>
      </c>
    </row>
    <row r="1846" spans="2:8" x14ac:dyDescent="0.25">
      <c r="B1846" s="114"/>
      <c r="C1846" s="114"/>
      <c r="D1846" s="114"/>
      <c r="G1846" s="120">
        <f>IF(ISERROR(MATCH(B1846,MASTER!$B:$B,0)),B1846,0)</f>
        <v>0</v>
      </c>
      <c r="H1846" s="120">
        <f>IF(ISERROR(MATCH(MASTER!B1850,'Peoplesoft Classlist'!$B:$B,0)),MASTER!B1850,0)</f>
        <v>0</v>
      </c>
    </row>
    <row r="1847" spans="2:8" x14ac:dyDescent="0.25">
      <c r="B1847" s="114"/>
      <c r="C1847" s="114"/>
      <c r="D1847" s="114"/>
      <c r="G1847" s="120">
        <f>IF(ISERROR(MATCH(B1847,MASTER!$B:$B,0)),B1847,0)</f>
        <v>0</v>
      </c>
      <c r="H1847" s="120">
        <f>IF(ISERROR(MATCH(MASTER!B1851,'Peoplesoft Classlist'!$B:$B,0)),MASTER!B1851,0)</f>
        <v>0</v>
      </c>
    </row>
    <row r="1848" spans="2:8" x14ac:dyDescent="0.25">
      <c r="B1848" s="114"/>
      <c r="C1848" s="114"/>
      <c r="D1848" s="114"/>
      <c r="G1848" s="120">
        <f>IF(ISERROR(MATCH(B1848,MASTER!$B:$B,0)),B1848,0)</f>
        <v>0</v>
      </c>
      <c r="H1848" s="120">
        <f>IF(ISERROR(MATCH(MASTER!B1852,'Peoplesoft Classlist'!$B:$B,0)),MASTER!B1852,0)</f>
        <v>0</v>
      </c>
    </row>
    <row r="1849" spans="2:8" x14ac:dyDescent="0.25">
      <c r="B1849" s="114"/>
      <c r="C1849" s="114"/>
      <c r="D1849" s="114"/>
      <c r="G1849" s="120">
        <f>IF(ISERROR(MATCH(B1849,MASTER!$B:$B,0)),B1849,0)</f>
        <v>0</v>
      </c>
      <c r="H1849" s="120">
        <f>IF(ISERROR(MATCH(MASTER!B1853,'Peoplesoft Classlist'!$B:$B,0)),MASTER!B1853,0)</f>
        <v>0</v>
      </c>
    </row>
    <row r="1850" spans="2:8" x14ac:dyDescent="0.25">
      <c r="B1850" s="114"/>
      <c r="C1850" s="114"/>
      <c r="D1850" s="114"/>
      <c r="G1850" s="120">
        <f>IF(ISERROR(MATCH(B1850,MASTER!$B:$B,0)),B1850,0)</f>
        <v>0</v>
      </c>
      <c r="H1850" s="120">
        <f>IF(ISERROR(MATCH(MASTER!B1854,'Peoplesoft Classlist'!$B:$B,0)),MASTER!B1854,0)</f>
        <v>0</v>
      </c>
    </row>
    <row r="1851" spans="2:8" x14ac:dyDescent="0.25">
      <c r="B1851" s="114"/>
      <c r="C1851" s="114"/>
      <c r="D1851" s="114"/>
      <c r="G1851" s="120">
        <f>IF(ISERROR(MATCH(B1851,MASTER!$B:$B,0)),B1851,0)</f>
        <v>0</v>
      </c>
      <c r="H1851" s="120">
        <f>IF(ISERROR(MATCH(MASTER!B1855,'Peoplesoft Classlist'!$B:$B,0)),MASTER!B1855,0)</f>
        <v>0</v>
      </c>
    </row>
    <row r="1852" spans="2:8" x14ac:dyDescent="0.25">
      <c r="B1852" s="114"/>
      <c r="C1852" s="114"/>
      <c r="D1852" s="114"/>
      <c r="G1852" s="120">
        <f>IF(ISERROR(MATCH(B1852,MASTER!$B:$B,0)),B1852,0)</f>
        <v>0</v>
      </c>
      <c r="H1852" s="120">
        <f>IF(ISERROR(MATCH(MASTER!B1856,'Peoplesoft Classlist'!$B:$B,0)),MASTER!B1856,0)</f>
        <v>0</v>
      </c>
    </row>
    <row r="1853" spans="2:8" x14ac:dyDescent="0.25">
      <c r="B1853" s="114"/>
      <c r="C1853" s="114"/>
      <c r="D1853" s="114"/>
      <c r="G1853" s="120">
        <f>IF(ISERROR(MATCH(B1853,MASTER!$B:$B,0)),B1853,0)</f>
        <v>0</v>
      </c>
      <c r="H1853" s="120">
        <f>IF(ISERROR(MATCH(MASTER!B1857,'Peoplesoft Classlist'!$B:$B,0)),MASTER!B1857,0)</f>
        <v>0</v>
      </c>
    </row>
    <row r="1854" spans="2:8" x14ac:dyDescent="0.25">
      <c r="B1854" s="114"/>
      <c r="C1854" s="114"/>
      <c r="D1854" s="114"/>
      <c r="G1854" s="120">
        <f>IF(ISERROR(MATCH(B1854,MASTER!$B:$B,0)),B1854,0)</f>
        <v>0</v>
      </c>
      <c r="H1854" s="120">
        <f>IF(ISERROR(MATCH(MASTER!B1858,'Peoplesoft Classlist'!$B:$B,0)),MASTER!B1858,0)</f>
        <v>0</v>
      </c>
    </row>
    <row r="1855" spans="2:8" x14ac:dyDescent="0.25">
      <c r="B1855" s="114"/>
      <c r="C1855" s="114"/>
      <c r="D1855" s="114"/>
      <c r="G1855" s="120">
        <f>IF(ISERROR(MATCH(B1855,MASTER!$B:$B,0)),B1855,0)</f>
        <v>0</v>
      </c>
      <c r="H1855" s="120">
        <f>IF(ISERROR(MATCH(MASTER!B1859,'Peoplesoft Classlist'!$B:$B,0)),MASTER!B1859,0)</f>
        <v>0</v>
      </c>
    </row>
    <row r="1856" spans="2:8" x14ac:dyDescent="0.25">
      <c r="B1856" s="114"/>
      <c r="C1856" s="114"/>
      <c r="D1856" s="114"/>
      <c r="G1856" s="120">
        <f>IF(ISERROR(MATCH(B1856,MASTER!$B:$B,0)),B1856,0)</f>
        <v>0</v>
      </c>
      <c r="H1856" s="120">
        <f>IF(ISERROR(MATCH(MASTER!B1860,'Peoplesoft Classlist'!$B:$B,0)),MASTER!B1860,0)</f>
        <v>0</v>
      </c>
    </row>
    <row r="1857" spans="2:8" x14ac:dyDescent="0.25">
      <c r="B1857" s="114"/>
      <c r="C1857" s="114"/>
      <c r="D1857" s="114"/>
      <c r="G1857" s="120">
        <f>IF(ISERROR(MATCH(B1857,MASTER!$B:$B,0)),B1857,0)</f>
        <v>0</v>
      </c>
      <c r="H1857" s="120">
        <f>IF(ISERROR(MATCH(MASTER!B1861,'Peoplesoft Classlist'!$B:$B,0)),MASTER!B1861,0)</f>
        <v>0</v>
      </c>
    </row>
    <row r="1858" spans="2:8" x14ac:dyDescent="0.25">
      <c r="B1858" s="114"/>
      <c r="C1858" s="114"/>
      <c r="D1858" s="114"/>
      <c r="G1858" s="120">
        <f>IF(ISERROR(MATCH(B1858,MASTER!$B:$B,0)),B1858,0)</f>
        <v>0</v>
      </c>
      <c r="H1858" s="120">
        <f>IF(ISERROR(MATCH(MASTER!B1862,'Peoplesoft Classlist'!$B:$B,0)),MASTER!B1862,0)</f>
        <v>0</v>
      </c>
    </row>
    <row r="1859" spans="2:8" x14ac:dyDescent="0.25">
      <c r="B1859" s="114"/>
      <c r="C1859" s="114"/>
      <c r="D1859" s="114"/>
      <c r="G1859" s="120">
        <f>IF(ISERROR(MATCH(B1859,MASTER!$B:$B,0)),B1859,0)</f>
        <v>0</v>
      </c>
      <c r="H1859" s="120">
        <f>IF(ISERROR(MATCH(MASTER!B1863,'Peoplesoft Classlist'!$B:$B,0)),MASTER!B1863,0)</f>
        <v>0</v>
      </c>
    </row>
    <row r="1860" spans="2:8" x14ac:dyDescent="0.25">
      <c r="B1860" s="114"/>
      <c r="C1860" s="114"/>
      <c r="D1860" s="114"/>
      <c r="G1860" s="120">
        <f>IF(ISERROR(MATCH(B1860,MASTER!$B:$B,0)),B1860,0)</f>
        <v>0</v>
      </c>
      <c r="H1860" s="120">
        <f>IF(ISERROR(MATCH(MASTER!B1864,'Peoplesoft Classlist'!$B:$B,0)),MASTER!B1864,0)</f>
        <v>0</v>
      </c>
    </row>
    <row r="1861" spans="2:8" x14ac:dyDescent="0.25">
      <c r="B1861" s="114"/>
      <c r="C1861" s="114"/>
      <c r="D1861" s="114"/>
      <c r="G1861" s="120">
        <f>IF(ISERROR(MATCH(B1861,MASTER!$B:$B,0)),B1861,0)</f>
        <v>0</v>
      </c>
      <c r="H1861" s="120">
        <f>IF(ISERROR(MATCH(MASTER!B1865,'Peoplesoft Classlist'!$B:$B,0)),MASTER!B1865,0)</f>
        <v>0</v>
      </c>
    </row>
    <row r="1862" spans="2:8" x14ac:dyDescent="0.25">
      <c r="B1862" s="114"/>
      <c r="C1862" s="114"/>
      <c r="D1862" s="114"/>
      <c r="G1862" s="120">
        <f>IF(ISERROR(MATCH(B1862,MASTER!$B:$B,0)),B1862,0)</f>
        <v>0</v>
      </c>
      <c r="H1862" s="120">
        <f>IF(ISERROR(MATCH(MASTER!B1866,'Peoplesoft Classlist'!$B:$B,0)),MASTER!B1866,0)</f>
        <v>0</v>
      </c>
    </row>
    <row r="1863" spans="2:8" x14ac:dyDescent="0.25">
      <c r="B1863" s="114"/>
      <c r="C1863" s="114"/>
      <c r="D1863" s="114"/>
      <c r="G1863" s="120">
        <f>IF(ISERROR(MATCH(B1863,MASTER!$B:$B,0)),B1863,0)</f>
        <v>0</v>
      </c>
      <c r="H1863" s="120">
        <f>IF(ISERROR(MATCH(MASTER!B1867,'Peoplesoft Classlist'!$B:$B,0)),MASTER!B1867,0)</f>
        <v>0</v>
      </c>
    </row>
    <row r="1864" spans="2:8" x14ac:dyDescent="0.25">
      <c r="B1864" s="114"/>
      <c r="C1864" s="114"/>
      <c r="D1864" s="114"/>
      <c r="G1864" s="120">
        <f>IF(ISERROR(MATCH(B1864,MASTER!$B:$B,0)),B1864,0)</f>
        <v>0</v>
      </c>
      <c r="H1864" s="120">
        <f>IF(ISERROR(MATCH(MASTER!B1868,'Peoplesoft Classlist'!$B:$B,0)),MASTER!B1868,0)</f>
        <v>0</v>
      </c>
    </row>
    <row r="1865" spans="2:8" x14ac:dyDescent="0.25">
      <c r="B1865" s="114"/>
      <c r="C1865" s="114"/>
      <c r="D1865" s="114"/>
      <c r="G1865" s="120">
        <f>IF(ISERROR(MATCH(B1865,MASTER!$B:$B,0)),B1865,0)</f>
        <v>0</v>
      </c>
      <c r="H1865" s="120">
        <f>IF(ISERROR(MATCH(MASTER!B1869,'Peoplesoft Classlist'!$B:$B,0)),MASTER!B1869,0)</f>
        <v>0</v>
      </c>
    </row>
    <row r="1866" spans="2:8" x14ac:dyDescent="0.25">
      <c r="B1866" s="114"/>
      <c r="C1866" s="114"/>
      <c r="D1866" s="114"/>
      <c r="G1866" s="120">
        <f>IF(ISERROR(MATCH(B1866,MASTER!$B:$B,0)),B1866,0)</f>
        <v>0</v>
      </c>
      <c r="H1866" s="120">
        <f>IF(ISERROR(MATCH(MASTER!B1870,'Peoplesoft Classlist'!$B:$B,0)),MASTER!B1870,0)</f>
        <v>0</v>
      </c>
    </row>
    <row r="1867" spans="2:8" x14ac:dyDescent="0.25">
      <c r="B1867" s="114"/>
      <c r="C1867" s="114"/>
      <c r="D1867" s="114"/>
      <c r="G1867" s="120">
        <f>IF(ISERROR(MATCH(B1867,MASTER!$B:$B,0)),B1867,0)</f>
        <v>0</v>
      </c>
      <c r="H1867" s="120">
        <f>IF(ISERROR(MATCH(MASTER!B1871,'Peoplesoft Classlist'!$B:$B,0)),MASTER!B1871,0)</f>
        <v>0</v>
      </c>
    </row>
    <row r="1868" spans="2:8" x14ac:dyDescent="0.25">
      <c r="B1868" s="114"/>
      <c r="C1868" s="114"/>
      <c r="D1868" s="114"/>
      <c r="G1868" s="120">
        <f>IF(ISERROR(MATCH(B1868,MASTER!$B:$B,0)),B1868,0)</f>
        <v>0</v>
      </c>
      <c r="H1868" s="120">
        <f>IF(ISERROR(MATCH(MASTER!B1872,'Peoplesoft Classlist'!$B:$B,0)),MASTER!B1872,0)</f>
        <v>0</v>
      </c>
    </row>
    <row r="1869" spans="2:8" x14ac:dyDescent="0.25">
      <c r="B1869" s="114"/>
      <c r="C1869" s="114"/>
      <c r="D1869" s="114"/>
      <c r="G1869" s="120">
        <f>IF(ISERROR(MATCH(B1869,MASTER!$B:$B,0)),B1869,0)</f>
        <v>0</v>
      </c>
      <c r="H1869" s="120">
        <f>IF(ISERROR(MATCH(MASTER!B1873,'Peoplesoft Classlist'!$B:$B,0)),MASTER!B1873,0)</f>
        <v>0</v>
      </c>
    </row>
    <row r="1870" spans="2:8" x14ac:dyDescent="0.25">
      <c r="B1870" s="114"/>
      <c r="C1870" s="114"/>
      <c r="D1870" s="114"/>
      <c r="G1870" s="120">
        <f>IF(ISERROR(MATCH(B1870,MASTER!$B:$B,0)),B1870,0)</f>
        <v>0</v>
      </c>
      <c r="H1870" s="120">
        <f>IF(ISERROR(MATCH(MASTER!B1874,'Peoplesoft Classlist'!$B:$B,0)),MASTER!B1874,0)</f>
        <v>0</v>
      </c>
    </row>
    <row r="1871" spans="2:8" x14ac:dyDescent="0.25">
      <c r="B1871" s="114"/>
      <c r="C1871" s="114"/>
      <c r="D1871" s="114"/>
      <c r="G1871" s="120">
        <f>IF(ISERROR(MATCH(B1871,MASTER!$B:$B,0)),B1871,0)</f>
        <v>0</v>
      </c>
      <c r="H1871" s="120">
        <f>IF(ISERROR(MATCH(MASTER!B1875,'Peoplesoft Classlist'!$B:$B,0)),MASTER!B1875,0)</f>
        <v>0</v>
      </c>
    </row>
    <row r="1872" spans="2:8" x14ac:dyDescent="0.25">
      <c r="B1872" s="114"/>
      <c r="C1872" s="114"/>
      <c r="D1872" s="114"/>
      <c r="G1872" s="120">
        <f>IF(ISERROR(MATCH(B1872,MASTER!$B:$B,0)),B1872,0)</f>
        <v>0</v>
      </c>
      <c r="H1872" s="120">
        <f>IF(ISERROR(MATCH(MASTER!B1876,'Peoplesoft Classlist'!$B:$B,0)),MASTER!B1876,0)</f>
        <v>0</v>
      </c>
    </row>
    <row r="1873" spans="2:8" x14ac:dyDescent="0.25">
      <c r="B1873" s="114"/>
      <c r="C1873" s="114"/>
      <c r="D1873" s="114"/>
      <c r="G1873" s="120">
        <f>IF(ISERROR(MATCH(B1873,MASTER!$B:$B,0)),B1873,0)</f>
        <v>0</v>
      </c>
      <c r="H1873" s="120">
        <f>IF(ISERROR(MATCH(MASTER!B1877,'Peoplesoft Classlist'!$B:$B,0)),MASTER!B1877,0)</f>
        <v>0</v>
      </c>
    </row>
    <row r="1874" spans="2:8" x14ac:dyDescent="0.25">
      <c r="B1874" s="114"/>
      <c r="C1874" s="114"/>
      <c r="D1874" s="114"/>
      <c r="G1874" s="120">
        <f>IF(ISERROR(MATCH(B1874,MASTER!$B:$B,0)),B1874,0)</f>
        <v>0</v>
      </c>
      <c r="H1874" s="120">
        <f>IF(ISERROR(MATCH(MASTER!B1878,'Peoplesoft Classlist'!$B:$B,0)),MASTER!B1878,0)</f>
        <v>0</v>
      </c>
    </row>
    <row r="1875" spans="2:8" x14ac:dyDescent="0.25">
      <c r="B1875" s="114"/>
      <c r="C1875" s="114"/>
      <c r="D1875" s="114"/>
      <c r="G1875" s="120">
        <f>IF(ISERROR(MATCH(B1875,MASTER!$B:$B,0)),B1875,0)</f>
        <v>0</v>
      </c>
      <c r="H1875" s="120">
        <f>IF(ISERROR(MATCH(MASTER!B1879,'Peoplesoft Classlist'!$B:$B,0)),MASTER!B1879,0)</f>
        <v>0</v>
      </c>
    </row>
    <row r="1876" spans="2:8" x14ac:dyDescent="0.25">
      <c r="B1876" s="114"/>
      <c r="C1876" s="114"/>
      <c r="D1876" s="114"/>
      <c r="G1876" s="120">
        <f>IF(ISERROR(MATCH(B1876,MASTER!$B:$B,0)),B1876,0)</f>
        <v>0</v>
      </c>
      <c r="H1876" s="120">
        <f>IF(ISERROR(MATCH(MASTER!B1880,'Peoplesoft Classlist'!$B:$B,0)),MASTER!B1880,0)</f>
        <v>0</v>
      </c>
    </row>
    <row r="1877" spans="2:8" x14ac:dyDescent="0.25">
      <c r="B1877" s="114"/>
      <c r="C1877" s="114"/>
      <c r="D1877" s="114"/>
      <c r="G1877" s="120">
        <f>IF(ISERROR(MATCH(B1877,MASTER!$B:$B,0)),B1877,0)</f>
        <v>0</v>
      </c>
      <c r="H1877" s="120">
        <f>IF(ISERROR(MATCH(MASTER!B1881,'Peoplesoft Classlist'!$B:$B,0)),MASTER!B1881,0)</f>
        <v>0</v>
      </c>
    </row>
    <row r="1878" spans="2:8" x14ac:dyDescent="0.25">
      <c r="B1878" s="114"/>
      <c r="C1878" s="114"/>
      <c r="D1878" s="114"/>
      <c r="G1878" s="120">
        <f>IF(ISERROR(MATCH(B1878,MASTER!$B:$B,0)),B1878,0)</f>
        <v>0</v>
      </c>
      <c r="H1878" s="120">
        <f>IF(ISERROR(MATCH(MASTER!B1882,'Peoplesoft Classlist'!$B:$B,0)),MASTER!B1882,0)</f>
        <v>0</v>
      </c>
    </row>
    <row r="1879" spans="2:8" x14ac:dyDescent="0.25">
      <c r="B1879" s="114"/>
      <c r="C1879" s="114"/>
      <c r="D1879" s="114"/>
      <c r="G1879" s="120">
        <f>IF(ISERROR(MATCH(B1879,MASTER!$B:$B,0)),B1879,0)</f>
        <v>0</v>
      </c>
      <c r="H1879" s="120">
        <f>IF(ISERROR(MATCH(MASTER!B1883,'Peoplesoft Classlist'!$B:$B,0)),MASTER!B1883,0)</f>
        <v>0</v>
      </c>
    </row>
    <row r="1880" spans="2:8" x14ac:dyDescent="0.25">
      <c r="B1880" s="114"/>
      <c r="C1880" s="114"/>
      <c r="D1880" s="114"/>
      <c r="G1880" s="120">
        <f>IF(ISERROR(MATCH(B1880,MASTER!$B:$B,0)),B1880,0)</f>
        <v>0</v>
      </c>
      <c r="H1880" s="120">
        <f>IF(ISERROR(MATCH(MASTER!B1884,'Peoplesoft Classlist'!$B:$B,0)),MASTER!B1884,0)</f>
        <v>0</v>
      </c>
    </row>
    <row r="1881" spans="2:8" x14ac:dyDescent="0.25">
      <c r="B1881" s="114"/>
      <c r="C1881" s="114"/>
      <c r="D1881" s="114"/>
      <c r="G1881" s="120">
        <f>IF(ISERROR(MATCH(B1881,MASTER!$B:$B,0)),B1881,0)</f>
        <v>0</v>
      </c>
      <c r="H1881" s="120">
        <f>IF(ISERROR(MATCH(MASTER!B1885,'Peoplesoft Classlist'!$B:$B,0)),MASTER!B1885,0)</f>
        <v>0</v>
      </c>
    </row>
    <row r="1882" spans="2:8" x14ac:dyDescent="0.25">
      <c r="B1882" s="114"/>
      <c r="C1882" s="114"/>
      <c r="D1882" s="114"/>
      <c r="G1882" s="120">
        <f>IF(ISERROR(MATCH(B1882,MASTER!$B:$B,0)),B1882,0)</f>
        <v>0</v>
      </c>
      <c r="H1882" s="120">
        <f>IF(ISERROR(MATCH(MASTER!B1886,'Peoplesoft Classlist'!$B:$B,0)),MASTER!B1886,0)</f>
        <v>0</v>
      </c>
    </row>
    <row r="1883" spans="2:8" x14ac:dyDescent="0.25">
      <c r="B1883" s="114"/>
      <c r="C1883" s="114"/>
      <c r="D1883" s="114"/>
      <c r="G1883" s="120">
        <f>IF(ISERROR(MATCH(B1883,MASTER!$B:$B,0)),B1883,0)</f>
        <v>0</v>
      </c>
      <c r="H1883" s="120">
        <f>IF(ISERROR(MATCH(MASTER!B1887,'Peoplesoft Classlist'!$B:$B,0)),MASTER!B1887,0)</f>
        <v>0</v>
      </c>
    </row>
    <row r="1884" spans="2:8" x14ac:dyDescent="0.25">
      <c r="B1884" s="114"/>
      <c r="C1884" s="114"/>
      <c r="D1884" s="114"/>
      <c r="G1884" s="120">
        <f>IF(ISERROR(MATCH(B1884,MASTER!$B:$B,0)),B1884,0)</f>
        <v>0</v>
      </c>
      <c r="H1884" s="120">
        <f>IF(ISERROR(MATCH(MASTER!B1888,'Peoplesoft Classlist'!$B:$B,0)),MASTER!B1888,0)</f>
        <v>0</v>
      </c>
    </row>
    <row r="1885" spans="2:8" x14ac:dyDescent="0.25">
      <c r="B1885" s="114"/>
      <c r="C1885" s="114"/>
      <c r="D1885" s="114"/>
      <c r="G1885" s="120">
        <f>IF(ISERROR(MATCH(B1885,MASTER!$B:$B,0)),B1885,0)</f>
        <v>0</v>
      </c>
      <c r="H1885" s="120">
        <f>IF(ISERROR(MATCH(MASTER!B1889,'Peoplesoft Classlist'!$B:$B,0)),MASTER!B1889,0)</f>
        <v>0</v>
      </c>
    </row>
    <row r="1886" spans="2:8" x14ac:dyDescent="0.25">
      <c r="B1886" s="114"/>
      <c r="C1886" s="114"/>
      <c r="D1886" s="114"/>
      <c r="G1886" s="120">
        <f>IF(ISERROR(MATCH(B1886,MASTER!$B:$B,0)),B1886,0)</f>
        <v>0</v>
      </c>
      <c r="H1886" s="120">
        <f>IF(ISERROR(MATCH(MASTER!B1890,'Peoplesoft Classlist'!$B:$B,0)),MASTER!B1890,0)</f>
        <v>0</v>
      </c>
    </row>
    <row r="1887" spans="2:8" x14ac:dyDescent="0.25">
      <c r="B1887" s="114"/>
      <c r="C1887" s="114"/>
      <c r="D1887" s="114"/>
      <c r="G1887" s="120">
        <f>IF(ISERROR(MATCH(B1887,MASTER!$B:$B,0)),B1887,0)</f>
        <v>0</v>
      </c>
      <c r="H1887" s="120">
        <f>IF(ISERROR(MATCH(MASTER!B1891,'Peoplesoft Classlist'!$B:$B,0)),MASTER!B1891,0)</f>
        <v>0</v>
      </c>
    </row>
    <row r="1888" spans="2:8" x14ac:dyDescent="0.25">
      <c r="B1888" s="114"/>
      <c r="C1888" s="114"/>
      <c r="D1888" s="114"/>
      <c r="G1888" s="120">
        <f>IF(ISERROR(MATCH(B1888,MASTER!$B:$B,0)),B1888,0)</f>
        <v>0</v>
      </c>
      <c r="H1888" s="120">
        <f>IF(ISERROR(MATCH(MASTER!B1892,'Peoplesoft Classlist'!$B:$B,0)),MASTER!B1892,0)</f>
        <v>0</v>
      </c>
    </row>
    <row r="1889" spans="2:8" x14ac:dyDescent="0.25">
      <c r="B1889" s="114"/>
      <c r="C1889" s="114"/>
      <c r="D1889" s="114"/>
      <c r="G1889" s="120">
        <f>IF(ISERROR(MATCH(B1889,MASTER!$B:$B,0)),B1889,0)</f>
        <v>0</v>
      </c>
      <c r="H1889" s="120">
        <f>IF(ISERROR(MATCH(MASTER!B1893,'Peoplesoft Classlist'!$B:$B,0)),MASTER!B1893,0)</f>
        <v>0</v>
      </c>
    </row>
    <row r="1890" spans="2:8" x14ac:dyDescent="0.25">
      <c r="B1890" s="114"/>
      <c r="C1890" s="114"/>
      <c r="D1890" s="114"/>
      <c r="G1890" s="120">
        <f>IF(ISERROR(MATCH(B1890,MASTER!$B:$B,0)),B1890,0)</f>
        <v>0</v>
      </c>
      <c r="H1890" s="120">
        <f>IF(ISERROR(MATCH(MASTER!B1894,'Peoplesoft Classlist'!$B:$B,0)),MASTER!B1894,0)</f>
        <v>0</v>
      </c>
    </row>
    <row r="1891" spans="2:8" x14ac:dyDescent="0.25">
      <c r="B1891" s="114"/>
      <c r="C1891" s="114"/>
      <c r="D1891" s="114"/>
      <c r="G1891" s="120">
        <f>IF(ISERROR(MATCH(B1891,MASTER!$B:$B,0)),B1891,0)</f>
        <v>0</v>
      </c>
      <c r="H1891" s="120">
        <f>IF(ISERROR(MATCH(MASTER!B1895,'Peoplesoft Classlist'!$B:$B,0)),MASTER!B1895,0)</f>
        <v>0</v>
      </c>
    </row>
    <row r="1892" spans="2:8" x14ac:dyDescent="0.25">
      <c r="B1892" s="114"/>
      <c r="C1892" s="114"/>
      <c r="D1892" s="114"/>
      <c r="G1892" s="120">
        <f>IF(ISERROR(MATCH(B1892,MASTER!$B:$B,0)),B1892,0)</f>
        <v>0</v>
      </c>
      <c r="H1892" s="120">
        <f>IF(ISERROR(MATCH(MASTER!B1896,'Peoplesoft Classlist'!$B:$B,0)),MASTER!B1896,0)</f>
        <v>0</v>
      </c>
    </row>
    <row r="1893" spans="2:8" x14ac:dyDescent="0.25">
      <c r="B1893" s="114"/>
      <c r="C1893" s="114"/>
      <c r="D1893" s="114"/>
      <c r="G1893" s="120">
        <f>IF(ISERROR(MATCH(B1893,MASTER!$B:$B,0)),B1893,0)</f>
        <v>0</v>
      </c>
      <c r="H1893" s="120">
        <f>IF(ISERROR(MATCH(MASTER!B1897,'Peoplesoft Classlist'!$B:$B,0)),MASTER!B1897,0)</f>
        <v>0</v>
      </c>
    </row>
    <row r="1894" spans="2:8" x14ac:dyDescent="0.25">
      <c r="B1894" s="114"/>
      <c r="C1894" s="114"/>
      <c r="D1894" s="114"/>
      <c r="G1894" s="120">
        <f>IF(ISERROR(MATCH(B1894,MASTER!$B:$B,0)),B1894,0)</f>
        <v>0</v>
      </c>
      <c r="H1894" s="120">
        <f>IF(ISERROR(MATCH(MASTER!B1898,'Peoplesoft Classlist'!$B:$B,0)),MASTER!B1898,0)</f>
        <v>0</v>
      </c>
    </row>
    <row r="1895" spans="2:8" x14ac:dyDescent="0.25">
      <c r="B1895" s="114"/>
      <c r="C1895" s="114"/>
      <c r="D1895" s="114"/>
      <c r="G1895" s="120">
        <f>IF(ISERROR(MATCH(B1895,MASTER!$B:$B,0)),B1895,0)</f>
        <v>0</v>
      </c>
      <c r="H1895" s="120">
        <f>IF(ISERROR(MATCH(MASTER!B1899,'Peoplesoft Classlist'!$B:$B,0)),MASTER!B1899,0)</f>
        <v>0</v>
      </c>
    </row>
    <row r="1896" spans="2:8" x14ac:dyDescent="0.25">
      <c r="B1896" s="114"/>
      <c r="C1896" s="114"/>
      <c r="D1896" s="114"/>
      <c r="G1896" s="120">
        <f>IF(ISERROR(MATCH(B1896,MASTER!$B:$B,0)),B1896,0)</f>
        <v>0</v>
      </c>
      <c r="H1896" s="120">
        <f>IF(ISERROR(MATCH(MASTER!B1900,'Peoplesoft Classlist'!$B:$B,0)),MASTER!B1900,0)</f>
        <v>0</v>
      </c>
    </row>
    <row r="1897" spans="2:8" x14ac:dyDescent="0.25">
      <c r="B1897" s="114"/>
      <c r="C1897" s="114"/>
      <c r="D1897" s="114"/>
      <c r="G1897" s="120">
        <f>IF(ISERROR(MATCH(B1897,MASTER!$B:$B,0)),B1897,0)</f>
        <v>0</v>
      </c>
      <c r="H1897" s="120">
        <f>IF(ISERROR(MATCH(MASTER!B1901,'Peoplesoft Classlist'!$B:$B,0)),MASTER!B1901,0)</f>
        <v>0</v>
      </c>
    </row>
    <row r="1898" spans="2:8" x14ac:dyDescent="0.25">
      <c r="B1898" s="114"/>
      <c r="C1898" s="114"/>
      <c r="D1898" s="114"/>
      <c r="G1898" s="120">
        <f>IF(ISERROR(MATCH(B1898,MASTER!$B:$B,0)),B1898,0)</f>
        <v>0</v>
      </c>
      <c r="H1898" s="120">
        <f>IF(ISERROR(MATCH(MASTER!B1902,'Peoplesoft Classlist'!$B:$B,0)),MASTER!B1902,0)</f>
        <v>0</v>
      </c>
    </row>
    <row r="1899" spans="2:8" x14ac:dyDescent="0.25">
      <c r="B1899" s="114"/>
      <c r="C1899" s="114"/>
      <c r="D1899" s="114"/>
      <c r="G1899" s="120">
        <f>IF(ISERROR(MATCH(B1899,MASTER!$B:$B,0)),B1899,0)</f>
        <v>0</v>
      </c>
      <c r="H1899" s="120">
        <f>IF(ISERROR(MATCH(MASTER!B1903,'Peoplesoft Classlist'!$B:$B,0)),MASTER!B1903,0)</f>
        <v>0</v>
      </c>
    </row>
    <row r="1900" spans="2:8" x14ac:dyDescent="0.25">
      <c r="B1900" s="114"/>
      <c r="C1900" s="114"/>
      <c r="D1900" s="114"/>
      <c r="G1900" s="120">
        <f>IF(ISERROR(MATCH(B1900,MASTER!$B:$B,0)),B1900,0)</f>
        <v>0</v>
      </c>
      <c r="H1900" s="120">
        <f>IF(ISERROR(MATCH(MASTER!B1904,'Peoplesoft Classlist'!$B:$B,0)),MASTER!B1904,0)</f>
        <v>0</v>
      </c>
    </row>
    <row r="1901" spans="2:8" x14ac:dyDescent="0.25">
      <c r="B1901" s="114"/>
      <c r="C1901" s="114"/>
      <c r="D1901" s="114"/>
      <c r="G1901" s="120">
        <f>IF(ISERROR(MATCH(B1901,MASTER!$B:$B,0)),B1901,0)</f>
        <v>0</v>
      </c>
      <c r="H1901" s="120">
        <f>IF(ISERROR(MATCH(MASTER!B1905,'Peoplesoft Classlist'!$B:$B,0)),MASTER!B1905,0)</f>
        <v>0</v>
      </c>
    </row>
    <row r="1902" spans="2:8" x14ac:dyDescent="0.25">
      <c r="B1902" s="114"/>
      <c r="C1902" s="114"/>
      <c r="D1902" s="114"/>
      <c r="G1902" s="120">
        <f>IF(ISERROR(MATCH(B1902,MASTER!$B:$B,0)),B1902,0)</f>
        <v>0</v>
      </c>
      <c r="H1902" s="120">
        <f>IF(ISERROR(MATCH(MASTER!B1906,'Peoplesoft Classlist'!$B:$B,0)),MASTER!B1906,0)</f>
        <v>0</v>
      </c>
    </row>
    <row r="1903" spans="2:8" x14ac:dyDescent="0.25">
      <c r="B1903" s="114"/>
      <c r="C1903" s="114"/>
      <c r="D1903" s="114"/>
      <c r="G1903" s="120">
        <f>IF(ISERROR(MATCH(B1903,MASTER!$B:$B,0)),B1903,0)</f>
        <v>0</v>
      </c>
      <c r="H1903" s="120">
        <f>IF(ISERROR(MATCH(MASTER!B1907,'Peoplesoft Classlist'!$B:$B,0)),MASTER!B1907,0)</f>
        <v>0</v>
      </c>
    </row>
    <row r="1904" spans="2:8" x14ac:dyDescent="0.25">
      <c r="B1904" s="114"/>
      <c r="C1904" s="114"/>
      <c r="D1904" s="114"/>
      <c r="G1904" s="120">
        <f>IF(ISERROR(MATCH(B1904,MASTER!$B:$B,0)),B1904,0)</f>
        <v>0</v>
      </c>
      <c r="H1904" s="120">
        <f>IF(ISERROR(MATCH(MASTER!B1908,'Peoplesoft Classlist'!$B:$B,0)),MASTER!B1908,0)</f>
        <v>0</v>
      </c>
    </row>
    <row r="1905" spans="2:8" x14ac:dyDescent="0.25">
      <c r="B1905" s="114"/>
      <c r="C1905" s="114"/>
      <c r="D1905" s="114"/>
      <c r="G1905" s="120">
        <f>IF(ISERROR(MATCH(B1905,MASTER!$B:$B,0)),B1905,0)</f>
        <v>0</v>
      </c>
      <c r="H1905" s="120">
        <f>IF(ISERROR(MATCH(MASTER!B1909,'Peoplesoft Classlist'!$B:$B,0)),MASTER!B1909,0)</f>
        <v>0</v>
      </c>
    </row>
    <row r="1906" spans="2:8" x14ac:dyDescent="0.25">
      <c r="B1906" s="114"/>
      <c r="C1906" s="114"/>
      <c r="D1906" s="114"/>
      <c r="G1906" s="120">
        <f>IF(ISERROR(MATCH(B1906,MASTER!$B:$B,0)),B1906,0)</f>
        <v>0</v>
      </c>
      <c r="H1906" s="120">
        <f>IF(ISERROR(MATCH(MASTER!B1910,'Peoplesoft Classlist'!$B:$B,0)),MASTER!B1910,0)</f>
        <v>0</v>
      </c>
    </row>
    <row r="1907" spans="2:8" x14ac:dyDescent="0.25">
      <c r="B1907" s="114"/>
      <c r="C1907" s="114"/>
      <c r="D1907" s="114"/>
      <c r="G1907" s="120">
        <f>IF(ISERROR(MATCH(B1907,MASTER!$B:$B,0)),B1907,0)</f>
        <v>0</v>
      </c>
      <c r="H1907" s="120">
        <f>IF(ISERROR(MATCH(MASTER!B1911,'Peoplesoft Classlist'!$B:$B,0)),MASTER!B1911,0)</f>
        <v>0</v>
      </c>
    </row>
    <row r="1908" spans="2:8" x14ac:dyDescent="0.25">
      <c r="B1908" s="114"/>
      <c r="C1908" s="114"/>
      <c r="D1908" s="114"/>
      <c r="G1908" s="120">
        <f>IF(ISERROR(MATCH(B1908,MASTER!$B:$B,0)),B1908,0)</f>
        <v>0</v>
      </c>
      <c r="H1908" s="120">
        <f>IF(ISERROR(MATCH(MASTER!B1912,'Peoplesoft Classlist'!$B:$B,0)),MASTER!B1912,0)</f>
        <v>0</v>
      </c>
    </row>
    <row r="1909" spans="2:8" x14ac:dyDescent="0.25">
      <c r="B1909" s="114"/>
      <c r="C1909" s="114"/>
      <c r="D1909" s="114"/>
      <c r="G1909" s="120">
        <f>IF(ISERROR(MATCH(B1909,MASTER!$B:$B,0)),B1909,0)</f>
        <v>0</v>
      </c>
      <c r="H1909" s="120">
        <f>IF(ISERROR(MATCH(MASTER!B1913,'Peoplesoft Classlist'!$B:$B,0)),MASTER!B1913,0)</f>
        <v>0</v>
      </c>
    </row>
    <row r="1910" spans="2:8" x14ac:dyDescent="0.25">
      <c r="B1910" s="114"/>
      <c r="C1910" s="114"/>
      <c r="D1910" s="114"/>
      <c r="G1910" s="120">
        <f>IF(ISERROR(MATCH(B1910,MASTER!$B:$B,0)),B1910,0)</f>
        <v>0</v>
      </c>
      <c r="H1910" s="120">
        <f>IF(ISERROR(MATCH(MASTER!B1914,'Peoplesoft Classlist'!$B:$B,0)),MASTER!B1914,0)</f>
        <v>0</v>
      </c>
    </row>
    <row r="1911" spans="2:8" x14ac:dyDescent="0.25">
      <c r="B1911" s="114"/>
      <c r="C1911" s="114"/>
      <c r="D1911" s="114"/>
      <c r="G1911" s="120">
        <f>IF(ISERROR(MATCH(B1911,MASTER!$B:$B,0)),B1911,0)</f>
        <v>0</v>
      </c>
      <c r="H1911" s="120">
        <f>IF(ISERROR(MATCH(MASTER!B1915,'Peoplesoft Classlist'!$B:$B,0)),MASTER!B1915,0)</f>
        <v>0</v>
      </c>
    </row>
    <row r="1912" spans="2:8" x14ac:dyDescent="0.25">
      <c r="B1912" s="114"/>
      <c r="C1912" s="114"/>
      <c r="D1912" s="114"/>
      <c r="G1912" s="120">
        <f>IF(ISERROR(MATCH(B1912,MASTER!$B:$B,0)),B1912,0)</f>
        <v>0</v>
      </c>
      <c r="H1912" s="120">
        <f>IF(ISERROR(MATCH(MASTER!B1916,'Peoplesoft Classlist'!$B:$B,0)),MASTER!B1916,0)</f>
        <v>0</v>
      </c>
    </row>
    <row r="1913" spans="2:8" x14ac:dyDescent="0.25">
      <c r="B1913" s="114"/>
      <c r="C1913" s="114"/>
      <c r="D1913" s="114"/>
      <c r="G1913" s="120">
        <f>IF(ISERROR(MATCH(B1913,MASTER!$B:$B,0)),B1913,0)</f>
        <v>0</v>
      </c>
      <c r="H1913" s="120">
        <f>IF(ISERROR(MATCH(MASTER!B1917,'Peoplesoft Classlist'!$B:$B,0)),MASTER!B1917,0)</f>
        <v>0</v>
      </c>
    </row>
    <row r="1914" spans="2:8" x14ac:dyDescent="0.25">
      <c r="B1914" s="114"/>
      <c r="C1914" s="114"/>
      <c r="D1914" s="114"/>
      <c r="G1914" s="120">
        <f>IF(ISERROR(MATCH(B1914,MASTER!$B:$B,0)),B1914,0)</f>
        <v>0</v>
      </c>
      <c r="H1914" s="120">
        <f>IF(ISERROR(MATCH(MASTER!B1918,'Peoplesoft Classlist'!$B:$B,0)),MASTER!B1918,0)</f>
        <v>0</v>
      </c>
    </row>
    <row r="1915" spans="2:8" x14ac:dyDescent="0.25">
      <c r="B1915" s="114"/>
      <c r="C1915" s="114"/>
      <c r="D1915" s="114"/>
      <c r="G1915" s="120">
        <f>IF(ISERROR(MATCH(B1915,MASTER!$B:$B,0)),B1915,0)</f>
        <v>0</v>
      </c>
      <c r="H1915" s="120">
        <f>IF(ISERROR(MATCH(MASTER!B1919,'Peoplesoft Classlist'!$B:$B,0)),MASTER!B1919,0)</f>
        <v>0</v>
      </c>
    </row>
    <row r="1916" spans="2:8" x14ac:dyDescent="0.25">
      <c r="B1916" s="114"/>
      <c r="C1916" s="114"/>
      <c r="D1916" s="114"/>
      <c r="G1916" s="120">
        <f>IF(ISERROR(MATCH(B1916,MASTER!$B:$B,0)),B1916,0)</f>
        <v>0</v>
      </c>
      <c r="H1916" s="120">
        <f>IF(ISERROR(MATCH(MASTER!B1920,'Peoplesoft Classlist'!$B:$B,0)),MASTER!B1920,0)</f>
        <v>0</v>
      </c>
    </row>
    <row r="1917" spans="2:8" x14ac:dyDescent="0.25">
      <c r="B1917" s="114"/>
      <c r="C1917" s="114"/>
      <c r="D1917" s="114"/>
      <c r="G1917" s="120">
        <f>IF(ISERROR(MATCH(B1917,MASTER!$B:$B,0)),B1917,0)</f>
        <v>0</v>
      </c>
      <c r="H1917" s="120">
        <f>IF(ISERROR(MATCH(MASTER!B1921,'Peoplesoft Classlist'!$B:$B,0)),MASTER!B1921,0)</f>
        <v>0</v>
      </c>
    </row>
    <row r="1918" spans="2:8" x14ac:dyDescent="0.25">
      <c r="B1918" s="114"/>
      <c r="C1918" s="114"/>
      <c r="D1918" s="114"/>
      <c r="G1918" s="120">
        <f>IF(ISERROR(MATCH(B1918,MASTER!$B:$B,0)),B1918,0)</f>
        <v>0</v>
      </c>
      <c r="H1918" s="120">
        <f>IF(ISERROR(MATCH(MASTER!B1922,'Peoplesoft Classlist'!$B:$B,0)),MASTER!B1922,0)</f>
        <v>0</v>
      </c>
    </row>
    <row r="1919" spans="2:8" x14ac:dyDescent="0.25">
      <c r="B1919" s="114"/>
      <c r="C1919" s="114"/>
      <c r="D1919" s="114"/>
      <c r="G1919" s="120">
        <f>IF(ISERROR(MATCH(B1919,MASTER!$B:$B,0)),B1919,0)</f>
        <v>0</v>
      </c>
      <c r="H1919" s="120">
        <f>IF(ISERROR(MATCH(MASTER!B1923,'Peoplesoft Classlist'!$B:$B,0)),MASTER!B1923,0)</f>
        <v>0</v>
      </c>
    </row>
    <row r="1920" spans="2:8" x14ac:dyDescent="0.25">
      <c r="B1920" s="114"/>
      <c r="C1920" s="114"/>
      <c r="D1920" s="114"/>
      <c r="G1920" s="120">
        <f>IF(ISERROR(MATCH(B1920,MASTER!$B:$B,0)),B1920,0)</f>
        <v>0</v>
      </c>
      <c r="H1920" s="120">
        <f>IF(ISERROR(MATCH(MASTER!B1924,'Peoplesoft Classlist'!$B:$B,0)),MASTER!B1924,0)</f>
        <v>0</v>
      </c>
    </row>
    <row r="1921" spans="2:8" x14ac:dyDescent="0.25">
      <c r="B1921" s="114"/>
      <c r="C1921" s="114"/>
      <c r="D1921" s="114"/>
      <c r="G1921" s="120">
        <f>IF(ISERROR(MATCH(B1921,MASTER!$B:$B,0)),B1921,0)</f>
        <v>0</v>
      </c>
      <c r="H1921" s="120">
        <f>IF(ISERROR(MATCH(MASTER!B1925,'Peoplesoft Classlist'!$B:$B,0)),MASTER!B1925,0)</f>
        <v>0</v>
      </c>
    </row>
    <row r="1922" spans="2:8" x14ac:dyDescent="0.25">
      <c r="B1922" s="114"/>
      <c r="C1922" s="114"/>
      <c r="D1922" s="114"/>
      <c r="G1922" s="120">
        <f>IF(ISERROR(MATCH(B1922,MASTER!$B:$B,0)),B1922,0)</f>
        <v>0</v>
      </c>
      <c r="H1922" s="120">
        <f>IF(ISERROR(MATCH(MASTER!B1926,'Peoplesoft Classlist'!$B:$B,0)),MASTER!B1926,0)</f>
        <v>0</v>
      </c>
    </row>
    <row r="1923" spans="2:8" x14ac:dyDescent="0.25">
      <c r="B1923" s="114"/>
      <c r="C1923" s="114"/>
      <c r="D1923" s="114"/>
      <c r="G1923" s="120">
        <f>IF(ISERROR(MATCH(B1923,MASTER!$B:$B,0)),B1923,0)</f>
        <v>0</v>
      </c>
      <c r="H1923" s="120">
        <f>IF(ISERROR(MATCH(MASTER!B1927,'Peoplesoft Classlist'!$B:$B,0)),MASTER!B1927,0)</f>
        <v>0</v>
      </c>
    </row>
    <row r="1924" spans="2:8" x14ac:dyDescent="0.25">
      <c r="B1924" s="114"/>
      <c r="C1924" s="114"/>
      <c r="D1924" s="114"/>
      <c r="G1924" s="120">
        <f>IF(ISERROR(MATCH(B1924,MASTER!$B:$B,0)),B1924,0)</f>
        <v>0</v>
      </c>
      <c r="H1924" s="120">
        <f>IF(ISERROR(MATCH(MASTER!B1928,'Peoplesoft Classlist'!$B:$B,0)),MASTER!B1928,0)</f>
        <v>0</v>
      </c>
    </row>
    <row r="1925" spans="2:8" x14ac:dyDescent="0.25">
      <c r="B1925" s="114"/>
      <c r="C1925" s="114"/>
      <c r="D1925" s="114"/>
      <c r="G1925" s="120">
        <f>IF(ISERROR(MATCH(B1925,MASTER!$B:$B,0)),B1925,0)</f>
        <v>0</v>
      </c>
      <c r="H1925" s="120">
        <f>IF(ISERROR(MATCH(MASTER!B1929,'Peoplesoft Classlist'!$B:$B,0)),MASTER!B1929,0)</f>
        <v>0</v>
      </c>
    </row>
    <row r="1926" spans="2:8" x14ac:dyDescent="0.25">
      <c r="B1926" s="114"/>
      <c r="C1926" s="114"/>
      <c r="D1926" s="114"/>
      <c r="G1926" s="120">
        <f>IF(ISERROR(MATCH(B1926,MASTER!$B:$B,0)),B1926,0)</f>
        <v>0</v>
      </c>
      <c r="H1926" s="120">
        <f>IF(ISERROR(MATCH(MASTER!B1930,'Peoplesoft Classlist'!$B:$B,0)),MASTER!B1930,0)</f>
        <v>0</v>
      </c>
    </row>
    <row r="1927" spans="2:8" x14ac:dyDescent="0.25">
      <c r="B1927" s="114"/>
      <c r="C1927" s="114"/>
      <c r="D1927" s="114"/>
      <c r="G1927" s="120">
        <f>IF(ISERROR(MATCH(B1927,MASTER!$B:$B,0)),B1927,0)</f>
        <v>0</v>
      </c>
      <c r="H1927" s="120">
        <f>IF(ISERROR(MATCH(MASTER!B1931,'Peoplesoft Classlist'!$B:$B,0)),MASTER!B1931,0)</f>
        <v>0</v>
      </c>
    </row>
    <row r="1928" spans="2:8" x14ac:dyDescent="0.25">
      <c r="B1928" s="114"/>
      <c r="C1928" s="114"/>
      <c r="D1928" s="114"/>
      <c r="G1928" s="120">
        <f>IF(ISERROR(MATCH(B1928,MASTER!$B:$B,0)),B1928,0)</f>
        <v>0</v>
      </c>
      <c r="H1928" s="120">
        <f>IF(ISERROR(MATCH(MASTER!B1932,'Peoplesoft Classlist'!$B:$B,0)),MASTER!B1932,0)</f>
        <v>0</v>
      </c>
    </row>
    <row r="1929" spans="2:8" x14ac:dyDescent="0.25">
      <c r="B1929" s="114"/>
      <c r="C1929" s="114"/>
      <c r="D1929" s="114"/>
      <c r="G1929" s="120">
        <f>IF(ISERROR(MATCH(B1929,MASTER!$B:$B,0)),B1929,0)</f>
        <v>0</v>
      </c>
      <c r="H1929" s="120">
        <f>IF(ISERROR(MATCH(MASTER!B1933,'Peoplesoft Classlist'!$B:$B,0)),MASTER!B1933,0)</f>
        <v>0</v>
      </c>
    </row>
    <row r="1930" spans="2:8" x14ac:dyDescent="0.25">
      <c r="B1930" s="114"/>
      <c r="C1930" s="114"/>
      <c r="D1930" s="114"/>
      <c r="G1930" s="120">
        <f>IF(ISERROR(MATCH(B1930,MASTER!$B:$B,0)),B1930,0)</f>
        <v>0</v>
      </c>
      <c r="H1930" s="120">
        <f>IF(ISERROR(MATCH(MASTER!B1934,'Peoplesoft Classlist'!$B:$B,0)),MASTER!B1934,0)</f>
        <v>0</v>
      </c>
    </row>
    <row r="1931" spans="2:8" x14ac:dyDescent="0.25">
      <c r="B1931" s="114"/>
      <c r="C1931" s="114"/>
      <c r="D1931" s="114"/>
      <c r="G1931" s="120">
        <f>IF(ISERROR(MATCH(B1931,MASTER!$B:$B,0)),B1931,0)</f>
        <v>0</v>
      </c>
      <c r="H1931" s="120">
        <f>IF(ISERROR(MATCH(MASTER!B1935,'Peoplesoft Classlist'!$B:$B,0)),MASTER!B1935,0)</f>
        <v>0</v>
      </c>
    </row>
    <row r="1932" spans="2:8" x14ac:dyDescent="0.25">
      <c r="B1932" s="114"/>
      <c r="C1932" s="114"/>
      <c r="D1932" s="114"/>
      <c r="G1932" s="120">
        <f>IF(ISERROR(MATCH(B1932,MASTER!$B:$B,0)),B1932,0)</f>
        <v>0</v>
      </c>
      <c r="H1932" s="120">
        <f>IF(ISERROR(MATCH(MASTER!B1936,'Peoplesoft Classlist'!$B:$B,0)),MASTER!B1936,0)</f>
        <v>0</v>
      </c>
    </row>
    <row r="1933" spans="2:8" x14ac:dyDescent="0.25">
      <c r="B1933" s="114"/>
      <c r="C1933" s="114"/>
      <c r="D1933" s="114"/>
      <c r="G1933" s="120">
        <f>IF(ISERROR(MATCH(B1933,MASTER!$B:$B,0)),B1933,0)</f>
        <v>0</v>
      </c>
      <c r="H1933" s="120">
        <f>IF(ISERROR(MATCH(MASTER!B1937,'Peoplesoft Classlist'!$B:$B,0)),MASTER!B1937,0)</f>
        <v>0</v>
      </c>
    </row>
    <row r="1934" spans="2:8" x14ac:dyDescent="0.25">
      <c r="B1934" s="114"/>
      <c r="C1934" s="114"/>
      <c r="D1934" s="114"/>
      <c r="G1934" s="120">
        <f>IF(ISERROR(MATCH(B1934,MASTER!$B:$B,0)),B1934,0)</f>
        <v>0</v>
      </c>
      <c r="H1934" s="120">
        <f>IF(ISERROR(MATCH(MASTER!B1938,'Peoplesoft Classlist'!$B:$B,0)),MASTER!B1938,0)</f>
        <v>0</v>
      </c>
    </row>
    <row r="1935" spans="2:8" x14ac:dyDescent="0.25">
      <c r="B1935" s="114"/>
      <c r="C1935" s="114"/>
      <c r="D1935" s="114"/>
      <c r="G1935" s="120">
        <f>IF(ISERROR(MATCH(B1935,MASTER!$B:$B,0)),B1935,0)</f>
        <v>0</v>
      </c>
      <c r="H1935" s="120">
        <f>IF(ISERROR(MATCH(MASTER!B1939,'Peoplesoft Classlist'!$B:$B,0)),MASTER!B1939,0)</f>
        <v>0</v>
      </c>
    </row>
    <row r="1936" spans="2:8" x14ac:dyDescent="0.25">
      <c r="B1936" s="114"/>
      <c r="C1936" s="114"/>
      <c r="D1936" s="114"/>
      <c r="G1936" s="120">
        <f>IF(ISERROR(MATCH(B1936,MASTER!$B:$B,0)),B1936,0)</f>
        <v>0</v>
      </c>
      <c r="H1936" s="120">
        <f>IF(ISERROR(MATCH(MASTER!B1940,'Peoplesoft Classlist'!$B:$B,0)),MASTER!B1940,0)</f>
        <v>0</v>
      </c>
    </row>
    <row r="1937" spans="2:8" x14ac:dyDescent="0.25">
      <c r="B1937" s="114"/>
      <c r="C1937" s="114"/>
      <c r="D1937" s="114"/>
      <c r="G1937" s="120">
        <f>IF(ISERROR(MATCH(B1937,MASTER!$B:$B,0)),B1937,0)</f>
        <v>0</v>
      </c>
      <c r="H1937" s="120">
        <f>IF(ISERROR(MATCH(MASTER!B1941,'Peoplesoft Classlist'!$B:$B,0)),MASTER!B1941,0)</f>
        <v>0</v>
      </c>
    </row>
    <row r="1938" spans="2:8" x14ac:dyDescent="0.25">
      <c r="B1938" s="114"/>
      <c r="C1938" s="114"/>
      <c r="D1938" s="114"/>
      <c r="G1938" s="120">
        <f>IF(ISERROR(MATCH(B1938,MASTER!$B:$B,0)),B1938,0)</f>
        <v>0</v>
      </c>
      <c r="H1938" s="120">
        <f>IF(ISERROR(MATCH(MASTER!B1942,'Peoplesoft Classlist'!$B:$B,0)),MASTER!B1942,0)</f>
        <v>0</v>
      </c>
    </row>
    <row r="1939" spans="2:8" x14ac:dyDescent="0.25">
      <c r="B1939" s="114"/>
      <c r="C1939" s="114"/>
      <c r="D1939" s="114"/>
      <c r="G1939" s="120">
        <f>IF(ISERROR(MATCH(B1939,MASTER!$B:$B,0)),B1939,0)</f>
        <v>0</v>
      </c>
      <c r="H1939" s="120">
        <f>IF(ISERROR(MATCH(MASTER!B1943,'Peoplesoft Classlist'!$B:$B,0)),MASTER!B1943,0)</f>
        <v>0</v>
      </c>
    </row>
    <row r="1940" spans="2:8" x14ac:dyDescent="0.25">
      <c r="B1940" s="114"/>
      <c r="C1940" s="114"/>
      <c r="D1940" s="114"/>
      <c r="G1940" s="120">
        <f>IF(ISERROR(MATCH(B1940,MASTER!$B:$B,0)),B1940,0)</f>
        <v>0</v>
      </c>
      <c r="H1940" s="120">
        <f>IF(ISERROR(MATCH(MASTER!B1944,'Peoplesoft Classlist'!$B:$B,0)),MASTER!B1944,0)</f>
        <v>0</v>
      </c>
    </row>
    <row r="1941" spans="2:8" x14ac:dyDescent="0.25">
      <c r="B1941" s="114"/>
      <c r="C1941" s="114"/>
      <c r="D1941" s="114"/>
      <c r="G1941" s="120">
        <f>IF(ISERROR(MATCH(B1941,MASTER!$B:$B,0)),B1941,0)</f>
        <v>0</v>
      </c>
      <c r="H1941" s="120">
        <f>IF(ISERROR(MATCH(MASTER!B1945,'Peoplesoft Classlist'!$B:$B,0)),MASTER!B1945,0)</f>
        <v>0</v>
      </c>
    </row>
    <row r="1942" spans="2:8" x14ac:dyDescent="0.25">
      <c r="B1942" s="114"/>
      <c r="C1942" s="114"/>
      <c r="D1942" s="114"/>
      <c r="G1942" s="120">
        <f>IF(ISERROR(MATCH(B1942,MASTER!$B:$B,0)),B1942,0)</f>
        <v>0</v>
      </c>
      <c r="H1942" s="120">
        <f>IF(ISERROR(MATCH(MASTER!B1946,'Peoplesoft Classlist'!$B:$B,0)),MASTER!B1946,0)</f>
        <v>0</v>
      </c>
    </row>
    <row r="1943" spans="2:8" x14ac:dyDescent="0.25">
      <c r="B1943" s="114"/>
      <c r="C1943" s="114"/>
      <c r="D1943" s="114"/>
      <c r="G1943" s="120">
        <f>IF(ISERROR(MATCH(B1943,MASTER!$B:$B,0)),B1943,0)</f>
        <v>0</v>
      </c>
      <c r="H1943" s="120">
        <f>IF(ISERROR(MATCH(MASTER!B1947,'Peoplesoft Classlist'!$B:$B,0)),MASTER!B1947,0)</f>
        <v>0</v>
      </c>
    </row>
    <row r="1944" spans="2:8" x14ac:dyDescent="0.25">
      <c r="B1944" s="114"/>
      <c r="C1944" s="114"/>
      <c r="D1944" s="114"/>
      <c r="G1944" s="120">
        <f>IF(ISERROR(MATCH(B1944,MASTER!$B:$B,0)),B1944,0)</f>
        <v>0</v>
      </c>
      <c r="H1944" s="120">
        <f>IF(ISERROR(MATCH(MASTER!B1948,'Peoplesoft Classlist'!$B:$B,0)),MASTER!B1948,0)</f>
        <v>0</v>
      </c>
    </row>
    <row r="1945" spans="2:8" x14ac:dyDescent="0.25">
      <c r="B1945" s="114"/>
      <c r="C1945" s="114"/>
      <c r="D1945" s="114"/>
      <c r="G1945" s="120">
        <f>IF(ISERROR(MATCH(B1945,MASTER!$B:$B,0)),B1945,0)</f>
        <v>0</v>
      </c>
      <c r="H1945" s="120">
        <f>IF(ISERROR(MATCH(MASTER!B1949,'Peoplesoft Classlist'!$B:$B,0)),MASTER!B1949,0)</f>
        <v>0</v>
      </c>
    </row>
    <row r="1946" spans="2:8" x14ac:dyDescent="0.25">
      <c r="B1946" s="114"/>
      <c r="C1946" s="114"/>
      <c r="D1946" s="114"/>
      <c r="G1946" s="120">
        <f>IF(ISERROR(MATCH(B1946,MASTER!$B:$B,0)),B1946,0)</f>
        <v>0</v>
      </c>
      <c r="H1946" s="120">
        <f>IF(ISERROR(MATCH(MASTER!B1950,'Peoplesoft Classlist'!$B:$B,0)),MASTER!B1950,0)</f>
        <v>0</v>
      </c>
    </row>
    <row r="1947" spans="2:8" x14ac:dyDescent="0.25">
      <c r="B1947" s="114"/>
      <c r="C1947" s="114"/>
      <c r="D1947" s="114"/>
      <c r="G1947" s="120">
        <f>IF(ISERROR(MATCH(B1947,MASTER!$B:$B,0)),B1947,0)</f>
        <v>0</v>
      </c>
      <c r="H1947" s="120">
        <f>IF(ISERROR(MATCH(MASTER!B1951,'Peoplesoft Classlist'!$B:$B,0)),MASTER!B1951,0)</f>
        <v>0</v>
      </c>
    </row>
    <row r="1948" spans="2:8" x14ac:dyDescent="0.25">
      <c r="B1948" s="114"/>
      <c r="C1948" s="114"/>
      <c r="D1948" s="114"/>
      <c r="G1948" s="120">
        <f>IF(ISERROR(MATCH(B1948,MASTER!$B:$B,0)),B1948,0)</f>
        <v>0</v>
      </c>
      <c r="H1948" s="120">
        <f>IF(ISERROR(MATCH(MASTER!B1952,'Peoplesoft Classlist'!$B:$B,0)),MASTER!B1952,0)</f>
        <v>0</v>
      </c>
    </row>
    <row r="1949" spans="2:8" x14ac:dyDescent="0.25">
      <c r="B1949" s="114"/>
      <c r="C1949" s="114"/>
      <c r="D1949" s="114"/>
      <c r="G1949" s="120">
        <f>IF(ISERROR(MATCH(B1949,MASTER!$B:$B,0)),B1949,0)</f>
        <v>0</v>
      </c>
      <c r="H1949" s="120">
        <f>IF(ISERROR(MATCH(MASTER!B1953,'Peoplesoft Classlist'!$B:$B,0)),MASTER!B1953,0)</f>
        <v>0</v>
      </c>
    </row>
    <row r="1950" spans="2:8" x14ac:dyDescent="0.25">
      <c r="B1950" s="114"/>
      <c r="C1950" s="114"/>
      <c r="D1950" s="114"/>
      <c r="G1950" s="120">
        <f>IF(ISERROR(MATCH(B1950,MASTER!$B:$B,0)),B1950,0)</f>
        <v>0</v>
      </c>
      <c r="H1950" s="120">
        <f>IF(ISERROR(MATCH(MASTER!B1954,'Peoplesoft Classlist'!$B:$B,0)),MASTER!B1954,0)</f>
        <v>0</v>
      </c>
    </row>
    <row r="1951" spans="2:8" x14ac:dyDescent="0.25">
      <c r="B1951" s="114"/>
      <c r="C1951" s="114"/>
      <c r="D1951" s="114"/>
      <c r="G1951" s="120">
        <f>IF(ISERROR(MATCH(B1951,MASTER!$B:$B,0)),B1951,0)</f>
        <v>0</v>
      </c>
      <c r="H1951" s="120">
        <f>IF(ISERROR(MATCH(MASTER!B1955,'Peoplesoft Classlist'!$B:$B,0)),MASTER!B1955,0)</f>
        <v>0</v>
      </c>
    </row>
    <row r="1952" spans="2:8" x14ac:dyDescent="0.25">
      <c r="B1952" s="114"/>
      <c r="C1952" s="114"/>
      <c r="D1952" s="114"/>
      <c r="G1952" s="120">
        <f>IF(ISERROR(MATCH(B1952,MASTER!$B:$B,0)),B1952,0)</f>
        <v>0</v>
      </c>
      <c r="H1952" s="120">
        <f>IF(ISERROR(MATCH(MASTER!B1956,'Peoplesoft Classlist'!$B:$B,0)),MASTER!B1956,0)</f>
        <v>0</v>
      </c>
    </row>
    <row r="1953" spans="2:8" x14ac:dyDescent="0.25">
      <c r="B1953" s="114"/>
      <c r="C1953" s="114"/>
      <c r="D1953" s="114"/>
      <c r="G1953" s="120">
        <f>IF(ISERROR(MATCH(B1953,MASTER!$B:$B,0)),B1953,0)</f>
        <v>0</v>
      </c>
      <c r="H1953" s="120">
        <f>IF(ISERROR(MATCH(MASTER!B1957,'Peoplesoft Classlist'!$B:$B,0)),MASTER!B1957,0)</f>
        <v>0</v>
      </c>
    </row>
    <row r="1954" spans="2:8" x14ac:dyDescent="0.25">
      <c r="B1954" s="114"/>
      <c r="C1954" s="114"/>
      <c r="D1954" s="114"/>
      <c r="G1954" s="120">
        <f>IF(ISERROR(MATCH(B1954,MASTER!$B:$B,0)),B1954,0)</f>
        <v>0</v>
      </c>
      <c r="H1954" s="120">
        <f>IF(ISERROR(MATCH(MASTER!B1958,'Peoplesoft Classlist'!$B:$B,0)),MASTER!B1958,0)</f>
        <v>0</v>
      </c>
    </row>
    <row r="1955" spans="2:8" x14ac:dyDescent="0.25">
      <c r="B1955" s="114"/>
      <c r="C1955" s="114"/>
      <c r="D1955" s="114"/>
      <c r="G1955" s="120">
        <f>IF(ISERROR(MATCH(B1955,MASTER!$B:$B,0)),B1955,0)</f>
        <v>0</v>
      </c>
      <c r="H1955" s="120">
        <f>IF(ISERROR(MATCH(MASTER!B1959,'Peoplesoft Classlist'!$B:$B,0)),MASTER!B1959,0)</f>
        <v>0</v>
      </c>
    </row>
    <row r="1956" spans="2:8" x14ac:dyDescent="0.25">
      <c r="B1956" s="114"/>
      <c r="C1956" s="114"/>
      <c r="D1956" s="114"/>
      <c r="G1956" s="120">
        <f>IF(ISERROR(MATCH(B1956,MASTER!$B:$B,0)),B1956,0)</f>
        <v>0</v>
      </c>
      <c r="H1956" s="120">
        <f>IF(ISERROR(MATCH(MASTER!B1960,'Peoplesoft Classlist'!$B:$B,0)),MASTER!B1960,0)</f>
        <v>0</v>
      </c>
    </row>
    <row r="1957" spans="2:8" x14ac:dyDescent="0.25">
      <c r="B1957" s="114"/>
      <c r="C1957" s="114"/>
      <c r="D1957" s="114"/>
      <c r="G1957" s="120">
        <f>IF(ISERROR(MATCH(B1957,MASTER!$B:$B,0)),B1957,0)</f>
        <v>0</v>
      </c>
      <c r="H1957" s="120">
        <f>IF(ISERROR(MATCH(MASTER!B1961,'Peoplesoft Classlist'!$B:$B,0)),MASTER!B1961,0)</f>
        <v>0</v>
      </c>
    </row>
    <row r="1958" spans="2:8" x14ac:dyDescent="0.25">
      <c r="B1958" s="114"/>
      <c r="C1958" s="114"/>
      <c r="D1958" s="114"/>
      <c r="G1958" s="120">
        <f>IF(ISERROR(MATCH(B1958,MASTER!$B:$B,0)),B1958,0)</f>
        <v>0</v>
      </c>
      <c r="H1958" s="120">
        <f>IF(ISERROR(MATCH(MASTER!B1962,'Peoplesoft Classlist'!$B:$B,0)),MASTER!B1962,0)</f>
        <v>0</v>
      </c>
    </row>
    <row r="1959" spans="2:8" x14ac:dyDescent="0.25">
      <c r="B1959" s="114"/>
      <c r="C1959" s="114"/>
      <c r="D1959" s="114"/>
      <c r="G1959" s="120">
        <f>IF(ISERROR(MATCH(B1959,MASTER!$B:$B,0)),B1959,0)</f>
        <v>0</v>
      </c>
      <c r="H1959" s="120">
        <f>IF(ISERROR(MATCH(MASTER!B1963,'Peoplesoft Classlist'!$B:$B,0)),MASTER!B1963,0)</f>
        <v>0</v>
      </c>
    </row>
    <row r="1960" spans="2:8" x14ac:dyDescent="0.25">
      <c r="B1960" s="114"/>
      <c r="C1960" s="114"/>
      <c r="D1960" s="114"/>
      <c r="G1960" s="120">
        <f>IF(ISERROR(MATCH(B1960,MASTER!$B:$B,0)),B1960,0)</f>
        <v>0</v>
      </c>
      <c r="H1960" s="120">
        <f>IF(ISERROR(MATCH(MASTER!B1964,'Peoplesoft Classlist'!$B:$B,0)),MASTER!B1964,0)</f>
        <v>0</v>
      </c>
    </row>
    <row r="1961" spans="2:8" x14ac:dyDescent="0.25">
      <c r="B1961" s="114"/>
      <c r="C1961" s="114"/>
      <c r="D1961" s="114"/>
      <c r="G1961" s="120">
        <f>IF(ISERROR(MATCH(B1961,MASTER!$B:$B,0)),B1961,0)</f>
        <v>0</v>
      </c>
      <c r="H1961" s="120">
        <f>IF(ISERROR(MATCH(MASTER!B1965,'Peoplesoft Classlist'!$B:$B,0)),MASTER!B1965,0)</f>
        <v>0</v>
      </c>
    </row>
    <row r="1962" spans="2:8" x14ac:dyDescent="0.25">
      <c r="B1962" s="114"/>
      <c r="C1962" s="114"/>
      <c r="D1962" s="114"/>
      <c r="G1962" s="120">
        <f>IF(ISERROR(MATCH(B1962,MASTER!$B:$B,0)),B1962,0)</f>
        <v>0</v>
      </c>
      <c r="H1962" s="120">
        <f>IF(ISERROR(MATCH(MASTER!B1966,'Peoplesoft Classlist'!$B:$B,0)),MASTER!B1966,0)</f>
        <v>0</v>
      </c>
    </row>
    <row r="1963" spans="2:8" x14ac:dyDescent="0.25">
      <c r="B1963" s="114"/>
      <c r="C1963" s="114"/>
      <c r="D1963" s="114"/>
      <c r="G1963" s="120">
        <f>IF(ISERROR(MATCH(B1963,MASTER!$B:$B,0)),B1963,0)</f>
        <v>0</v>
      </c>
      <c r="H1963" s="120">
        <f>IF(ISERROR(MATCH(MASTER!B1967,'Peoplesoft Classlist'!$B:$B,0)),MASTER!B1967,0)</f>
        <v>0</v>
      </c>
    </row>
    <row r="1964" spans="2:8" x14ac:dyDescent="0.25">
      <c r="B1964" s="114"/>
      <c r="C1964" s="114"/>
      <c r="D1964" s="114"/>
      <c r="G1964" s="120">
        <f>IF(ISERROR(MATCH(B1964,MASTER!$B:$B,0)),B1964,0)</f>
        <v>0</v>
      </c>
      <c r="H1964" s="120">
        <f>IF(ISERROR(MATCH(MASTER!B1968,'Peoplesoft Classlist'!$B:$B,0)),MASTER!B1968,0)</f>
        <v>0</v>
      </c>
    </row>
    <row r="1965" spans="2:8" x14ac:dyDescent="0.25">
      <c r="B1965" s="114"/>
      <c r="C1965" s="114"/>
      <c r="D1965" s="114"/>
      <c r="G1965" s="120">
        <f>IF(ISERROR(MATCH(B1965,MASTER!$B:$B,0)),B1965,0)</f>
        <v>0</v>
      </c>
      <c r="H1965" s="120">
        <f>IF(ISERROR(MATCH(MASTER!B1969,'Peoplesoft Classlist'!$B:$B,0)),MASTER!B1969,0)</f>
        <v>0</v>
      </c>
    </row>
    <row r="1966" spans="2:8" x14ac:dyDescent="0.25">
      <c r="B1966" s="114"/>
      <c r="C1966" s="114"/>
      <c r="D1966" s="114"/>
      <c r="G1966" s="120">
        <f>IF(ISERROR(MATCH(B1966,MASTER!$B:$B,0)),B1966,0)</f>
        <v>0</v>
      </c>
      <c r="H1966" s="120">
        <f>IF(ISERROR(MATCH(MASTER!B1970,'Peoplesoft Classlist'!$B:$B,0)),MASTER!B1970,0)</f>
        <v>0</v>
      </c>
    </row>
    <row r="1967" spans="2:8" x14ac:dyDescent="0.25">
      <c r="B1967" s="114"/>
      <c r="C1967" s="114"/>
      <c r="D1967" s="114"/>
      <c r="G1967" s="120">
        <f>IF(ISERROR(MATCH(B1967,MASTER!$B:$B,0)),B1967,0)</f>
        <v>0</v>
      </c>
      <c r="H1967" s="120">
        <f>IF(ISERROR(MATCH(MASTER!B1971,'Peoplesoft Classlist'!$B:$B,0)),MASTER!B1971,0)</f>
        <v>0</v>
      </c>
    </row>
    <row r="1968" spans="2:8" x14ac:dyDescent="0.25">
      <c r="B1968" s="114"/>
      <c r="C1968" s="114"/>
      <c r="D1968" s="114"/>
      <c r="G1968" s="120">
        <f>IF(ISERROR(MATCH(B1968,MASTER!$B:$B,0)),B1968,0)</f>
        <v>0</v>
      </c>
      <c r="H1968" s="120">
        <f>IF(ISERROR(MATCH(MASTER!B1972,'Peoplesoft Classlist'!$B:$B,0)),MASTER!B1972,0)</f>
        <v>0</v>
      </c>
    </row>
    <row r="1969" spans="2:8" x14ac:dyDescent="0.25">
      <c r="B1969" s="114"/>
      <c r="C1969" s="114"/>
      <c r="D1969" s="114"/>
      <c r="G1969" s="120">
        <f>IF(ISERROR(MATCH(B1969,MASTER!$B:$B,0)),B1969,0)</f>
        <v>0</v>
      </c>
      <c r="H1969" s="120">
        <f>IF(ISERROR(MATCH(MASTER!B1973,'Peoplesoft Classlist'!$B:$B,0)),MASTER!B1973,0)</f>
        <v>0</v>
      </c>
    </row>
    <row r="1970" spans="2:8" x14ac:dyDescent="0.25">
      <c r="B1970" s="114"/>
      <c r="C1970" s="114"/>
      <c r="D1970" s="114"/>
      <c r="G1970" s="120">
        <f>IF(ISERROR(MATCH(B1970,MASTER!$B:$B,0)),B1970,0)</f>
        <v>0</v>
      </c>
      <c r="H1970" s="120">
        <f>IF(ISERROR(MATCH(MASTER!B1974,'Peoplesoft Classlist'!$B:$B,0)),MASTER!B1974,0)</f>
        <v>0</v>
      </c>
    </row>
    <row r="1971" spans="2:8" x14ac:dyDescent="0.25">
      <c r="B1971" s="114"/>
      <c r="C1971" s="114"/>
      <c r="D1971" s="114"/>
      <c r="G1971" s="120">
        <f>IF(ISERROR(MATCH(B1971,MASTER!$B:$B,0)),B1971,0)</f>
        <v>0</v>
      </c>
      <c r="H1971" s="120">
        <f>IF(ISERROR(MATCH(MASTER!B1975,'Peoplesoft Classlist'!$B:$B,0)),MASTER!B1975,0)</f>
        <v>0</v>
      </c>
    </row>
    <row r="1972" spans="2:8" x14ac:dyDescent="0.25">
      <c r="B1972" s="114"/>
      <c r="C1972" s="114"/>
      <c r="D1972" s="114"/>
      <c r="G1972" s="120">
        <f>IF(ISERROR(MATCH(B1972,MASTER!$B:$B,0)),B1972,0)</f>
        <v>0</v>
      </c>
      <c r="H1972" s="120">
        <f>IF(ISERROR(MATCH(MASTER!B1976,'Peoplesoft Classlist'!$B:$B,0)),MASTER!B1976,0)</f>
        <v>0</v>
      </c>
    </row>
    <row r="1973" spans="2:8" x14ac:dyDescent="0.25">
      <c r="B1973" s="114"/>
      <c r="C1973" s="114"/>
      <c r="D1973" s="114"/>
      <c r="G1973" s="120">
        <f>IF(ISERROR(MATCH(B1973,MASTER!$B:$B,0)),B1973,0)</f>
        <v>0</v>
      </c>
      <c r="H1973" s="120">
        <f>IF(ISERROR(MATCH(MASTER!B1977,'Peoplesoft Classlist'!$B:$B,0)),MASTER!B1977,0)</f>
        <v>0</v>
      </c>
    </row>
    <row r="1974" spans="2:8" x14ac:dyDescent="0.25">
      <c r="B1974" s="114"/>
      <c r="C1974" s="114"/>
      <c r="D1974" s="114"/>
      <c r="G1974" s="120">
        <f>IF(ISERROR(MATCH(B1974,MASTER!$B:$B,0)),B1974,0)</f>
        <v>0</v>
      </c>
      <c r="H1974" s="120">
        <f>IF(ISERROR(MATCH(MASTER!B1978,'Peoplesoft Classlist'!$B:$B,0)),MASTER!B1978,0)</f>
        <v>0</v>
      </c>
    </row>
    <row r="1975" spans="2:8" x14ac:dyDescent="0.25">
      <c r="B1975" s="114"/>
      <c r="C1975" s="114"/>
      <c r="D1975" s="114"/>
      <c r="G1975" s="120">
        <f>IF(ISERROR(MATCH(B1975,MASTER!$B:$B,0)),B1975,0)</f>
        <v>0</v>
      </c>
      <c r="H1975" s="120">
        <f>IF(ISERROR(MATCH(MASTER!B1979,'Peoplesoft Classlist'!$B:$B,0)),MASTER!B1979,0)</f>
        <v>0</v>
      </c>
    </row>
    <row r="1976" spans="2:8" x14ac:dyDescent="0.25">
      <c r="B1976" s="114"/>
      <c r="C1976" s="114"/>
      <c r="D1976" s="114"/>
      <c r="G1976" s="120">
        <f>IF(ISERROR(MATCH(B1976,MASTER!$B:$B,0)),B1976,0)</f>
        <v>0</v>
      </c>
      <c r="H1976" s="120">
        <f>IF(ISERROR(MATCH(MASTER!B1980,'Peoplesoft Classlist'!$B:$B,0)),MASTER!B1980,0)</f>
        <v>0</v>
      </c>
    </row>
    <row r="1977" spans="2:8" x14ac:dyDescent="0.25">
      <c r="B1977" s="114"/>
      <c r="C1977" s="114"/>
      <c r="D1977" s="114"/>
      <c r="G1977" s="120">
        <f>IF(ISERROR(MATCH(B1977,MASTER!$B:$B,0)),B1977,0)</f>
        <v>0</v>
      </c>
      <c r="H1977" s="120">
        <f>IF(ISERROR(MATCH(MASTER!B1981,'Peoplesoft Classlist'!$B:$B,0)),MASTER!B1981,0)</f>
        <v>0</v>
      </c>
    </row>
    <row r="1978" spans="2:8" x14ac:dyDescent="0.25">
      <c r="B1978" s="114"/>
      <c r="C1978" s="114"/>
      <c r="D1978" s="114"/>
      <c r="G1978" s="120">
        <f>IF(ISERROR(MATCH(B1978,MASTER!$B:$B,0)),B1978,0)</f>
        <v>0</v>
      </c>
      <c r="H1978" s="120">
        <f>IF(ISERROR(MATCH(MASTER!B1982,'Peoplesoft Classlist'!$B:$B,0)),MASTER!B1982,0)</f>
        <v>0</v>
      </c>
    </row>
    <row r="1979" spans="2:8" x14ac:dyDescent="0.25">
      <c r="B1979" s="114"/>
      <c r="C1979" s="114"/>
      <c r="D1979" s="114"/>
      <c r="G1979" s="120">
        <f>IF(ISERROR(MATCH(B1979,MASTER!$B:$B,0)),B1979,0)</f>
        <v>0</v>
      </c>
      <c r="H1979" s="120">
        <f>IF(ISERROR(MATCH(MASTER!B1983,'Peoplesoft Classlist'!$B:$B,0)),MASTER!B1983,0)</f>
        <v>0</v>
      </c>
    </row>
    <row r="1980" spans="2:8" x14ac:dyDescent="0.25">
      <c r="B1980" s="114"/>
      <c r="C1980" s="114"/>
      <c r="D1980" s="114"/>
      <c r="G1980" s="120">
        <f>IF(ISERROR(MATCH(B1980,MASTER!$B:$B,0)),B1980,0)</f>
        <v>0</v>
      </c>
      <c r="H1980" s="120">
        <f>IF(ISERROR(MATCH(MASTER!B1984,'Peoplesoft Classlist'!$B:$B,0)),MASTER!B1984,0)</f>
        <v>0</v>
      </c>
    </row>
    <row r="1981" spans="2:8" x14ac:dyDescent="0.25">
      <c r="B1981" s="114"/>
      <c r="C1981" s="114"/>
      <c r="D1981" s="114"/>
      <c r="G1981" s="120">
        <f>IF(ISERROR(MATCH(B1981,MASTER!$B:$B,0)),B1981,0)</f>
        <v>0</v>
      </c>
      <c r="H1981" s="120">
        <f>IF(ISERROR(MATCH(MASTER!B1985,'Peoplesoft Classlist'!$B:$B,0)),MASTER!B1985,0)</f>
        <v>0</v>
      </c>
    </row>
    <row r="1982" spans="2:8" x14ac:dyDescent="0.25">
      <c r="B1982" s="114"/>
      <c r="C1982" s="114"/>
      <c r="D1982" s="114"/>
      <c r="G1982" s="120">
        <f>IF(ISERROR(MATCH(B1982,MASTER!$B:$B,0)),B1982,0)</f>
        <v>0</v>
      </c>
      <c r="H1982" s="120">
        <f>IF(ISERROR(MATCH(MASTER!B1986,'Peoplesoft Classlist'!$B:$B,0)),MASTER!B1986,0)</f>
        <v>0</v>
      </c>
    </row>
    <row r="1983" spans="2:8" x14ac:dyDescent="0.25">
      <c r="B1983" s="114"/>
      <c r="C1983" s="114"/>
      <c r="D1983" s="114"/>
      <c r="G1983" s="120">
        <f>IF(ISERROR(MATCH(B1983,MASTER!$B:$B,0)),B1983,0)</f>
        <v>0</v>
      </c>
      <c r="H1983" s="120">
        <f>IF(ISERROR(MATCH(MASTER!B1987,'Peoplesoft Classlist'!$B:$B,0)),MASTER!B1987,0)</f>
        <v>0</v>
      </c>
    </row>
    <row r="1984" spans="2:8" x14ac:dyDescent="0.25">
      <c r="B1984" s="114"/>
      <c r="C1984" s="114"/>
      <c r="D1984" s="114"/>
      <c r="G1984" s="120">
        <f>IF(ISERROR(MATCH(B1984,MASTER!$B:$B,0)),B1984,0)</f>
        <v>0</v>
      </c>
      <c r="H1984" s="120">
        <f>IF(ISERROR(MATCH(MASTER!B1988,'Peoplesoft Classlist'!$B:$B,0)),MASTER!B1988,0)</f>
        <v>0</v>
      </c>
    </row>
    <row r="1985" spans="2:8" x14ac:dyDescent="0.25">
      <c r="B1985" s="114"/>
      <c r="C1985" s="114"/>
      <c r="D1985" s="114"/>
      <c r="G1985" s="120">
        <f>IF(ISERROR(MATCH(B1985,MASTER!$B:$B,0)),B1985,0)</f>
        <v>0</v>
      </c>
      <c r="H1985" s="120">
        <f>IF(ISERROR(MATCH(MASTER!B1989,'Peoplesoft Classlist'!$B:$B,0)),MASTER!B1989,0)</f>
        <v>0</v>
      </c>
    </row>
    <row r="1986" spans="2:8" x14ac:dyDescent="0.25">
      <c r="B1986" s="114"/>
      <c r="C1986" s="114"/>
      <c r="D1986" s="114"/>
      <c r="G1986" s="120">
        <f>IF(ISERROR(MATCH(B1986,MASTER!$B:$B,0)),B1986,0)</f>
        <v>0</v>
      </c>
      <c r="H1986" s="120">
        <f>IF(ISERROR(MATCH(MASTER!B1990,'Peoplesoft Classlist'!$B:$B,0)),MASTER!B1990,0)</f>
        <v>0</v>
      </c>
    </row>
    <row r="1987" spans="2:8" x14ac:dyDescent="0.25">
      <c r="B1987" s="114"/>
      <c r="C1987" s="114"/>
      <c r="D1987" s="114"/>
      <c r="G1987" s="120">
        <f>IF(ISERROR(MATCH(B1987,MASTER!$B:$B,0)),B1987,0)</f>
        <v>0</v>
      </c>
      <c r="H1987" s="120">
        <f>IF(ISERROR(MATCH(MASTER!B1991,'Peoplesoft Classlist'!$B:$B,0)),MASTER!B1991,0)</f>
        <v>0</v>
      </c>
    </row>
    <row r="1988" spans="2:8" x14ac:dyDescent="0.25">
      <c r="B1988" s="114"/>
      <c r="C1988" s="114"/>
      <c r="D1988" s="114"/>
      <c r="G1988" s="120">
        <f>IF(ISERROR(MATCH(B1988,MASTER!$B:$B,0)),B1988,0)</f>
        <v>0</v>
      </c>
      <c r="H1988" s="120">
        <f>IF(ISERROR(MATCH(MASTER!B1992,'Peoplesoft Classlist'!$B:$B,0)),MASTER!B1992,0)</f>
        <v>0</v>
      </c>
    </row>
    <row r="1989" spans="2:8" x14ac:dyDescent="0.25">
      <c r="B1989" s="114"/>
      <c r="C1989" s="114"/>
      <c r="D1989" s="114"/>
      <c r="G1989" s="120">
        <f>IF(ISERROR(MATCH(B1989,MASTER!$B:$B,0)),B1989,0)</f>
        <v>0</v>
      </c>
      <c r="H1989" s="120">
        <f>IF(ISERROR(MATCH(MASTER!B1993,'Peoplesoft Classlist'!$B:$B,0)),MASTER!B1993,0)</f>
        <v>0</v>
      </c>
    </row>
    <row r="1990" spans="2:8" x14ac:dyDescent="0.25">
      <c r="B1990" s="114"/>
      <c r="C1990" s="114"/>
      <c r="D1990" s="114"/>
      <c r="G1990" s="120">
        <f>IF(ISERROR(MATCH(B1990,MASTER!$B:$B,0)),B1990,0)</f>
        <v>0</v>
      </c>
      <c r="H1990" s="120">
        <f>IF(ISERROR(MATCH(MASTER!B1994,'Peoplesoft Classlist'!$B:$B,0)),MASTER!B1994,0)</f>
        <v>0</v>
      </c>
    </row>
    <row r="1991" spans="2:8" x14ac:dyDescent="0.25">
      <c r="B1991" s="114"/>
      <c r="C1991" s="114"/>
      <c r="D1991" s="114"/>
      <c r="G1991" s="120">
        <f>IF(ISERROR(MATCH(B1991,MASTER!$B:$B,0)),B1991,0)</f>
        <v>0</v>
      </c>
      <c r="H1991" s="120">
        <f>IF(ISERROR(MATCH(MASTER!B1995,'Peoplesoft Classlist'!$B:$B,0)),MASTER!B1995,0)</f>
        <v>0</v>
      </c>
    </row>
    <row r="1992" spans="2:8" x14ac:dyDescent="0.25">
      <c r="B1992" s="114"/>
      <c r="C1992" s="114"/>
      <c r="D1992" s="114"/>
      <c r="G1992" s="120">
        <f>IF(ISERROR(MATCH(B1992,MASTER!$B:$B,0)),B1992,0)</f>
        <v>0</v>
      </c>
      <c r="H1992" s="120">
        <f>IF(ISERROR(MATCH(MASTER!B1996,'Peoplesoft Classlist'!$B:$B,0)),MASTER!B1996,0)</f>
        <v>0</v>
      </c>
    </row>
    <row r="1993" spans="2:8" x14ac:dyDescent="0.25">
      <c r="G1993" s="120">
        <f>IF(ISERROR(MATCH(B1993,MASTER!$B:$B,0)),B1993,0)</f>
        <v>0</v>
      </c>
      <c r="H1993" s="120">
        <f>IF(ISERROR(MATCH(MASTER!B1997,'Peoplesoft Classlist'!$B:$B,0)),MASTER!B1997,0)</f>
        <v>0</v>
      </c>
    </row>
    <row r="1994" spans="2:8" x14ac:dyDescent="0.25">
      <c r="G1994" s="120">
        <f>IF(ISERROR(MATCH(B1994,MASTER!$B:$B,0)),B1994,0)</f>
        <v>0</v>
      </c>
      <c r="H1994" s="120">
        <f>IF(ISERROR(MATCH(MASTER!B1998,'Peoplesoft Classlist'!$B:$B,0)),MASTER!B1998,0)</f>
        <v>0</v>
      </c>
    </row>
    <row r="1995" spans="2:8" x14ac:dyDescent="0.25">
      <c r="G1995" s="120">
        <f>IF(ISERROR(MATCH(B1995,MASTER!$B:$B,0)),B1995,0)</f>
        <v>0</v>
      </c>
      <c r="H1995" s="120">
        <f>IF(ISERROR(MATCH(MASTER!B1999,'Peoplesoft Classlist'!$B:$B,0)),MASTER!B1999,0)</f>
        <v>0</v>
      </c>
    </row>
    <row r="1996" spans="2:8" x14ac:dyDescent="0.25">
      <c r="G1996" s="120">
        <f>IF(ISERROR(MATCH(B1996,MASTER!$B:$B,0)),B1996,0)</f>
        <v>0</v>
      </c>
      <c r="H1996" s="120">
        <f>IF(ISERROR(MATCH(MASTER!B2000,'Peoplesoft Classlist'!$B:$B,0)),MASTER!B2000,0)</f>
        <v>0</v>
      </c>
    </row>
    <row r="1997" spans="2:8" x14ac:dyDescent="0.25">
      <c r="G1997" s="120">
        <f>IF(ISERROR(MATCH(B1997,MASTER!$B:$B,0)),B1997,0)</f>
        <v>0</v>
      </c>
      <c r="H1997" s="120">
        <f>IF(ISERROR(MATCH(MASTER!B2001,'Peoplesoft Classlist'!$B:$B,0)),MASTER!B2001,0)</f>
        <v>0</v>
      </c>
    </row>
    <row r="1998" spans="2:8" x14ac:dyDescent="0.25">
      <c r="G1998" s="120">
        <f>IF(ISERROR(MATCH(B1998,MASTER!$B:$B,0)),B1998,0)</f>
        <v>0</v>
      </c>
      <c r="H1998" s="120">
        <f>IF(ISERROR(MATCH(MASTER!B2002,'Peoplesoft Classlist'!$B:$B,0)),MASTER!B2002,0)</f>
        <v>0</v>
      </c>
    </row>
    <row r="1999" spans="2:8" x14ac:dyDescent="0.25">
      <c r="G1999" s="120">
        <f>IF(ISERROR(MATCH(B1999,MASTER!$B:$B,0)),B1999,0)</f>
        <v>0</v>
      </c>
      <c r="H1999" s="120">
        <f>IF(ISERROR(MATCH(MASTER!B2003,'Peoplesoft Classlist'!$B:$B,0)),MASTER!B2003,0)</f>
        <v>0</v>
      </c>
    </row>
    <row r="2000" spans="2:8" x14ac:dyDescent="0.25">
      <c r="G2000" s="120">
        <f>IF(ISERROR(MATCH(B2000,MASTER!$B:$B,0)),B2000,0)</f>
        <v>0</v>
      </c>
      <c r="H2000" s="120">
        <f>IF(ISERROR(MATCH(MASTER!B2004,'Peoplesoft Classlist'!$B:$B,0)),MASTER!B2004,0)</f>
        <v>0</v>
      </c>
    </row>
  </sheetData>
  <sheetProtection password="EFD2" sheet="1" objects="1" scenarios="1" selectLockedCells="1"/>
  <sortState ref="G3:G1466">
    <sortCondition descending="1" ref="G3:G1466"/>
  </sortState>
  <mergeCells count="1">
    <mergeCell ref="B2:C2"/>
  </mergeCells>
  <conditionalFormatting sqref="G6:H2002">
    <cfRule type="cellIs" dxfId="1827" priority="2" operator="equal">
      <formula>0</formula>
    </cfRule>
  </conditionalFormatting>
  <pageMargins left="0.7" right="0.7" top="0.75" bottom="0.75" header="0.3" footer="0.3"/>
  <pageSetup paperSize="9" scale="66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I2008"/>
  <sheetViews>
    <sheetView zoomScaleNormal="10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J7" sqref="J7"/>
    </sheetView>
  </sheetViews>
  <sheetFormatPr defaultRowHeight="15" x14ac:dyDescent="0.25"/>
  <cols>
    <col min="1" max="1" width="10.140625" style="2" bestFit="1" customWidth="1"/>
    <col min="2" max="2" width="15.42578125" style="2" customWidth="1"/>
    <col min="3" max="3" width="40.7109375" style="2" customWidth="1"/>
    <col min="4" max="4" width="8.7109375" style="2" customWidth="1"/>
    <col min="5" max="5" width="9.140625" style="2"/>
    <col min="6" max="9" width="9.140625" style="2" customWidth="1"/>
    <col min="10" max="12" width="9.140625" style="2"/>
    <col min="13" max="13" width="10.7109375" style="2" customWidth="1"/>
    <col min="14" max="14" width="10.5703125" style="2" customWidth="1"/>
    <col min="15" max="22" width="9.140625" style="2"/>
    <col min="23" max="23" width="4.42578125" style="2" customWidth="1"/>
    <col min="24" max="24" width="8.85546875" style="2" customWidth="1"/>
    <col min="25" max="25" width="41.28515625" style="2" customWidth="1"/>
    <col min="26" max="29" width="9" style="2" customWidth="1"/>
    <col min="30" max="34" width="9.140625" style="2"/>
  </cols>
  <sheetData>
    <row r="1" spans="1:35" ht="15" customHeight="1" x14ac:dyDescent="0.25">
      <c r="F1" s="402"/>
      <c r="G1" s="402"/>
      <c r="H1" s="402"/>
      <c r="I1" s="220"/>
      <c r="J1" s="220"/>
      <c r="M1" s="400"/>
      <c r="N1" s="400"/>
      <c r="O1" s="400"/>
    </row>
    <row r="2" spans="1:35" ht="15" customHeight="1" x14ac:dyDescent="0.25">
      <c r="F2" s="403"/>
      <c r="G2" s="403"/>
      <c r="H2" s="403"/>
      <c r="I2" s="47"/>
      <c r="J2" s="47"/>
      <c r="M2" s="403"/>
      <c r="N2" s="403"/>
      <c r="O2" s="403"/>
    </row>
    <row r="3" spans="1:35" x14ac:dyDescent="0.25">
      <c r="A3" s="235" t="s">
        <v>271</v>
      </c>
      <c r="C3" s="126" t="s">
        <v>175</v>
      </c>
      <c r="D3" s="150"/>
      <c r="E3" s="401" t="s">
        <v>234</v>
      </c>
      <c r="F3" s="401"/>
      <c r="G3" s="401"/>
      <c r="H3" s="401"/>
      <c r="I3" s="401"/>
      <c r="J3" s="401"/>
      <c r="K3" s="401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219"/>
      <c r="X3" s="219"/>
      <c r="Z3" s="46"/>
      <c r="AA3" s="46"/>
      <c r="AB3" s="46"/>
      <c r="AC3" s="46"/>
    </row>
    <row r="4" spans="1:35" ht="15.75" thickBot="1" x14ac:dyDescent="0.3">
      <c r="A4" s="219">
        <v>2014</v>
      </c>
      <c r="E4" s="219"/>
      <c r="F4" s="219"/>
      <c r="G4" s="219"/>
      <c r="H4" s="219"/>
      <c r="I4" s="219"/>
      <c r="J4" s="219"/>
      <c r="K4" s="47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</row>
    <row r="5" spans="1:35" ht="69.75" customHeight="1" thickBot="1" x14ac:dyDescent="0.3">
      <c r="A5" s="48"/>
      <c r="B5" s="49"/>
      <c r="C5" s="50"/>
      <c r="D5" s="109"/>
      <c r="E5" s="51" t="s">
        <v>52</v>
      </c>
      <c r="F5" s="51" t="s">
        <v>61</v>
      </c>
      <c r="G5" s="51" t="s">
        <v>140</v>
      </c>
      <c r="H5" s="51" t="s">
        <v>141</v>
      </c>
      <c r="I5" s="51" t="s">
        <v>176</v>
      </c>
      <c r="J5" s="51" t="s">
        <v>147</v>
      </c>
      <c r="K5" s="52" t="s">
        <v>70</v>
      </c>
      <c r="L5" s="51" t="s">
        <v>71</v>
      </c>
      <c r="M5" s="51" t="s">
        <v>72</v>
      </c>
      <c r="N5" s="51" t="s">
        <v>73</v>
      </c>
      <c r="O5" s="51" t="s">
        <v>74</v>
      </c>
      <c r="P5" s="51" t="s">
        <v>75</v>
      </c>
      <c r="Q5" s="53" t="s">
        <v>76</v>
      </c>
      <c r="R5" s="54" t="s">
        <v>80</v>
      </c>
      <c r="S5" s="55" t="s">
        <v>197</v>
      </c>
      <c r="T5" s="51" t="s">
        <v>145</v>
      </c>
      <c r="U5" s="51" t="s">
        <v>146</v>
      </c>
      <c r="V5" s="56" t="s">
        <v>81</v>
      </c>
      <c r="W5" s="99"/>
      <c r="X5" s="57" t="s">
        <v>139</v>
      </c>
      <c r="Y5" s="91" t="s">
        <v>82</v>
      </c>
      <c r="Z5" s="91" t="s">
        <v>171</v>
      </c>
      <c r="AA5" s="91" t="s">
        <v>172</v>
      </c>
      <c r="AB5" s="92" t="s">
        <v>137</v>
      </c>
      <c r="AC5" s="92" t="s">
        <v>174</v>
      </c>
      <c r="AD5" s="222" t="s">
        <v>130</v>
      </c>
      <c r="AE5" s="223"/>
      <c r="AF5" s="223"/>
      <c r="AG5" s="223"/>
      <c r="AH5" s="223"/>
      <c r="AI5" s="218"/>
    </row>
    <row r="6" spans="1:35" ht="15.75" thickBot="1" x14ac:dyDescent="0.3">
      <c r="A6" s="48"/>
      <c r="B6" s="48"/>
      <c r="C6" s="58" t="s">
        <v>83</v>
      </c>
      <c r="D6" s="110"/>
      <c r="E6" s="59">
        <f>'CT1'!F2</f>
        <v>100</v>
      </c>
      <c r="F6" s="59">
        <f>'CT2'!F2</f>
        <v>100</v>
      </c>
      <c r="G6" s="59">
        <f>'CT3'!F2</f>
        <v>100</v>
      </c>
      <c r="H6" s="59">
        <f>'CT4'!F2</f>
        <v>100</v>
      </c>
      <c r="I6" s="59">
        <f>'CT5'!F2</f>
        <v>100</v>
      </c>
      <c r="J6" s="59">
        <f>'CLASS TESTS'!E2</f>
        <v>100</v>
      </c>
      <c r="K6" s="59">
        <f>WPS!F2</f>
        <v>100</v>
      </c>
      <c r="L6" s="59">
        <f>TUTORIALS!S2</f>
        <v>100</v>
      </c>
      <c r="M6" s="59">
        <f>'LAB AFTERNOON'!AB2</f>
        <v>100</v>
      </c>
      <c r="N6" s="59">
        <f>'LAB EXAM'!G2</f>
        <v>100</v>
      </c>
      <c r="O6" s="59">
        <f>'OTHER 1'!F2</f>
        <v>100</v>
      </c>
      <c r="P6" s="59">
        <f>'OTHER 2'!F2</f>
        <v>100</v>
      </c>
      <c r="Q6" s="60">
        <f>'OTHER 3'!F2</f>
        <v>100</v>
      </c>
      <c r="R6" s="61">
        <v>100</v>
      </c>
      <c r="S6" s="62"/>
      <c r="T6" s="59">
        <f>'FINAL EXAM P1'!F2</f>
        <v>100</v>
      </c>
      <c r="U6" s="59">
        <f>'FINAL EXAM P2'!F2</f>
        <v>100</v>
      </c>
      <c r="V6" s="63">
        <v>100</v>
      </c>
      <c r="W6" s="100"/>
      <c r="X6" s="64"/>
      <c r="Y6" s="93"/>
      <c r="Z6" s="94">
        <f>'SUPP EXAM'!F2</f>
        <v>100</v>
      </c>
      <c r="AA6" s="94">
        <f>'DEFERRED EXAM'!F2</f>
        <v>100</v>
      </c>
      <c r="AB6" s="63">
        <v>100</v>
      </c>
      <c r="AC6" s="148">
        <v>100</v>
      </c>
      <c r="AD6" s="224"/>
    </row>
    <row r="7" spans="1:35" ht="30.75" thickBot="1" x14ac:dyDescent="0.3">
      <c r="A7" s="65" t="s">
        <v>84</v>
      </c>
      <c r="B7" s="90">
        <f>SUM(E7:Q7)+T7+U7</f>
        <v>1</v>
      </c>
      <c r="C7" s="66" t="s">
        <v>85</v>
      </c>
      <c r="D7" s="111"/>
      <c r="E7" s="179"/>
      <c r="F7" s="179"/>
      <c r="G7" s="179"/>
      <c r="H7" s="179"/>
      <c r="I7" s="179"/>
      <c r="J7" s="236">
        <v>0.1</v>
      </c>
      <c r="K7" s="236">
        <v>0.1</v>
      </c>
      <c r="L7" s="236">
        <v>0.1</v>
      </c>
      <c r="M7" s="236">
        <v>0.04</v>
      </c>
      <c r="N7" s="236">
        <v>0.04</v>
      </c>
      <c r="O7" s="236">
        <v>0.04</v>
      </c>
      <c r="P7" s="236">
        <v>0.04</v>
      </c>
      <c r="Q7" s="237">
        <v>0.04</v>
      </c>
      <c r="R7" s="68">
        <f>SUM(E7:Q7)</f>
        <v>0.49999999999999994</v>
      </c>
      <c r="S7" s="69"/>
      <c r="T7" s="236">
        <v>0.5</v>
      </c>
      <c r="U7" s="236">
        <v>0</v>
      </c>
      <c r="V7" s="64"/>
      <c r="W7" s="101"/>
      <c r="X7" s="70"/>
      <c r="Y7" s="95"/>
      <c r="Z7" s="67">
        <v>1</v>
      </c>
      <c r="AA7" s="147">
        <f>(1-R7)</f>
        <v>0.5</v>
      </c>
      <c r="AB7" s="95"/>
      <c r="AC7" s="149"/>
      <c r="AD7" s="225"/>
    </row>
    <row r="8" spans="1:35" x14ac:dyDescent="0.25">
      <c r="A8" s="71"/>
      <c r="B8" s="89"/>
      <c r="C8" s="72" t="s">
        <v>86</v>
      </c>
      <c r="D8" s="112"/>
      <c r="E8" s="73">
        <f t="shared" ref="E8:R8" si="0">IF(SUM(E11:E2001) = 0,"",AVERAGE(E11:E2001)/E6*100)</f>
        <v>71.25</v>
      </c>
      <c r="F8" s="73" t="str">
        <f t="shared" si="0"/>
        <v/>
      </c>
      <c r="G8" s="73" t="str">
        <f t="shared" si="0"/>
        <v/>
      </c>
      <c r="H8" s="73" t="str">
        <f t="shared" si="0"/>
        <v/>
      </c>
      <c r="I8" s="73" t="str">
        <f t="shared" si="0"/>
        <v/>
      </c>
      <c r="J8" s="73" t="e">
        <f t="shared" si="0"/>
        <v>#DIV/0!</v>
      </c>
      <c r="K8" s="73" t="e">
        <f t="shared" si="0"/>
        <v>#DIV/0!</v>
      </c>
      <c r="L8" s="73" t="e">
        <f t="shared" si="0"/>
        <v>#DIV/0!</v>
      </c>
      <c r="M8" s="73" t="e">
        <f t="shared" si="0"/>
        <v>#DIV/0!</v>
      </c>
      <c r="N8" s="73">
        <f t="shared" si="0"/>
        <v>67.777777777777771</v>
      </c>
      <c r="O8" s="73">
        <f t="shared" si="0"/>
        <v>65.75</v>
      </c>
      <c r="P8" s="73">
        <f t="shared" si="0"/>
        <v>65.75</v>
      </c>
      <c r="Q8" s="73">
        <f t="shared" si="0"/>
        <v>65.75</v>
      </c>
      <c r="R8" s="73" t="e">
        <f t="shared" si="0"/>
        <v>#DIV/0!</v>
      </c>
      <c r="S8" s="74"/>
      <c r="T8" s="73">
        <f>IF(SUM(T11:T2001) = 0,"",AVERAGE(T11:T2001)/T6*100)</f>
        <v>63.095238095238095</v>
      </c>
      <c r="U8" s="73" t="str">
        <f>IF(SUM(U11:U2001) = 0,"",AVERAGE(U11:U2001)/U6*100)</f>
        <v/>
      </c>
      <c r="V8" s="73" t="e">
        <f>IF(SUM(V11:V2001) = 0,"",AVERAGE(V11:V2001)/V6*100)</f>
        <v>#DIV/0!</v>
      </c>
      <c r="W8" s="102"/>
      <c r="X8" s="75"/>
      <c r="Y8" s="95"/>
      <c r="Z8" s="73" t="e">
        <f>IF(SUM(Z11:Z2001) = 0,"",AVERAGE(Z11:Z2001)/Z6*100)</f>
        <v>#DIV/0!</v>
      </c>
      <c r="AA8" s="73" t="e">
        <f>IF(SUM(AA11:AA2001) = 0,"",AVERAGE(AA11:AA2001)/AA6*100)</f>
        <v>#DIV/0!</v>
      </c>
      <c r="AB8" s="73" t="e">
        <f>IF(SUM(AB11:AB2001) = 0,"",AVERAGE(AB11:AB2001)/AB6*100)</f>
        <v>#DIV/0!</v>
      </c>
      <c r="AC8" s="73" t="e">
        <f>IF(SUM(AC11:AC2001) = 0,"",AVERAGE(AC11:AC2001)/AC6*100)</f>
        <v>#DIV/0!</v>
      </c>
      <c r="AD8" s="225"/>
    </row>
    <row r="9" spans="1:35" ht="15.75" thickBot="1" x14ac:dyDescent="0.3">
      <c r="A9" s="89"/>
      <c r="B9" s="89"/>
      <c r="C9" s="145"/>
      <c r="D9" s="113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7"/>
      <c r="R9" s="78"/>
      <c r="S9" s="79"/>
      <c r="T9" s="76"/>
      <c r="U9" s="76"/>
      <c r="V9" s="80"/>
      <c r="W9" s="103"/>
      <c r="X9" s="81"/>
      <c r="Y9" s="96"/>
      <c r="Z9" s="76"/>
      <c r="AA9" s="146"/>
      <c r="AB9" s="96"/>
      <c r="AC9" s="96"/>
      <c r="AD9" s="226"/>
    </row>
    <row r="10" spans="1:35" ht="32.25" thickBot="1" x14ac:dyDescent="0.3">
      <c r="A10" s="159" t="s">
        <v>4</v>
      </c>
      <c r="B10" s="159" t="s">
        <v>5</v>
      </c>
      <c r="C10" s="160" t="s">
        <v>6</v>
      </c>
      <c r="D10" s="161" t="s">
        <v>152</v>
      </c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3"/>
      <c r="R10" s="84"/>
      <c r="S10" s="85"/>
      <c r="T10" s="82"/>
      <c r="U10" s="83"/>
      <c r="V10" s="227" t="s">
        <v>129</v>
      </c>
      <c r="W10" s="86"/>
      <c r="X10" s="86"/>
      <c r="Y10" s="97"/>
      <c r="Z10" s="98"/>
      <c r="AA10" s="98"/>
      <c r="AB10" s="98"/>
      <c r="AC10" s="98"/>
      <c r="AD10" s="228"/>
    </row>
    <row r="11" spans="1:35" s="88" customFormat="1" ht="20.100000000000001" customHeight="1" x14ac:dyDescent="0.25">
      <c r="A11" s="151">
        <v>1</v>
      </c>
      <c r="B11" s="194" t="s">
        <v>235</v>
      </c>
      <c r="C11" s="164" t="s">
        <v>247</v>
      </c>
      <c r="D11" s="164" t="s">
        <v>260</v>
      </c>
      <c r="E11" s="152">
        <f>VLOOKUP(B11,'CT1'!$C:$F,4,FALSE)</f>
        <v>100</v>
      </c>
      <c r="F11" s="152">
        <f>VLOOKUP(B11,'CT2'!$C:$F,4,FALSE)</f>
        <v>0</v>
      </c>
      <c r="G11" s="152">
        <f>VLOOKUP(B11,'CT3'!$C:$F,4,FALSE)</f>
        <v>0</v>
      </c>
      <c r="H11" s="152">
        <f>VLOOKUP(B11,'CT4'!$C:$F,4,FALSE)</f>
        <v>0</v>
      </c>
      <c r="I11" s="152">
        <f>VLOOKUP(B11,'CT5'!$C:$F,4,FALSE)</f>
        <v>0</v>
      </c>
      <c r="J11" s="152">
        <f>VLOOKUP(B11,'CLASS TESTS'!$C:$E,3,FALSE)</f>
        <v>100</v>
      </c>
      <c r="K11" s="152">
        <f>VLOOKUP(B11,WPS!$C:$F,4,FALSE)</f>
        <v>100</v>
      </c>
      <c r="L11" s="153">
        <f>VLOOKUP(B11,TUTORIALS!$C:$S,17,FALSE)</f>
        <v>100</v>
      </c>
      <c r="M11" s="152">
        <f>VLOOKUP(B11,'LAB AFTERNOON'!$C:$AB,26,FALSE)</f>
        <v>100</v>
      </c>
      <c r="N11" s="152">
        <f>VLOOKUP(B11,'LAB EXAM'!$C:$G,5,FALSE)</f>
        <v>100</v>
      </c>
      <c r="O11" s="153">
        <f>VLOOKUP(B11,'OTHER 1'!$C:$F,4,FALSE)</f>
        <v>100</v>
      </c>
      <c r="P11" s="153">
        <f>VLOOKUP(B11,'OTHER 2'!$C:$F,4,FALSE)</f>
        <v>100</v>
      </c>
      <c r="Q11" s="153">
        <f>VLOOKUP(B11,'OTHER 3'!$C:$F,4,FALSE)</f>
        <v>100</v>
      </c>
      <c r="R11" s="154">
        <f t="shared" ref="R11:R20" si="1">IF(OR(J11="EXC",K11="EXC",L11="EXC",M11="EXC",N11="EXC",O11="EXC",P11="EXC",Q11="EXC"),"????",(IF(J11="ABS",0,J11/$J$6*$J$7)+IF(K11="ABS",0,K11/$K$6*$K$7)+IF(L11="ABS",0,L11/$L$6*$L$7)+IF(M11="ABS",0,M11/$M$6*$M$7)+IF(N11="ABS",0,N11/$N$6*$N$7)+IF(O11="ABS",0,O11/$O$6*$O$7)+IF(P11="ABS",0,P11/$P$6*$P$7)+IF(Q11="ABS",0,Q11/$Q$6*$Q$7))/($J$7+$K$7+$L$7+$M$7+$N$7+$O$7+$P$7+$Q$7)*100)</f>
        <v>100</v>
      </c>
      <c r="S11" s="238" t="s">
        <v>270</v>
      </c>
      <c r="T11" s="152">
        <f>VLOOKUP(B11,'FINAL EXAM P1'!$C:$F,4,FALSE)</f>
        <v>100</v>
      </c>
      <c r="U11" s="152" t="str">
        <f>VLOOKUP(B11,'FINAL EXAM P2'!$C:$F,4,FALSE)</f>
        <v/>
      </c>
      <c r="V11" s="155">
        <f t="shared" ref="V11:V18" si="2">IF(S11="DPR","DPR",IF(OR(T11="ABS",U11="ABS"),"AB",(IF($T$7=0,0,T11/$T$6*$T$7)+IF($U$7=0,0,U11/$U$6*$U$7)+R11/$R$6*$R$7)*100))</f>
        <v>100</v>
      </c>
      <c r="W11" s="155" t="str">
        <f t="shared" ref="W11:W20" si="3">IF(AND(OR(V11&gt;44.5,V11=44.5),V11&lt;49.5),"FS","")</f>
        <v/>
      </c>
      <c r="X11" s="156"/>
      <c r="Y11" s="157"/>
      <c r="Z11" s="152" t="str">
        <f>IF(W11="FS",VLOOKUP(B11,'SUPP EXAM'!$C:$F,4,FALSE),"-")</f>
        <v>-</v>
      </c>
      <c r="AA11" s="152" t="str">
        <f>IF(V11="DE",VLOOKUP(B11,'DEFERRED EXAM'!$C:$F,4,FALSE),"-")</f>
        <v>-</v>
      </c>
      <c r="AB11" s="155" t="str">
        <f t="shared" ref="AB11:AB20" si="4">IF(W11="FS",IF(Z11="ABS","AB",(Z11/$Z$6*$Z$7)*100),"-")</f>
        <v>-</v>
      </c>
      <c r="AC11" s="155" t="str">
        <f t="shared" ref="AC11:AC20" si="5">IF(V11="DE",IF(AA11="ABS","AB",(R11/$R$6*$R$7+AA11/$AA$6*$AA$7)*100),"-")</f>
        <v>-</v>
      </c>
      <c r="AD11" s="158"/>
      <c r="AE11" s="229"/>
      <c r="AF11" s="229"/>
      <c r="AG11" s="229"/>
      <c r="AH11" s="229"/>
    </row>
    <row r="12" spans="1:35" ht="20.100000000000001" customHeight="1" x14ac:dyDescent="0.25">
      <c r="A12" s="151">
        <v>2</v>
      </c>
      <c r="B12" s="194" t="s">
        <v>236</v>
      </c>
      <c r="C12" s="164" t="s">
        <v>248</v>
      </c>
      <c r="D12" s="164" t="s">
        <v>261</v>
      </c>
      <c r="E12" s="152">
        <f>VLOOKUP(B12,'CT1'!$C:$F,4,FALSE)</f>
        <v>50</v>
      </c>
      <c r="F12" s="152">
        <f>VLOOKUP(B12,'CT2'!$C:$F,4,FALSE)</f>
        <v>0</v>
      </c>
      <c r="G12" s="152">
        <f>VLOOKUP(B12,'CT3'!$C:$F,4,FALSE)</f>
        <v>0</v>
      </c>
      <c r="H12" s="152">
        <f>VLOOKUP(B12,'CT4'!$C:$F,4,FALSE)</f>
        <v>0</v>
      </c>
      <c r="I12" s="152">
        <f>VLOOKUP(B12,'CT5'!$C:$F,4,FALSE)</f>
        <v>0</v>
      </c>
      <c r="J12" s="152">
        <f>VLOOKUP(B12,'CLASS TESTS'!$C:$E,3,FALSE)</f>
        <v>50</v>
      </c>
      <c r="K12" s="152">
        <f>VLOOKUP(B12,WPS!$C:$F,4,FALSE)</f>
        <v>50</v>
      </c>
      <c r="L12" s="153">
        <f>VLOOKUP(B12,TUTORIALS!$C:$S,17,FALSE)</f>
        <v>50</v>
      </c>
      <c r="M12" s="152">
        <f>VLOOKUP(B12,'LAB AFTERNOON'!$C:$AB,26,FALSE)</f>
        <v>50</v>
      </c>
      <c r="N12" s="152">
        <f>VLOOKUP(B12,'LAB EXAM'!$C:$G,5,FALSE)</f>
        <v>50</v>
      </c>
      <c r="O12" s="153">
        <f>VLOOKUP(B12,'OTHER 1'!$C:$F,4,FALSE)</f>
        <v>50</v>
      </c>
      <c r="P12" s="153">
        <f>VLOOKUP(B12,'OTHER 2'!$C:$F,4,FALSE)</f>
        <v>50</v>
      </c>
      <c r="Q12" s="153">
        <f>VLOOKUP(B12,'OTHER 3'!$C:$F,4,FALSE)</f>
        <v>50</v>
      </c>
      <c r="R12" s="154">
        <f t="shared" si="1"/>
        <v>50</v>
      </c>
      <c r="S12" s="238" t="s">
        <v>270</v>
      </c>
      <c r="T12" s="152">
        <f>VLOOKUP(B12,'FINAL EXAM P1'!$C:$F,4,FALSE)</f>
        <v>50</v>
      </c>
      <c r="U12" s="152" t="str">
        <f>VLOOKUP(B12,'FINAL EXAM P2'!$C:$F,4,FALSE)</f>
        <v/>
      </c>
      <c r="V12" s="155">
        <f t="shared" si="2"/>
        <v>50</v>
      </c>
      <c r="W12" s="155" t="str">
        <f t="shared" si="3"/>
        <v/>
      </c>
      <c r="X12" s="156"/>
      <c r="Y12" s="157"/>
      <c r="Z12" s="152" t="str">
        <f>IF(W12="FS",VLOOKUP(B12,'SUPP EXAM'!$C:$F,4,FALSE),"-")</f>
        <v>-</v>
      </c>
      <c r="AA12" s="152" t="str">
        <f>IF(V12="DE",VLOOKUP(B12,'DEFERRED EXAM'!$C:$F,4,FALSE),"-")</f>
        <v>-</v>
      </c>
      <c r="AB12" s="155" t="str">
        <f t="shared" si="4"/>
        <v>-</v>
      </c>
      <c r="AC12" s="155" t="str">
        <f t="shared" si="5"/>
        <v>-</v>
      </c>
      <c r="AD12" s="158"/>
    </row>
    <row r="13" spans="1:35" ht="20.100000000000001" customHeight="1" x14ac:dyDescent="0.25">
      <c r="A13" s="151">
        <v>3</v>
      </c>
      <c r="B13" s="194" t="s">
        <v>237</v>
      </c>
      <c r="C13" s="164" t="s">
        <v>249</v>
      </c>
      <c r="D13" s="164" t="s">
        <v>262</v>
      </c>
      <c r="E13" s="152">
        <f>VLOOKUP(B13,'CT1'!$C:$F,4,FALSE)</f>
        <v>0</v>
      </c>
      <c r="F13" s="152">
        <f>VLOOKUP(B13,'CT2'!$C:$F,4,FALSE)</f>
        <v>0</v>
      </c>
      <c r="G13" s="152">
        <f>VLOOKUP(B13,'CT3'!$C:$F,4,FALSE)</f>
        <v>0</v>
      </c>
      <c r="H13" s="152">
        <f>VLOOKUP(B13,'CT4'!$C:$F,4,FALSE)</f>
        <v>0</v>
      </c>
      <c r="I13" s="152">
        <f>VLOOKUP(B13,'CT5'!$C:$F,4,FALSE)</f>
        <v>0</v>
      </c>
      <c r="J13" s="152">
        <f>VLOOKUP(B13,'CLASS TESTS'!$C:$E,3,FALSE)</f>
        <v>0</v>
      </c>
      <c r="K13" s="152">
        <f>VLOOKUP(B13,WPS!$C:$F,4,FALSE)</f>
        <v>0</v>
      </c>
      <c r="L13" s="153">
        <f>VLOOKUP(B13,TUTORIALS!$C:$S,17,FALSE)</f>
        <v>0</v>
      </c>
      <c r="M13" s="152">
        <f>VLOOKUP(B13,'LAB AFTERNOON'!$C:$AB,26,FALSE)</f>
        <v>0</v>
      </c>
      <c r="N13" s="152">
        <f>VLOOKUP(B13,'LAB EXAM'!$C:$G,5,FALSE)</f>
        <v>0</v>
      </c>
      <c r="O13" s="153">
        <f>VLOOKUP(B13,'OTHER 1'!$C:$F,4,FALSE)</f>
        <v>0</v>
      </c>
      <c r="P13" s="153">
        <f>VLOOKUP(B13,'OTHER 2'!$C:$F,4,FALSE)</f>
        <v>0</v>
      </c>
      <c r="Q13" s="153">
        <f>VLOOKUP(B13,'OTHER 3'!$C:$F,4,FALSE)</f>
        <v>0</v>
      </c>
      <c r="R13" s="154">
        <f t="shared" si="1"/>
        <v>0</v>
      </c>
      <c r="S13" s="238" t="s">
        <v>270</v>
      </c>
      <c r="T13" s="152">
        <f>VLOOKUP(B13,'FINAL EXAM P1'!$C:$F,4,FALSE)</f>
        <v>0</v>
      </c>
      <c r="U13" s="152" t="str">
        <f>VLOOKUP(B13,'FINAL EXAM P2'!$C:$F,4,FALSE)</f>
        <v/>
      </c>
      <c r="V13" s="155">
        <f t="shared" si="2"/>
        <v>0</v>
      </c>
      <c r="W13" s="155" t="str">
        <f t="shared" si="3"/>
        <v/>
      </c>
      <c r="X13" s="156"/>
      <c r="Y13" s="157"/>
      <c r="Z13" s="152" t="str">
        <f>IF(W13="FS",VLOOKUP(B13,'SUPP EXAM'!$C:$F,4,FALSE),"-")</f>
        <v>-</v>
      </c>
      <c r="AA13" s="152" t="str">
        <f>IF(V13="DE",VLOOKUP(B13,'DEFERRED EXAM'!$C:$F,4,FALSE),"-")</f>
        <v>-</v>
      </c>
      <c r="AB13" s="155" t="str">
        <f t="shared" si="4"/>
        <v>-</v>
      </c>
      <c r="AC13" s="155" t="str">
        <f t="shared" si="5"/>
        <v>-</v>
      </c>
      <c r="AD13" s="158"/>
    </row>
    <row r="14" spans="1:35" ht="20.100000000000001" customHeight="1" x14ac:dyDescent="0.25">
      <c r="A14" s="151">
        <v>4</v>
      </c>
      <c r="B14" s="194" t="s">
        <v>238</v>
      </c>
      <c r="C14" s="164" t="s">
        <v>250</v>
      </c>
      <c r="D14" s="164" t="s">
        <v>263</v>
      </c>
      <c r="E14" s="152">
        <f>VLOOKUP(B14,'CT1'!$C:$F,4,FALSE)</f>
        <v>200</v>
      </c>
      <c r="F14" s="152">
        <f>VLOOKUP(B14,'CT2'!$C:$F,4,FALSE)</f>
        <v>0</v>
      </c>
      <c r="G14" s="152">
        <f>VLOOKUP(B14,'CT3'!$C:$F,4,FALSE)</f>
        <v>0</v>
      </c>
      <c r="H14" s="152">
        <f>VLOOKUP(B14,'CT4'!$C:$F,4,FALSE)</f>
        <v>0</v>
      </c>
      <c r="I14" s="152">
        <f>VLOOKUP(B14,'CT5'!$C:$F,4,FALSE)</f>
        <v>0</v>
      </c>
      <c r="J14" s="152">
        <f>VLOOKUP(B14,'CLASS TESTS'!$C:$E,3,FALSE)</f>
        <v>200</v>
      </c>
      <c r="K14" s="152">
        <f>VLOOKUP(B14,WPS!$C:$F,4,FALSE)</f>
        <v>200</v>
      </c>
      <c r="L14" s="153">
        <f>VLOOKUP(B14,TUTORIALS!$C:$S,17,FALSE)</f>
        <v>200</v>
      </c>
      <c r="M14" s="152">
        <f>VLOOKUP(B14,'LAB AFTERNOON'!$C:$AB,26,FALSE)</f>
        <v>200</v>
      </c>
      <c r="N14" s="152">
        <f>VLOOKUP(B14,'LAB EXAM'!$C:$G,5,FALSE)</f>
        <v>200</v>
      </c>
      <c r="O14" s="153">
        <f>VLOOKUP(B14,'OTHER 1'!$C:$F,4,FALSE)</f>
        <v>200</v>
      </c>
      <c r="P14" s="153">
        <f>VLOOKUP(B14,'OTHER 2'!$C:$F,4,FALSE)</f>
        <v>200</v>
      </c>
      <c r="Q14" s="153">
        <f>VLOOKUP(B14,'OTHER 3'!$C:$F,4,FALSE)</f>
        <v>200</v>
      </c>
      <c r="R14" s="154">
        <f t="shared" si="1"/>
        <v>200</v>
      </c>
      <c r="S14" s="238" t="s">
        <v>270</v>
      </c>
      <c r="T14" s="152">
        <f>VLOOKUP(B14,'FINAL EXAM P1'!$C:$F,4,FALSE)</f>
        <v>200</v>
      </c>
      <c r="U14" s="152" t="str">
        <f>VLOOKUP(B14,'FINAL EXAM P2'!$C:$F,4,FALSE)</f>
        <v/>
      </c>
      <c r="V14" s="155">
        <f t="shared" si="2"/>
        <v>200</v>
      </c>
      <c r="W14" s="155" t="str">
        <f t="shared" si="3"/>
        <v/>
      </c>
      <c r="X14" s="156"/>
      <c r="Y14" s="157"/>
      <c r="Z14" s="152" t="str">
        <f>IF(W14="FS",VLOOKUP(B14,'SUPP EXAM'!$C:$F,4,FALSE),"-")</f>
        <v>-</v>
      </c>
      <c r="AA14" s="152" t="str">
        <f>IF(V14="DE",VLOOKUP(B14,'DEFERRED EXAM'!$C:$F,4,FALSE),"-")</f>
        <v>-</v>
      </c>
      <c r="AB14" s="155" t="str">
        <f t="shared" si="4"/>
        <v>-</v>
      </c>
      <c r="AC14" s="155" t="str">
        <f t="shared" si="5"/>
        <v>-</v>
      </c>
      <c r="AD14" s="158"/>
    </row>
    <row r="15" spans="1:35" ht="20.100000000000001" customHeight="1" x14ac:dyDescent="0.25">
      <c r="A15" s="151">
        <v>5</v>
      </c>
      <c r="B15" s="194" t="s">
        <v>239</v>
      </c>
      <c r="C15" s="164" t="s">
        <v>245</v>
      </c>
      <c r="D15" s="164" t="s">
        <v>264</v>
      </c>
      <c r="E15" s="152" t="str">
        <f>VLOOKUP(B15,'CT1'!$C:$F,4,FALSE)</f>
        <v>ABS</v>
      </c>
      <c r="F15" s="152">
        <f>VLOOKUP(B15,'CT2'!$C:$F,4,FALSE)</f>
        <v>0</v>
      </c>
      <c r="G15" s="152">
        <f>VLOOKUP(B15,'CT3'!$C:$F,4,FALSE)</f>
        <v>0</v>
      </c>
      <c r="H15" s="152">
        <f>VLOOKUP(B15,'CT4'!$C:$F,4,FALSE)</f>
        <v>0</v>
      </c>
      <c r="I15" s="152">
        <f>VLOOKUP(B15,'CT5'!$C:$F,4,FALSE)</f>
        <v>0</v>
      </c>
      <c r="J15" s="152">
        <f>VLOOKUP(B15,'CLASS TESTS'!$C:$E,3,FALSE)</f>
        <v>0</v>
      </c>
      <c r="K15" s="152">
        <f>VLOOKUP(B15,WPS!$C:$F,4,FALSE)</f>
        <v>0</v>
      </c>
      <c r="L15" s="153">
        <f>VLOOKUP(B15,TUTORIALS!$C:$S,17,FALSE)</f>
        <v>0</v>
      </c>
      <c r="M15" s="152">
        <f>VLOOKUP(B15,'LAB AFTERNOON'!$C:$AB,26,FALSE)</f>
        <v>0</v>
      </c>
      <c r="N15" s="152" t="str">
        <f>VLOOKUP(B15,'LAB EXAM'!$C:$G,5,FALSE)</f>
        <v>ABS</v>
      </c>
      <c r="O15" s="153" t="str">
        <f>VLOOKUP(B15,'OTHER 1'!$C:$F,4,FALSE)</f>
        <v>ABS</v>
      </c>
      <c r="P15" s="153" t="str">
        <f>VLOOKUP(B15,'OTHER 2'!$C:$F,4,FALSE)</f>
        <v>ABS</v>
      </c>
      <c r="Q15" s="153" t="str">
        <f>VLOOKUP(B15,'OTHER 3'!$C:$F,4,FALSE)</f>
        <v>ABS</v>
      </c>
      <c r="R15" s="154">
        <f t="shared" si="1"/>
        <v>0</v>
      </c>
      <c r="S15" s="238" t="s">
        <v>270</v>
      </c>
      <c r="T15" s="152" t="str">
        <f>VLOOKUP(B15,'FINAL EXAM P1'!$C:$F,4,FALSE)</f>
        <v>ABS</v>
      </c>
      <c r="U15" s="152" t="str">
        <f>VLOOKUP(B15,'FINAL EXAM P2'!$C:$F,4,FALSE)</f>
        <v/>
      </c>
      <c r="V15" s="155" t="str">
        <f t="shared" si="2"/>
        <v>AB</v>
      </c>
      <c r="W15" s="155" t="str">
        <f t="shared" si="3"/>
        <v/>
      </c>
      <c r="X15" s="156"/>
      <c r="Y15" s="157"/>
      <c r="Z15" s="152" t="str">
        <f>IF(W15="FS",VLOOKUP(B15,'SUPP EXAM'!$C:$F,4,FALSE),"-")</f>
        <v>-</v>
      </c>
      <c r="AA15" s="152" t="str">
        <f>IF(V15="DE",VLOOKUP(B15,'DEFERRED EXAM'!$C:$F,4,FALSE),"-")</f>
        <v>-</v>
      </c>
      <c r="AB15" s="155" t="str">
        <f t="shared" si="4"/>
        <v>-</v>
      </c>
      <c r="AC15" s="155" t="str">
        <f t="shared" si="5"/>
        <v>-</v>
      </c>
      <c r="AD15" s="158"/>
    </row>
    <row r="16" spans="1:35" ht="20.100000000000001" customHeight="1" x14ac:dyDescent="0.25">
      <c r="A16" s="151">
        <v>6</v>
      </c>
      <c r="B16" s="194" t="s">
        <v>240</v>
      </c>
      <c r="C16" s="164" t="s">
        <v>246</v>
      </c>
      <c r="D16" s="164" t="s">
        <v>265</v>
      </c>
      <c r="E16" s="152" t="str">
        <f>VLOOKUP(B16,'CT1'!$C:$F,4,FALSE)</f>
        <v>EXC</v>
      </c>
      <c r="F16" s="152">
        <f>VLOOKUP(B16,'CT2'!$C:$F,4,FALSE)</f>
        <v>0</v>
      </c>
      <c r="G16" s="152">
        <f>VLOOKUP(B16,'CT3'!$C:$F,4,FALSE)</f>
        <v>0</v>
      </c>
      <c r="H16" s="152">
        <f>VLOOKUP(B16,'CT4'!$C:$F,4,FALSE)</f>
        <v>0</v>
      </c>
      <c r="I16" s="152">
        <f>VLOOKUP(B16,'CT5'!$C:$F,4,FALSE)</f>
        <v>0</v>
      </c>
      <c r="J16" s="152" t="e">
        <f>VLOOKUP(B16,'CLASS TESTS'!$C:$E,3,FALSE)</f>
        <v>#DIV/0!</v>
      </c>
      <c r="K16" s="152" t="e">
        <f>VLOOKUP(B16,WPS!$C:$F,4,FALSE)</f>
        <v>#DIV/0!</v>
      </c>
      <c r="L16" s="153" t="e">
        <f>VLOOKUP(B16,TUTORIALS!$C:$S,17,FALSE)</f>
        <v>#DIV/0!</v>
      </c>
      <c r="M16" s="152" t="e">
        <f>VLOOKUP(B16,'LAB AFTERNOON'!$C:$AB,26,FALSE)</f>
        <v>#DIV/0!</v>
      </c>
      <c r="N16" s="152">
        <f>VLOOKUP(B16,'LAB EXAM'!$C:$G,5,FALSE)</f>
        <v>50</v>
      </c>
      <c r="O16" s="153" t="str">
        <f>VLOOKUP(B16,'OTHER 1'!$C:$F,4,FALSE)</f>
        <v>EXC</v>
      </c>
      <c r="P16" s="153" t="str">
        <f>VLOOKUP(B16,'OTHER 2'!$C:$F,4,FALSE)</f>
        <v>EXC</v>
      </c>
      <c r="Q16" s="153" t="str">
        <f>VLOOKUP(B16,'OTHER 3'!$C:$F,4,FALSE)</f>
        <v>EXC</v>
      </c>
      <c r="R16" s="154" t="e">
        <f t="shared" si="1"/>
        <v>#DIV/0!</v>
      </c>
      <c r="S16" s="238" t="s">
        <v>270</v>
      </c>
      <c r="T16" s="152">
        <f>VLOOKUP(B16,'FINAL EXAM P1'!$C:$F,4,FALSE)</f>
        <v>18.333333333333332</v>
      </c>
      <c r="U16" s="152" t="str">
        <f>VLOOKUP(B16,'FINAL EXAM P2'!$C:$F,4,FALSE)</f>
        <v/>
      </c>
      <c r="V16" s="155" t="e">
        <f t="shared" si="2"/>
        <v>#DIV/0!</v>
      </c>
      <c r="W16" s="155" t="e">
        <f t="shared" si="3"/>
        <v>#DIV/0!</v>
      </c>
      <c r="X16" s="156"/>
      <c r="Y16" s="157"/>
      <c r="Z16" s="152" t="e">
        <f>IF(W16="FS",VLOOKUP(B16,'SUPP EXAM'!$C:$F,4,FALSE),"-")</f>
        <v>#DIV/0!</v>
      </c>
      <c r="AA16" s="152" t="e">
        <f>IF(V16="DE",VLOOKUP(B16,'DEFERRED EXAM'!$C:$F,4,FALSE),"-")</f>
        <v>#DIV/0!</v>
      </c>
      <c r="AB16" s="155" t="e">
        <f t="shared" si="4"/>
        <v>#DIV/0!</v>
      </c>
      <c r="AC16" s="155" t="e">
        <f t="shared" si="5"/>
        <v>#DIV/0!</v>
      </c>
      <c r="AD16" s="158"/>
    </row>
    <row r="17" spans="1:30" ht="20.100000000000001" customHeight="1" x14ac:dyDescent="0.25">
      <c r="A17" s="151">
        <v>7</v>
      </c>
      <c r="B17" s="194" t="s">
        <v>241</v>
      </c>
      <c r="C17" s="164" t="s">
        <v>91</v>
      </c>
      <c r="D17" s="164" t="s">
        <v>266</v>
      </c>
      <c r="E17" s="152">
        <f>VLOOKUP(B17,'CT1'!$C:$F,4,FALSE)</f>
        <v>55.000000000000007</v>
      </c>
      <c r="F17" s="152">
        <f>VLOOKUP(B17,'CT2'!$C:$F,4,FALSE)</f>
        <v>0</v>
      </c>
      <c r="G17" s="152">
        <f>VLOOKUP(B17,'CT3'!$C:$F,4,FALSE)</f>
        <v>0</v>
      </c>
      <c r="H17" s="152">
        <f>VLOOKUP(B17,'CT4'!$C:$F,4,FALSE)</f>
        <v>0</v>
      </c>
      <c r="I17" s="152">
        <f>VLOOKUP(B17,'CT5'!$C:$F,4,FALSE)</f>
        <v>0</v>
      </c>
      <c r="J17" s="152">
        <f>VLOOKUP(B17,'CLASS TESTS'!$C:$E,3,FALSE)</f>
        <v>55.000000000000007</v>
      </c>
      <c r="K17" s="152">
        <f>VLOOKUP(B17,WPS!$C:$F,4,FALSE)</f>
        <v>50</v>
      </c>
      <c r="L17" s="153">
        <f>VLOOKUP(B17,TUTORIALS!$C:$S,17,FALSE)</f>
        <v>80</v>
      </c>
      <c r="M17" s="152">
        <f>VLOOKUP(B17,'LAB AFTERNOON'!$C:$AB,26,FALSE)</f>
        <v>64</v>
      </c>
      <c r="N17" s="152">
        <f>VLOOKUP(B17,'LAB EXAM'!$C:$G,5,FALSE)</f>
        <v>50</v>
      </c>
      <c r="O17" s="153">
        <f>VLOOKUP(B17,'OTHER 1'!$C:$F,4,FALSE)</f>
        <v>44</v>
      </c>
      <c r="P17" s="153">
        <f>VLOOKUP(B17,'OTHER 2'!$C:$F,4,FALSE)</f>
        <v>44</v>
      </c>
      <c r="Q17" s="153">
        <f>VLOOKUP(B17,'OTHER 3'!$C:$F,4,FALSE)</f>
        <v>44</v>
      </c>
      <c r="R17" s="154">
        <f t="shared" si="1"/>
        <v>56.680000000000021</v>
      </c>
      <c r="S17" s="238" t="s">
        <v>91</v>
      </c>
      <c r="T17" s="152" t="str">
        <f>VLOOKUP(B17,'FINAL EXAM P1'!$C:$F,4,FALSE)</f>
        <v/>
      </c>
      <c r="U17" s="152" t="str">
        <f>VLOOKUP(B17,'FINAL EXAM P2'!$C:$F,4,FALSE)</f>
        <v/>
      </c>
      <c r="V17" s="155" t="str">
        <f t="shared" si="2"/>
        <v>DPR</v>
      </c>
      <c r="W17" s="155" t="str">
        <f t="shared" si="3"/>
        <v/>
      </c>
      <c r="X17" s="156"/>
      <c r="Y17" s="157"/>
      <c r="Z17" s="152" t="str">
        <f>IF(W17="FS",VLOOKUP(B17,'SUPP EXAM'!$C:$F,4,FALSE),"-")</f>
        <v>-</v>
      </c>
      <c r="AA17" s="152" t="str">
        <f>IF(V17="DE",VLOOKUP(B17,'DEFERRED EXAM'!$C:$F,4,FALSE),"-")</f>
        <v>-</v>
      </c>
      <c r="AB17" s="155" t="str">
        <f t="shared" si="4"/>
        <v>-</v>
      </c>
      <c r="AC17" s="155" t="str">
        <f t="shared" si="5"/>
        <v>-</v>
      </c>
      <c r="AD17" s="158"/>
    </row>
    <row r="18" spans="1:30" ht="20.100000000000001" customHeight="1" x14ac:dyDescent="0.25">
      <c r="A18" s="151">
        <v>8</v>
      </c>
      <c r="B18" s="194" t="s">
        <v>242</v>
      </c>
      <c r="C18" s="164" t="s">
        <v>94</v>
      </c>
      <c r="D18" s="164" t="s">
        <v>267</v>
      </c>
      <c r="E18" s="152">
        <f>VLOOKUP(B18,'CT1'!$C:$F,4,FALSE)</f>
        <v>55.000000000000007</v>
      </c>
      <c r="F18" s="152">
        <f>VLOOKUP(B18,'CT2'!$C:$F,4,FALSE)</f>
        <v>0</v>
      </c>
      <c r="G18" s="152">
        <f>VLOOKUP(B18,'CT3'!$C:$F,4,FALSE)</f>
        <v>0</v>
      </c>
      <c r="H18" s="152">
        <f>VLOOKUP(B18,'CT4'!$C:$F,4,FALSE)</f>
        <v>0</v>
      </c>
      <c r="I18" s="152">
        <f>VLOOKUP(B18,'CT5'!$C:$F,4,FALSE)</f>
        <v>0</v>
      </c>
      <c r="J18" s="152">
        <f>VLOOKUP(B18,'CLASS TESTS'!$C:$E,3,FALSE)</f>
        <v>55.000000000000007</v>
      </c>
      <c r="K18" s="152">
        <f>VLOOKUP(B18,WPS!$C:$F,4,FALSE)</f>
        <v>50</v>
      </c>
      <c r="L18" s="153">
        <f>VLOOKUP(B18,TUTORIALS!$C:$S,17,FALSE)</f>
        <v>80</v>
      </c>
      <c r="M18" s="152">
        <f>VLOOKUP(B18,'LAB AFTERNOON'!$C:$AB,26,FALSE)</f>
        <v>100</v>
      </c>
      <c r="N18" s="152">
        <f>VLOOKUP(B18,'LAB EXAM'!$C:$G,5,FALSE)</f>
        <v>60</v>
      </c>
      <c r="O18" s="153">
        <f>VLOOKUP(B18,'OTHER 1'!$C:$F,4,FALSE)</f>
        <v>44</v>
      </c>
      <c r="P18" s="153">
        <f>VLOOKUP(B18,'OTHER 2'!$C:$F,4,FALSE)</f>
        <v>44</v>
      </c>
      <c r="Q18" s="153">
        <f>VLOOKUP(B18,'OTHER 3'!$C:$F,4,FALSE)</f>
        <v>44</v>
      </c>
      <c r="R18" s="154">
        <f t="shared" si="1"/>
        <v>60.360000000000014</v>
      </c>
      <c r="S18" s="238" t="s">
        <v>270</v>
      </c>
      <c r="T18" s="152">
        <f>VLOOKUP(B18,'FINAL EXAM P1'!$C:$F,4,FALSE)</f>
        <v>36.666666666666664</v>
      </c>
      <c r="U18" s="152" t="str">
        <f>VLOOKUP(B18,'FINAL EXAM P2'!$C:$F,4,FALSE)</f>
        <v/>
      </c>
      <c r="V18" s="155">
        <f t="shared" si="2"/>
        <v>48.513333333333328</v>
      </c>
      <c r="W18" s="155" t="str">
        <f t="shared" si="3"/>
        <v>FS</v>
      </c>
      <c r="X18" s="156"/>
      <c r="Y18" s="157"/>
      <c r="Z18" s="152">
        <f>IF(W18="FS",VLOOKUP(B18,'SUPP EXAM'!$C:$F,4,FALSE),"-")</f>
        <v>50</v>
      </c>
      <c r="AA18" s="152" t="str">
        <f>IF(V18="DE",VLOOKUP(B18,'DEFERRED EXAM'!$C:$F,4,FALSE),"-")</f>
        <v>-</v>
      </c>
      <c r="AB18" s="155">
        <f t="shared" si="4"/>
        <v>50</v>
      </c>
      <c r="AC18" s="155" t="str">
        <f t="shared" si="5"/>
        <v>-</v>
      </c>
      <c r="AD18" s="158"/>
    </row>
    <row r="19" spans="1:30" ht="20.100000000000001" customHeight="1" x14ac:dyDescent="0.25">
      <c r="A19" s="151">
        <v>9</v>
      </c>
      <c r="B19" s="194" t="s">
        <v>243</v>
      </c>
      <c r="C19" s="164" t="s">
        <v>172</v>
      </c>
      <c r="D19" s="164" t="s">
        <v>268</v>
      </c>
      <c r="E19" s="152">
        <f>VLOOKUP(B19,'CT1'!$C:$F,4,FALSE)</f>
        <v>55.000000000000007</v>
      </c>
      <c r="F19" s="152">
        <f>VLOOKUP(B19,'CT2'!$C:$F,4,FALSE)</f>
        <v>0</v>
      </c>
      <c r="G19" s="152">
        <f>VLOOKUP(B19,'CT3'!$C:$F,4,FALSE)</f>
        <v>0</v>
      </c>
      <c r="H19" s="152">
        <f>VLOOKUP(B19,'CT4'!$C:$F,4,FALSE)</f>
        <v>0</v>
      </c>
      <c r="I19" s="152">
        <f>VLOOKUP(B19,'CT5'!$C:$F,4,FALSE)</f>
        <v>0</v>
      </c>
      <c r="J19" s="152">
        <f>VLOOKUP(B19,'CLASS TESTS'!$C:$E,3,FALSE)</f>
        <v>55.000000000000007</v>
      </c>
      <c r="K19" s="152">
        <f>VLOOKUP(B19,WPS!$C:$F,4,FALSE)</f>
        <v>0</v>
      </c>
      <c r="L19" s="153">
        <f>VLOOKUP(B19,TUTORIALS!$C:$S,17,FALSE)</f>
        <v>0</v>
      </c>
      <c r="M19" s="152">
        <f>VLOOKUP(B19,'LAB AFTERNOON'!$C:$AB,26,FALSE)</f>
        <v>100</v>
      </c>
      <c r="N19" s="152">
        <f>VLOOKUP(B19,'LAB EXAM'!$C:$G,5,FALSE)</f>
        <v>50</v>
      </c>
      <c r="O19" s="153">
        <f>VLOOKUP(B19,'OTHER 1'!$C:$F,4,FALSE)</f>
        <v>44</v>
      </c>
      <c r="P19" s="153">
        <f>VLOOKUP(B19,'OTHER 2'!$C:$F,4,FALSE)</f>
        <v>44</v>
      </c>
      <c r="Q19" s="153">
        <f>VLOOKUP(B19,'OTHER 3'!$C:$F,4,FALSE)</f>
        <v>44</v>
      </c>
      <c r="R19" s="154">
        <f t="shared" si="1"/>
        <v>33.560000000000009</v>
      </c>
      <c r="S19" s="238" t="s">
        <v>270</v>
      </c>
      <c r="T19" s="152">
        <f>VLOOKUP(B19,'FINAL EXAM P1'!$C:$F,4,FALSE)</f>
        <v>36.666666666666664</v>
      </c>
      <c r="U19" s="152" t="str">
        <f>VLOOKUP(B19,'FINAL EXAM P2'!$C:$F,4,FALSE)</f>
        <v/>
      </c>
      <c r="V19" s="155" t="s">
        <v>172</v>
      </c>
      <c r="W19" s="155" t="str">
        <f t="shared" si="3"/>
        <v/>
      </c>
      <c r="X19" s="156"/>
      <c r="Y19" s="157"/>
      <c r="Z19" s="152" t="str">
        <f>IF(W19="FS",VLOOKUP(B19,'SUPP EXAM'!$C:$F,4,FALSE),"-")</f>
        <v>-</v>
      </c>
      <c r="AA19" s="152">
        <f>IF(V19="DE",VLOOKUP(B19,'DEFERRED EXAM'!$C:$F,4,FALSE),"-")</f>
        <v>50</v>
      </c>
      <c r="AB19" s="155" t="str">
        <f t="shared" si="4"/>
        <v>-</v>
      </c>
      <c r="AC19" s="155">
        <f t="shared" si="5"/>
        <v>41.780000000000008</v>
      </c>
      <c r="AD19" s="158"/>
    </row>
    <row r="20" spans="1:30" ht="20.100000000000001" customHeight="1" x14ac:dyDescent="0.25">
      <c r="A20" s="151">
        <v>10</v>
      </c>
      <c r="B20" s="194" t="s">
        <v>244</v>
      </c>
      <c r="C20" s="164" t="s">
        <v>92</v>
      </c>
      <c r="D20" s="164" t="s">
        <v>269</v>
      </c>
      <c r="E20" s="152">
        <f>VLOOKUP(B20,'CT1'!$C:$F,4,FALSE)</f>
        <v>55.000000000000007</v>
      </c>
      <c r="F20" s="152">
        <f>VLOOKUP(B20,'CT2'!$C:$F,4,FALSE)</f>
        <v>0</v>
      </c>
      <c r="G20" s="152">
        <f>VLOOKUP(B20,'CT3'!$C:$F,4,FALSE)</f>
        <v>0</v>
      </c>
      <c r="H20" s="152">
        <f>VLOOKUP(B20,'CT4'!$C:$F,4,FALSE)</f>
        <v>0</v>
      </c>
      <c r="I20" s="152">
        <f>VLOOKUP(B20,'CT5'!$C:$F,4,FALSE)</f>
        <v>0</v>
      </c>
      <c r="J20" s="152">
        <f>VLOOKUP(B20,'CLASS TESTS'!$C:$E,3,FALSE)</f>
        <v>55.000000000000007</v>
      </c>
      <c r="K20" s="152">
        <f>VLOOKUP(B20,WPS!$C:$F,4,FALSE)</f>
        <v>50</v>
      </c>
      <c r="L20" s="153">
        <f>VLOOKUP(B20,TUTORIALS!$C:$S,17,FALSE)</f>
        <v>100</v>
      </c>
      <c r="M20" s="152">
        <f>VLOOKUP(B20,'LAB AFTERNOON'!$C:$AB,26,FALSE)</f>
        <v>100</v>
      </c>
      <c r="N20" s="152">
        <f>VLOOKUP(B20,'LAB EXAM'!$C:$G,5,FALSE)</f>
        <v>50</v>
      </c>
      <c r="O20" s="153">
        <f>VLOOKUP(B20,'OTHER 1'!$C:$F,4,FALSE)</f>
        <v>44</v>
      </c>
      <c r="P20" s="153">
        <f>VLOOKUP(B20,'OTHER 2'!$C:$F,4,FALSE)</f>
        <v>44</v>
      </c>
      <c r="Q20" s="153">
        <f>VLOOKUP(B20,'OTHER 3'!$C:$F,4,FALSE)</f>
        <v>44</v>
      </c>
      <c r="R20" s="154">
        <f t="shared" si="1"/>
        <v>63.560000000000016</v>
      </c>
      <c r="S20" s="238" t="s">
        <v>270</v>
      </c>
      <c r="T20" s="152" t="str">
        <f>VLOOKUP(B20,'FINAL EXAM P1'!$C:$F,4,FALSE)</f>
        <v>ABS</v>
      </c>
      <c r="U20" s="152" t="str">
        <f>VLOOKUP(B20,'FINAL EXAM P2'!$C:$F,4,FALSE)</f>
        <v/>
      </c>
      <c r="V20" s="155" t="str">
        <f>IF(S20="DPR","DPR",IF(OR(T20="ABS",U20="ABS"),"AB",(IF($T$7=0,0,T20/$T$6*$T$7)+IF($U$7=0,0,U20/$U$6*$U$7)+R20/$R$6*$R$7)*100))</f>
        <v>AB</v>
      </c>
      <c r="W20" s="155" t="str">
        <f t="shared" si="3"/>
        <v/>
      </c>
      <c r="X20" s="156"/>
      <c r="Y20" s="157"/>
      <c r="Z20" s="152" t="str">
        <f>IF(W20="FS",VLOOKUP(B20,'SUPP EXAM'!$C:$F,4,FALSE),"-")</f>
        <v>-</v>
      </c>
      <c r="AA20" s="152" t="str">
        <f>IF(V20="DE",VLOOKUP(B20,'DEFERRED EXAM'!$C:$F,4,FALSE),"-")</f>
        <v>-</v>
      </c>
      <c r="AB20" s="155" t="str">
        <f t="shared" si="4"/>
        <v>-</v>
      </c>
      <c r="AC20" s="155" t="str">
        <f t="shared" si="5"/>
        <v>-</v>
      </c>
      <c r="AD20" s="158"/>
    </row>
    <row r="21" spans="1:30" ht="20.100000000000001" customHeight="1" x14ac:dyDescent="0.25">
      <c r="A21" s="233"/>
      <c r="B21" s="165"/>
      <c r="C21" s="165"/>
      <c r="D21" s="165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41"/>
      <c r="T21" s="233"/>
      <c r="U21" s="233"/>
      <c r="V21" s="233"/>
      <c r="W21" s="232"/>
      <c r="X21" s="240"/>
      <c r="Y21" s="239"/>
      <c r="Z21" s="230"/>
      <c r="AA21" s="230"/>
      <c r="AB21" s="230"/>
      <c r="AC21" s="230"/>
      <c r="AD21" s="239"/>
    </row>
    <row r="22" spans="1:30" ht="20.100000000000001" customHeight="1" x14ac:dyDescent="0.25">
      <c r="A22" s="232"/>
      <c r="B22" s="231"/>
      <c r="C22" s="231"/>
      <c r="D22" s="231"/>
      <c r="E22" s="232"/>
      <c r="F22" s="232"/>
      <c r="G22" s="232"/>
      <c r="H22" s="232"/>
      <c r="I22" s="232"/>
      <c r="J22" s="232"/>
      <c r="K22" s="232"/>
      <c r="L22" s="232"/>
      <c r="M22" s="232"/>
      <c r="N22" s="232"/>
      <c r="O22" s="232"/>
      <c r="P22" s="232"/>
      <c r="Q22" s="232"/>
      <c r="R22" s="232"/>
      <c r="S22" s="240"/>
      <c r="T22" s="232"/>
      <c r="U22" s="232"/>
      <c r="V22" s="232"/>
      <c r="W22" s="232"/>
      <c r="X22" s="240"/>
      <c r="Y22" s="239"/>
      <c r="Z22" s="230"/>
      <c r="AA22" s="230"/>
      <c r="AB22" s="230"/>
      <c r="AC22" s="230"/>
      <c r="AD22" s="239"/>
    </row>
    <row r="23" spans="1:30" ht="20.100000000000001" customHeight="1" x14ac:dyDescent="0.25">
      <c r="A23" s="232"/>
      <c r="B23" s="231"/>
      <c r="C23" s="231"/>
      <c r="D23" s="231"/>
      <c r="E23" s="232"/>
      <c r="F23" s="232"/>
      <c r="G23" s="232"/>
      <c r="H23" s="232"/>
      <c r="I23" s="232"/>
      <c r="J23" s="232"/>
      <c r="K23" s="232"/>
      <c r="L23" s="232"/>
      <c r="M23" s="232"/>
      <c r="N23" s="232"/>
      <c r="O23" s="232"/>
      <c r="P23" s="232"/>
      <c r="Q23" s="232"/>
      <c r="R23" s="232"/>
      <c r="S23" s="240"/>
      <c r="T23" s="232"/>
      <c r="U23" s="232"/>
      <c r="V23" s="232"/>
      <c r="W23" s="232"/>
      <c r="X23" s="240"/>
      <c r="Y23" s="239"/>
      <c r="Z23" s="230"/>
      <c r="AA23" s="230"/>
      <c r="AB23" s="230"/>
      <c r="AC23" s="230"/>
      <c r="AD23" s="239"/>
    </row>
    <row r="24" spans="1:30" ht="20.100000000000001" customHeight="1" x14ac:dyDescent="0.25">
      <c r="A24" s="230"/>
      <c r="B24" s="231"/>
      <c r="C24" s="231"/>
      <c r="D24" s="231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30"/>
      <c r="R24" s="230"/>
      <c r="S24" s="239"/>
      <c r="T24" s="230"/>
      <c r="U24" s="230"/>
      <c r="V24" s="230"/>
      <c r="W24" s="230"/>
      <c r="X24" s="239"/>
      <c r="Y24" s="239"/>
      <c r="Z24" s="230"/>
      <c r="AA24" s="230"/>
      <c r="AB24" s="230"/>
      <c r="AC24" s="230"/>
      <c r="AD24" s="239"/>
    </row>
    <row r="25" spans="1:30" ht="20.100000000000001" customHeight="1" x14ac:dyDescent="0.25">
      <c r="A25" s="230"/>
      <c r="B25" s="231"/>
      <c r="C25" s="231"/>
      <c r="D25" s="231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9"/>
      <c r="T25" s="230"/>
      <c r="U25" s="230"/>
      <c r="V25" s="230"/>
      <c r="W25" s="230"/>
      <c r="X25" s="239"/>
      <c r="Y25" s="239"/>
      <c r="Z25" s="230"/>
      <c r="AA25" s="230"/>
      <c r="AB25" s="230"/>
      <c r="AC25" s="230"/>
      <c r="AD25" s="239"/>
    </row>
    <row r="26" spans="1:30" ht="20.100000000000001" customHeight="1" x14ac:dyDescent="0.25">
      <c r="A26" s="230"/>
      <c r="B26" s="231"/>
      <c r="C26" s="231"/>
      <c r="D26" s="231"/>
      <c r="E26" s="230"/>
      <c r="F26" s="230"/>
      <c r="G26" s="230"/>
      <c r="H26" s="230"/>
      <c r="I26" s="230"/>
      <c r="J26" s="230"/>
      <c r="K26" s="230"/>
      <c r="L26" s="230"/>
      <c r="M26" s="230"/>
      <c r="N26" s="230"/>
      <c r="O26" s="230"/>
      <c r="P26" s="230"/>
      <c r="Q26" s="230"/>
      <c r="R26" s="230"/>
      <c r="S26" s="239"/>
      <c r="T26" s="230"/>
      <c r="U26" s="230"/>
      <c r="V26" s="230"/>
      <c r="W26" s="230"/>
      <c r="X26" s="239"/>
      <c r="Y26" s="239"/>
      <c r="Z26" s="230"/>
      <c r="AA26" s="230"/>
      <c r="AB26" s="230"/>
      <c r="AC26" s="230"/>
      <c r="AD26" s="239"/>
    </row>
    <row r="27" spans="1:30" ht="20.100000000000001" customHeight="1" x14ac:dyDescent="0.25">
      <c r="A27" s="230"/>
      <c r="B27" s="231"/>
      <c r="C27" s="231"/>
      <c r="D27" s="231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0"/>
      <c r="P27" s="230"/>
      <c r="Q27" s="230"/>
      <c r="R27" s="230"/>
      <c r="S27" s="239"/>
      <c r="T27" s="230"/>
      <c r="U27" s="230"/>
      <c r="V27" s="230"/>
      <c r="W27" s="230"/>
      <c r="X27" s="239"/>
      <c r="Y27" s="239"/>
      <c r="Z27" s="230"/>
      <c r="AA27" s="230"/>
      <c r="AB27" s="230"/>
      <c r="AC27" s="230"/>
      <c r="AD27" s="239"/>
    </row>
    <row r="28" spans="1:30" ht="20.100000000000001" customHeight="1" x14ac:dyDescent="0.25">
      <c r="A28" s="230"/>
      <c r="B28" s="231"/>
      <c r="C28" s="231"/>
      <c r="D28" s="231"/>
      <c r="E28" s="230"/>
      <c r="F28" s="230"/>
      <c r="G28" s="230"/>
      <c r="H28" s="230"/>
      <c r="I28" s="230"/>
      <c r="J28" s="230"/>
      <c r="K28" s="230"/>
      <c r="L28" s="230"/>
      <c r="M28" s="230"/>
      <c r="N28" s="230"/>
      <c r="O28" s="230"/>
      <c r="P28" s="230"/>
      <c r="Q28" s="230"/>
      <c r="R28" s="230"/>
      <c r="S28" s="239"/>
      <c r="T28" s="230"/>
      <c r="U28" s="230"/>
      <c r="V28" s="230"/>
      <c r="W28" s="230"/>
      <c r="X28" s="239"/>
      <c r="Y28" s="239"/>
      <c r="Z28" s="230"/>
      <c r="AA28" s="230"/>
      <c r="AB28" s="230"/>
      <c r="AC28" s="230"/>
      <c r="AD28" s="239"/>
    </row>
    <row r="29" spans="1:30" ht="20.100000000000001" customHeight="1" x14ac:dyDescent="0.25">
      <c r="A29" s="230"/>
      <c r="B29" s="231"/>
      <c r="C29" s="231"/>
      <c r="D29" s="231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9"/>
      <c r="T29" s="230"/>
      <c r="U29" s="230"/>
      <c r="V29" s="230"/>
      <c r="W29" s="230"/>
      <c r="X29" s="239"/>
      <c r="Y29" s="239"/>
      <c r="Z29" s="230"/>
      <c r="AA29" s="230"/>
      <c r="AB29" s="230"/>
      <c r="AC29" s="230"/>
      <c r="AD29" s="239"/>
    </row>
    <row r="30" spans="1:30" ht="20.100000000000001" customHeight="1" x14ac:dyDescent="0.25">
      <c r="A30" s="230"/>
      <c r="B30" s="231"/>
      <c r="C30" s="231"/>
      <c r="D30" s="231"/>
      <c r="E30" s="230"/>
      <c r="F30" s="230"/>
      <c r="G30" s="230"/>
      <c r="H30" s="230"/>
      <c r="I30" s="230"/>
      <c r="J30" s="230"/>
      <c r="K30" s="230"/>
      <c r="L30" s="230"/>
      <c r="M30" s="230"/>
      <c r="N30" s="230"/>
      <c r="O30" s="230"/>
      <c r="P30" s="230"/>
      <c r="Q30" s="230"/>
      <c r="R30" s="230"/>
      <c r="S30" s="239"/>
      <c r="T30" s="230"/>
      <c r="U30" s="230"/>
      <c r="V30" s="230"/>
      <c r="W30" s="230"/>
      <c r="X30" s="239"/>
      <c r="Y30" s="239"/>
      <c r="Z30" s="230"/>
      <c r="AA30" s="230"/>
      <c r="AB30" s="230"/>
      <c r="AC30" s="230"/>
      <c r="AD30" s="239"/>
    </row>
    <row r="31" spans="1:30" ht="20.100000000000001" customHeight="1" x14ac:dyDescent="0.25">
      <c r="A31" s="230"/>
      <c r="B31" s="231"/>
      <c r="C31" s="231"/>
      <c r="D31" s="231"/>
      <c r="E31" s="230"/>
      <c r="F31" s="230"/>
      <c r="G31" s="230"/>
      <c r="H31" s="230"/>
      <c r="I31" s="230"/>
      <c r="J31" s="230"/>
      <c r="K31" s="230"/>
      <c r="L31" s="230"/>
      <c r="M31" s="230"/>
      <c r="N31" s="230"/>
      <c r="O31" s="230"/>
      <c r="P31" s="230"/>
      <c r="Q31" s="230"/>
      <c r="R31" s="230"/>
      <c r="S31" s="239"/>
      <c r="T31" s="230"/>
      <c r="U31" s="230"/>
      <c r="V31" s="230"/>
      <c r="W31" s="230"/>
      <c r="X31" s="239"/>
      <c r="Y31" s="239"/>
      <c r="Z31" s="230"/>
      <c r="AA31" s="230"/>
      <c r="AB31" s="230"/>
      <c r="AC31" s="230"/>
      <c r="AD31" s="239"/>
    </row>
    <row r="32" spans="1:30" ht="20.100000000000001" customHeight="1" x14ac:dyDescent="0.25">
      <c r="A32" s="230"/>
      <c r="B32" s="231"/>
      <c r="C32" s="231"/>
      <c r="D32" s="231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9"/>
      <c r="T32" s="230"/>
      <c r="U32" s="230"/>
      <c r="V32" s="230"/>
      <c r="W32" s="230"/>
      <c r="X32" s="239"/>
      <c r="Y32" s="239"/>
      <c r="Z32" s="230"/>
      <c r="AA32" s="230"/>
      <c r="AB32" s="230"/>
      <c r="AC32" s="230"/>
      <c r="AD32" s="239"/>
    </row>
    <row r="33" spans="1:30" ht="20.100000000000001" customHeight="1" x14ac:dyDescent="0.25">
      <c r="A33" s="230"/>
      <c r="B33" s="231"/>
      <c r="C33" s="231"/>
      <c r="D33" s="231"/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9"/>
      <c r="T33" s="230"/>
      <c r="U33" s="230"/>
      <c r="V33" s="230"/>
      <c r="W33" s="230"/>
      <c r="X33" s="239"/>
      <c r="Y33" s="239"/>
      <c r="Z33" s="230"/>
      <c r="AA33" s="230"/>
      <c r="AB33" s="230"/>
      <c r="AC33" s="230"/>
      <c r="AD33" s="239"/>
    </row>
    <row r="34" spans="1:30" ht="20.100000000000001" customHeight="1" x14ac:dyDescent="0.25">
      <c r="A34" s="230"/>
      <c r="B34" s="231"/>
      <c r="C34" s="231"/>
      <c r="D34" s="231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9"/>
      <c r="T34" s="230"/>
      <c r="U34" s="230"/>
      <c r="V34" s="230"/>
      <c r="W34" s="230"/>
      <c r="X34" s="239"/>
      <c r="Y34" s="239"/>
      <c r="Z34" s="230"/>
      <c r="AA34" s="230"/>
      <c r="AB34" s="230"/>
      <c r="AC34" s="230"/>
      <c r="AD34" s="239"/>
    </row>
    <row r="35" spans="1:30" ht="20.100000000000001" customHeight="1" x14ac:dyDescent="0.25">
      <c r="A35" s="230"/>
      <c r="B35" s="231"/>
      <c r="C35" s="231"/>
      <c r="D35" s="231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9"/>
      <c r="T35" s="230"/>
      <c r="U35" s="230"/>
      <c r="V35" s="230"/>
      <c r="W35" s="230"/>
      <c r="X35" s="239"/>
      <c r="Y35" s="239"/>
      <c r="Z35" s="230"/>
      <c r="AA35" s="230"/>
      <c r="AB35" s="230"/>
      <c r="AC35" s="230"/>
      <c r="AD35" s="239"/>
    </row>
    <row r="36" spans="1:30" ht="20.100000000000001" customHeight="1" x14ac:dyDescent="0.25">
      <c r="A36" s="230"/>
      <c r="B36" s="231"/>
      <c r="C36" s="231"/>
      <c r="D36" s="231"/>
      <c r="E36" s="230"/>
      <c r="F36" s="230"/>
      <c r="G36" s="230"/>
      <c r="H36" s="230"/>
      <c r="I36" s="230"/>
      <c r="J36" s="230"/>
      <c r="K36" s="230"/>
      <c r="L36" s="230"/>
      <c r="M36" s="230"/>
      <c r="N36" s="230"/>
      <c r="O36" s="230"/>
      <c r="P36" s="230"/>
      <c r="Q36" s="230"/>
      <c r="R36" s="230"/>
      <c r="S36" s="239"/>
      <c r="T36" s="230"/>
      <c r="U36" s="230"/>
      <c r="V36" s="230"/>
      <c r="W36" s="230"/>
      <c r="X36" s="239"/>
      <c r="Y36" s="239"/>
      <c r="Z36" s="230"/>
      <c r="AA36" s="230"/>
      <c r="AB36" s="230"/>
      <c r="AC36" s="230"/>
      <c r="AD36" s="239"/>
    </row>
    <row r="37" spans="1:30" ht="20.100000000000001" customHeight="1" x14ac:dyDescent="0.25">
      <c r="A37" s="230"/>
      <c r="B37" s="231"/>
      <c r="C37" s="231"/>
      <c r="D37" s="231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9"/>
      <c r="T37" s="230"/>
      <c r="U37" s="230"/>
      <c r="V37" s="230"/>
      <c r="W37" s="230"/>
      <c r="X37" s="239"/>
      <c r="Y37" s="239"/>
      <c r="Z37" s="230"/>
      <c r="AA37" s="230"/>
      <c r="AB37" s="230"/>
      <c r="AC37" s="230"/>
      <c r="AD37" s="239"/>
    </row>
    <row r="38" spans="1:30" ht="20.100000000000001" customHeight="1" x14ac:dyDescent="0.25">
      <c r="A38" s="230"/>
      <c r="B38" s="231"/>
      <c r="C38" s="231"/>
      <c r="D38" s="231"/>
      <c r="E38" s="230"/>
      <c r="F38" s="230"/>
      <c r="G38" s="230"/>
      <c r="H38" s="230"/>
      <c r="I38" s="230"/>
      <c r="J38" s="230"/>
      <c r="K38" s="230"/>
      <c r="L38" s="230"/>
      <c r="M38" s="230"/>
      <c r="N38" s="230"/>
      <c r="O38" s="230"/>
      <c r="P38" s="230"/>
      <c r="Q38" s="230"/>
      <c r="R38" s="230"/>
      <c r="S38" s="239"/>
      <c r="T38" s="230"/>
      <c r="U38" s="230"/>
      <c r="V38" s="230"/>
      <c r="W38" s="230"/>
      <c r="X38" s="239"/>
      <c r="Y38" s="239"/>
      <c r="Z38" s="230"/>
      <c r="AA38" s="230"/>
      <c r="AB38" s="230"/>
      <c r="AC38" s="230"/>
      <c r="AD38" s="239"/>
    </row>
    <row r="39" spans="1:30" ht="20.100000000000001" customHeight="1" x14ac:dyDescent="0.25">
      <c r="A39" s="230"/>
      <c r="B39" s="231"/>
      <c r="C39" s="231"/>
      <c r="D39" s="231"/>
      <c r="E39" s="230"/>
      <c r="F39" s="230"/>
      <c r="G39" s="230"/>
      <c r="H39" s="230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9"/>
      <c r="T39" s="230"/>
      <c r="U39" s="230"/>
      <c r="V39" s="230"/>
      <c r="W39" s="230"/>
      <c r="X39" s="239"/>
      <c r="Y39" s="239"/>
      <c r="Z39" s="230"/>
      <c r="AA39" s="230"/>
      <c r="AB39" s="230"/>
      <c r="AC39" s="230"/>
      <c r="AD39" s="239"/>
    </row>
    <row r="40" spans="1:30" ht="20.100000000000001" customHeight="1" x14ac:dyDescent="0.25">
      <c r="A40" s="230"/>
      <c r="B40" s="231"/>
      <c r="C40" s="231"/>
      <c r="D40" s="231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0"/>
      <c r="P40" s="230"/>
      <c r="Q40" s="230"/>
      <c r="R40" s="230"/>
      <c r="S40" s="239"/>
      <c r="T40" s="230"/>
      <c r="U40" s="230"/>
      <c r="V40" s="230"/>
      <c r="W40" s="230"/>
      <c r="X40" s="239"/>
      <c r="Y40" s="239"/>
      <c r="Z40" s="230"/>
      <c r="AA40" s="230"/>
      <c r="AB40" s="230"/>
      <c r="AC40" s="230"/>
      <c r="AD40" s="239"/>
    </row>
    <row r="41" spans="1:30" ht="20.100000000000001" customHeight="1" x14ac:dyDescent="0.25">
      <c r="A41" s="230"/>
      <c r="B41" s="231"/>
      <c r="C41" s="231"/>
      <c r="D41" s="231"/>
      <c r="E41" s="230"/>
      <c r="F41" s="230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0"/>
      <c r="S41" s="239"/>
      <c r="T41" s="230"/>
      <c r="U41" s="230"/>
      <c r="V41" s="230"/>
      <c r="W41" s="230"/>
      <c r="X41" s="239"/>
      <c r="Y41" s="239"/>
      <c r="Z41" s="230"/>
      <c r="AA41" s="230"/>
      <c r="AB41" s="230"/>
      <c r="AC41" s="230"/>
      <c r="AD41" s="239"/>
    </row>
    <row r="42" spans="1:30" ht="20.100000000000001" customHeight="1" x14ac:dyDescent="0.25">
      <c r="A42" s="230"/>
      <c r="B42" s="231"/>
      <c r="C42" s="231"/>
      <c r="D42" s="231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0"/>
      <c r="S42" s="239"/>
      <c r="T42" s="230"/>
      <c r="U42" s="230"/>
      <c r="V42" s="230"/>
      <c r="W42" s="230"/>
      <c r="X42" s="239"/>
      <c r="Y42" s="239"/>
      <c r="Z42" s="230"/>
      <c r="AA42" s="230"/>
      <c r="AB42" s="230"/>
      <c r="AC42" s="230"/>
      <c r="AD42" s="239"/>
    </row>
    <row r="43" spans="1:30" ht="20.100000000000001" customHeight="1" x14ac:dyDescent="0.25">
      <c r="A43" s="230"/>
      <c r="B43" s="231"/>
      <c r="C43" s="231"/>
      <c r="D43" s="231"/>
      <c r="E43" s="230"/>
      <c r="F43" s="230"/>
      <c r="G43" s="230"/>
      <c r="H43" s="230"/>
      <c r="I43" s="230"/>
      <c r="J43" s="230"/>
      <c r="K43" s="230"/>
      <c r="L43" s="230"/>
      <c r="M43" s="230"/>
      <c r="N43" s="230"/>
      <c r="O43" s="230"/>
      <c r="P43" s="230"/>
      <c r="Q43" s="230"/>
      <c r="R43" s="230"/>
      <c r="S43" s="239"/>
      <c r="T43" s="230"/>
      <c r="U43" s="230"/>
      <c r="V43" s="230"/>
      <c r="W43" s="230"/>
      <c r="X43" s="239"/>
      <c r="Y43" s="239"/>
      <c r="Z43" s="230"/>
      <c r="AA43" s="230"/>
      <c r="AB43" s="230"/>
      <c r="AC43" s="230"/>
      <c r="AD43" s="239"/>
    </row>
    <row r="44" spans="1:30" ht="20.100000000000001" customHeight="1" x14ac:dyDescent="0.25">
      <c r="A44" s="230"/>
      <c r="B44" s="231"/>
      <c r="C44" s="231"/>
      <c r="D44" s="231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9"/>
      <c r="T44" s="230"/>
      <c r="U44" s="230"/>
      <c r="V44" s="230"/>
      <c r="W44" s="230"/>
      <c r="X44" s="239"/>
      <c r="Y44" s="239"/>
      <c r="Z44" s="230"/>
      <c r="AA44" s="230"/>
      <c r="AB44" s="230"/>
      <c r="AC44" s="230"/>
      <c r="AD44" s="239"/>
    </row>
    <row r="45" spans="1:30" ht="20.100000000000001" customHeight="1" x14ac:dyDescent="0.25">
      <c r="A45" s="230"/>
      <c r="B45" s="231"/>
      <c r="C45" s="231"/>
      <c r="D45" s="231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9"/>
      <c r="T45" s="230"/>
      <c r="U45" s="230"/>
      <c r="V45" s="230"/>
      <c r="W45" s="230"/>
      <c r="X45" s="239"/>
      <c r="Y45" s="239"/>
      <c r="Z45" s="230"/>
      <c r="AA45" s="230"/>
      <c r="AB45" s="230"/>
      <c r="AC45" s="230"/>
      <c r="AD45" s="239"/>
    </row>
    <row r="46" spans="1:30" ht="20.100000000000001" customHeight="1" x14ac:dyDescent="0.25">
      <c r="A46" s="230"/>
      <c r="B46" s="231"/>
      <c r="C46" s="231"/>
      <c r="D46" s="231"/>
      <c r="E46" s="230"/>
      <c r="F46" s="230"/>
      <c r="G46" s="230"/>
      <c r="H46" s="230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9"/>
      <c r="T46" s="230"/>
      <c r="U46" s="230"/>
      <c r="V46" s="230"/>
      <c r="W46" s="230"/>
      <c r="X46" s="239"/>
      <c r="Y46" s="239"/>
      <c r="Z46" s="230"/>
      <c r="AA46" s="230"/>
      <c r="AB46" s="230"/>
      <c r="AC46" s="230"/>
      <c r="AD46" s="239"/>
    </row>
    <row r="47" spans="1:30" ht="20.100000000000001" customHeight="1" x14ac:dyDescent="0.25">
      <c r="A47" s="230"/>
      <c r="B47" s="231"/>
      <c r="C47" s="231"/>
      <c r="D47" s="231"/>
      <c r="E47" s="230"/>
      <c r="F47" s="230"/>
      <c r="G47" s="230"/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9"/>
      <c r="T47" s="230"/>
      <c r="U47" s="230"/>
      <c r="V47" s="230"/>
      <c r="W47" s="230"/>
      <c r="X47" s="239"/>
      <c r="Y47" s="239"/>
      <c r="Z47" s="230"/>
      <c r="AA47" s="230"/>
      <c r="AB47" s="230"/>
      <c r="AC47" s="230"/>
      <c r="AD47" s="239"/>
    </row>
    <row r="48" spans="1:30" ht="20.100000000000001" customHeight="1" x14ac:dyDescent="0.25">
      <c r="A48" s="230"/>
      <c r="B48" s="231"/>
      <c r="C48" s="231"/>
      <c r="D48" s="231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9"/>
      <c r="T48" s="230"/>
      <c r="U48" s="230"/>
      <c r="V48" s="230"/>
      <c r="W48" s="230"/>
      <c r="X48" s="239"/>
      <c r="Y48" s="239"/>
      <c r="Z48" s="230"/>
      <c r="AA48" s="230"/>
      <c r="AB48" s="230"/>
      <c r="AC48" s="230"/>
      <c r="AD48" s="239"/>
    </row>
    <row r="49" spans="1:30" ht="20.100000000000001" customHeight="1" x14ac:dyDescent="0.25">
      <c r="A49" s="230"/>
      <c r="B49" s="231"/>
      <c r="C49" s="231"/>
      <c r="D49" s="231"/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9"/>
      <c r="T49" s="230"/>
      <c r="U49" s="230"/>
      <c r="V49" s="230"/>
      <c r="W49" s="230"/>
      <c r="X49" s="239"/>
      <c r="Y49" s="239"/>
      <c r="Z49" s="230"/>
      <c r="AA49" s="230"/>
      <c r="AB49" s="230"/>
      <c r="AC49" s="230"/>
      <c r="AD49" s="239"/>
    </row>
    <row r="50" spans="1:30" ht="20.100000000000001" customHeight="1" x14ac:dyDescent="0.25">
      <c r="A50" s="230"/>
      <c r="B50" s="231"/>
      <c r="C50" s="231"/>
      <c r="D50" s="231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9"/>
      <c r="T50" s="230"/>
      <c r="U50" s="230"/>
      <c r="V50" s="230"/>
      <c r="W50" s="230"/>
      <c r="X50" s="239"/>
      <c r="Y50" s="239"/>
      <c r="Z50" s="230"/>
      <c r="AA50" s="230"/>
      <c r="AB50" s="230"/>
      <c r="AC50" s="230"/>
      <c r="AD50" s="239"/>
    </row>
    <row r="51" spans="1:30" ht="20.100000000000001" customHeight="1" x14ac:dyDescent="0.25">
      <c r="A51" s="230"/>
      <c r="B51" s="231"/>
      <c r="C51" s="231"/>
      <c r="D51" s="231"/>
      <c r="E51" s="230"/>
      <c r="F51" s="230"/>
      <c r="G51" s="230"/>
      <c r="H51" s="230"/>
      <c r="I51" s="230"/>
      <c r="J51" s="230"/>
      <c r="K51" s="230"/>
      <c r="L51" s="230"/>
      <c r="M51" s="230"/>
      <c r="N51" s="230"/>
      <c r="O51" s="230"/>
      <c r="P51" s="230"/>
      <c r="Q51" s="230"/>
      <c r="R51" s="230"/>
      <c r="S51" s="239"/>
      <c r="T51" s="230"/>
      <c r="U51" s="230"/>
      <c r="V51" s="230"/>
      <c r="W51" s="230"/>
      <c r="X51" s="239"/>
      <c r="Y51" s="239"/>
      <c r="Z51" s="230"/>
      <c r="AA51" s="230"/>
      <c r="AB51" s="230"/>
      <c r="AC51" s="230"/>
      <c r="AD51" s="239"/>
    </row>
    <row r="52" spans="1:30" ht="20.100000000000001" customHeight="1" x14ac:dyDescent="0.25">
      <c r="A52" s="230"/>
      <c r="B52" s="231"/>
      <c r="C52" s="231"/>
      <c r="D52" s="231"/>
      <c r="E52" s="230"/>
      <c r="F52" s="230"/>
      <c r="G52" s="230"/>
      <c r="H52" s="230"/>
      <c r="I52" s="230"/>
      <c r="J52" s="230"/>
      <c r="K52" s="230"/>
      <c r="L52" s="230"/>
      <c r="M52" s="230"/>
      <c r="N52" s="230"/>
      <c r="O52" s="230"/>
      <c r="P52" s="230"/>
      <c r="Q52" s="230"/>
      <c r="R52" s="230"/>
      <c r="S52" s="239"/>
      <c r="T52" s="230"/>
      <c r="U52" s="230"/>
      <c r="V52" s="230"/>
      <c r="W52" s="230"/>
      <c r="X52" s="239"/>
      <c r="Y52" s="239"/>
      <c r="Z52" s="230"/>
      <c r="AA52" s="230"/>
      <c r="AB52" s="230"/>
      <c r="AC52" s="230"/>
      <c r="AD52" s="239"/>
    </row>
    <row r="53" spans="1:30" ht="20.100000000000001" customHeight="1" x14ac:dyDescent="0.25">
      <c r="A53" s="230"/>
      <c r="B53" s="231"/>
      <c r="C53" s="231"/>
      <c r="D53" s="231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9"/>
      <c r="T53" s="230"/>
      <c r="U53" s="230"/>
      <c r="V53" s="230"/>
      <c r="W53" s="230"/>
      <c r="X53" s="239"/>
      <c r="Y53" s="239"/>
      <c r="Z53" s="230"/>
      <c r="AA53" s="230"/>
      <c r="AB53" s="230"/>
      <c r="AC53" s="230"/>
      <c r="AD53" s="239"/>
    </row>
    <row r="54" spans="1:30" ht="20.100000000000001" customHeight="1" x14ac:dyDescent="0.25">
      <c r="A54" s="230"/>
      <c r="B54" s="231"/>
      <c r="C54" s="231"/>
      <c r="D54" s="231"/>
      <c r="E54" s="230"/>
      <c r="F54" s="230"/>
      <c r="G54" s="230"/>
      <c r="H54" s="230"/>
      <c r="I54" s="230"/>
      <c r="J54" s="230"/>
      <c r="K54" s="230"/>
      <c r="L54" s="230"/>
      <c r="M54" s="230"/>
      <c r="N54" s="230"/>
      <c r="O54" s="230"/>
      <c r="P54" s="230"/>
      <c r="Q54" s="230"/>
      <c r="R54" s="230"/>
      <c r="S54" s="239"/>
      <c r="T54" s="230"/>
      <c r="U54" s="230"/>
      <c r="V54" s="230"/>
      <c r="W54" s="230"/>
      <c r="X54" s="239"/>
      <c r="Y54" s="239"/>
      <c r="Z54" s="230"/>
      <c r="AA54" s="230"/>
      <c r="AB54" s="230"/>
      <c r="AC54" s="230"/>
      <c r="AD54" s="239"/>
    </row>
    <row r="55" spans="1:30" ht="20.100000000000001" customHeight="1" x14ac:dyDescent="0.25">
      <c r="A55" s="230"/>
      <c r="B55" s="231"/>
      <c r="C55" s="231"/>
      <c r="D55" s="231"/>
      <c r="E55" s="230"/>
      <c r="F55" s="230"/>
      <c r="G55" s="230"/>
      <c r="H55" s="230"/>
      <c r="I55" s="230"/>
      <c r="J55" s="230"/>
      <c r="K55" s="230"/>
      <c r="L55" s="230"/>
      <c r="M55" s="230"/>
      <c r="N55" s="230"/>
      <c r="O55" s="230"/>
      <c r="P55" s="230"/>
      <c r="Q55" s="230"/>
      <c r="R55" s="230"/>
      <c r="S55" s="239"/>
      <c r="T55" s="230"/>
      <c r="U55" s="230"/>
      <c r="V55" s="230"/>
      <c r="W55" s="230"/>
      <c r="X55" s="239"/>
      <c r="Y55" s="239"/>
      <c r="Z55" s="230"/>
      <c r="AA55" s="230"/>
      <c r="AB55" s="230"/>
      <c r="AC55" s="230"/>
      <c r="AD55" s="239"/>
    </row>
    <row r="56" spans="1:30" ht="20.100000000000001" customHeight="1" x14ac:dyDescent="0.25">
      <c r="A56" s="230"/>
      <c r="B56" s="231"/>
      <c r="C56" s="231"/>
      <c r="D56" s="231"/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230"/>
      <c r="P56" s="230"/>
      <c r="Q56" s="230"/>
      <c r="R56" s="230"/>
      <c r="S56" s="239"/>
      <c r="T56" s="230"/>
      <c r="U56" s="230"/>
      <c r="V56" s="230"/>
      <c r="W56" s="230"/>
      <c r="X56" s="239"/>
      <c r="Y56" s="239"/>
      <c r="Z56" s="230"/>
      <c r="AA56" s="230"/>
      <c r="AB56" s="230"/>
      <c r="AC56" s="230"/>
      <c r="AD56" s="239"/>
    </row>
    <row r="57" spans="1:30" ht="20.100000000000001" customHeight="1" x14ac:dyDescent="0.25">
      <c r="A57" s="230"/>
      <c r="B57" s="231"/>
      <c r="C57" s="231"/>
      <c r="D57" s="231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  <c r="Q57" s="230"/>
      <c r="R57" s="230"/>
      <c r="S57" s="239"/>
      <c r="T57" s="230"/>
      <c r="U57" s="230"/>
      <c r="V57" s="230"/>
      <c r="W57" s="230"/>
      <c r="X57" s="239"/>
      <c r="Y57" s="239"/>
      <c r="Z57" s="230"/>
      <c r="AA57" s="230"/>
      <c r="AB57" s="230"/>
      <c r="AC57" s="230"/>
      <c r="AD57" s="239"/>
    </row>
    <row r="58" spans="1:30" ht="20.100000000000001" customHeight="1" x14ac:dyDescent="0.25">
      <c r="A58" s="230"/>
      <c r="B58" s="231"/>
      <c r="C58" s="231"/>
      <c r="D58" s="231"/>
      <c r="E58" s="230"/>
      <c r="F58" s="230"/>
      <c r="G58" s="230"/>
      <c r="H58" s="230"/>
      <c r="I58" s="230"/>
      <c r="J58" s="230"/>
      <c r="K58" s="230"/>
      <c r="L58" s="230"/>
      <c r="M58" s="230"/>
      <c r="N58" s="230"/>
      <c r="O58" s="230"/>
      <c r="P58" s="230"/>
      <c r="Q58" s="230"/>
      <c r="R58" s="230"/>
      <c r="S58" s="239"/>
      <c r="T58" s="230"/>
      <c r="U58" s="230"/>
      <c r="V58" s="230"/>
      <c r="W58" s="230"/>
      <c r="X58" s="239"/>
      <c r="Y58" s="239"/>
      <c r="Z58" s="230"/>
      <c r="AA58" s="230"/>
      <c r="AB58" s="230"/>
      <c r="AC58" s="230"/>
      <c r="AD58" s="239"/>
    </row>
    <row r="59" spans="1:30" ht="20.100000000000001" customHeight="1" x14ac:dyDescent="0.25">
      <c r="A59" s="230"/>
      <c r="B59" s="231"/>
      <c r="C59" s="231"/>
      <c r="D59" s="231"/>
      <c r="E59" s="230"/>
      <c r="F59" s="230"/>
      <c r="G59" s="230"/>
      <c r="H59" s="230"/>
      <c r="I59" s="230"/>
      <c r="J59" s="230"/>
      <c r="K59" s="230"/>
      <c r="L59" s="230"/>
      <c r="M59" s="230"/>
      <c r="N59" s="230"/>
      <c r="O59" s="230"/>
      <c r="P59" s="230"/>
      <c r="Q59" s="230"/>
      <c r="R59" s="230"/>
      <c r="S59" s="239"/>
      <c r="T59" s="230"/>
      <c r="U59" s="230"/>
      <c r="V59" s="230"/>
      <c r="W59" s="230"/>
      <c r="X59" s="239"/>
      <c r="Y59" s="239"/>
      <c r="Z59" s="230"/>
      <c r="AA59" s="230"/>
      <c r="AB59" s="230"/>
      <c r="AC59" s="230"/>
      <c r="AD59" s="239"/>
    </row>
    <row r="60" spans="1:30" ht="20.100000000000001" customHeight="1" x14ac:dyDescent="0.25">
      <c r="A60" s="230"/>
      <c r="B60" s="231"/>
      <c r="C60" s="231"/>
      <c r="D60" s="231"/>
      <c r="E60" s="230"/>
      <c r="F60" s="230"/>
      <c r="G60" s="230"/>
      <c r="H60" s="230"/>
      <c r="I60" s="230"/>
      <c r="J60" s="230"/>
      <c r="K60" s="230"/>
      <c r="L60" s="230"/>
      <c r="M60" s="230"/>
      <c r="N60" s="230"/>
      <c r="O60" s="230"/>
      <c r="P60" s="230"/>
      <c r="Q60" s="230"/>
      <c r="R60" s="230"/>
      <c r="S60" s="239"/>
      <c r="T60" s="230"/>
      <c r="U60" s="230"/>
      <c r="V60" s="230"/>
      <c r="W60" s="230"/>
      <c r="X60" s="239"/>
      <c r="Y60" s="239"/>
      <c r="Z60" s="230"/>
      <c r="AA60" s="230"/>
      <c r="AB60" s="230"/>
      <c r="AC60" s="230"/>
      <c r="AD60" s="239"/>
    </row>
    <row r="61" spans="1:30" ht="20.100000000000001" customHeight="1" x14ac:dyDescent="0.25">
      <c r="A61" s="230"/>
      <c r="B61" s="231"/>
      <c r="C61" s="231"/>
      <c r="D61" s="231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9"/>
      <c r="T61" s="230"/>
      <c r="U61" s="230"/>
      <c r="V61" s="230"/>
      <c r="W61" s="230"/>
      <c r="X61" s="239"/>
      <c r="Y61" s="239"/>
      <c r="Z61" s="230"/>
      <c r="AA61" s="230"/>
      <c r="AB61" s="230"/>
      <c r="AC61" s="230"/>
      <c r="AD61" s="239"/>
    </row>
    <row r="62" spans="1:30" ht="20.100000000000001" customHeight="1" x14ac:dyDescent="0.25">
      <c r="A62" s="230"/>
      <c r="B62" s="231"/>
      <c r="C62" s="231"/>
      <c r="D62" s="231"/>
      <c r="E62" s="230"/>
      <c r="F62" s="230"/>
      <c r="G62" s="230"/>
      <c r="H62" s="230"/>
      <c r="I62" s="230"/>
      <c r="J62" s="230"/>
      <c r="K62" s="230"/>
      <c r="L62" s="230"/>
      <c r="M62" s="230"/>
      <c r="N62" s="230"/>
      <c r="O62" s="230"/>
      <c r="P62" s="230"/>
      <c r="Q62" s="230"/>
      <c r="R62" s="230"/>
      <c r="S62" s="239"/>
      <c r="T62" s="230"/>
      <c r="U62" s="230"/>
      <c r="V62" s="230"/>
      <c r="W62" s="230"/>
      <c r="X62" s="239"/>
      <c r="Y62" s="239"/>
      <c r="Z62" s="230"/>
      <c r="AA62" s="230"/>
      <c r="AB62" s="230"/>
      <c r="AC62" s="230"/>
      <c r="AD62" s="239"/>
    </row>
    <row r="63" spans="1:30" ht="20.100000000000001" customHeight="1" x14ac:dyDescent="0.25">
      <c r="A63" s="230"/>
      <c r="B63" s="231"/>
      <c r="C63" s="231"/>
      <c r="D63" s="231"/>
      <c r="E63" s="230"/>
      <c r="F63" s="230"/>
      <c r="G63" s="230"/>
      <c r="H63" s="230"/>
      <c r="I63" s="230"/>
      <c r="J63" s="230"/>
      <c r="K63" s="230"/>
      <c r="L63" s="230"/>
      <c r="M63" s="230"/>
      <c r="N63" s="230"/>
      <c r="O63" s="230"/>
      <c r="P63" s="230"/>
      <c r="Q63" s="230"/>
      <c r="R63" s="230"/>
      <c r="S63" s="239"/>
      <c r="T63" s="230"/>
      <c r="U63" s="230"/>
      <c r="V63" s="230"/>
      <c r="W63" s="230"/>
      <c r="X63" s="239"/>
      <c r="Y63" s="239"/>
      <c r="Z63" s="230"/>
      <c r="AA63" s="230"/>
      <c r="AB63" s="230"/>
      <c r="AC63" s="230"/>
      <c r="AD63" s="239"/>
    </row>
    <row r="64" spans="1:30" ht="20.100000000000001" customHeight="1" x14ac:dyDescent="0.25">
      <c r="A64" s="230"/>
      <c r="B64" s="231"/>
      <c r="C64" s="231"/>
      <c r="D64" s="231"/>
      <c r="E64" s="230"/>
      <c r="F64" s="230"/>
      <c r="G64" s="230"/>
      <c r="H64" s="230"/>
      <c r="I64" s="230"/>
      <c r="J64" s="230"/>
      <c r="K64" s="230"/>
      <c r="L64" s="230"/>
      <c r="M64" s="230"/>
      <c r="N64" s="230"/>
      <c r="O64" s="230"/>
      <c r="P64" s="230"/>
      <c r="Q64" s="230"/>
      <c r="R64" s="230"/>
      <c r="S64" s="239"/>
      <c r="T64" s="230"/>
      <c r="U64" s="230"/>
      <c r="V64" s="230"/>
      <c r="W64" s="230"/>
      <c r="X64" s="239"/>
      <c r="Y64" s="239"/>
      <c r="Z64" s="230"/>
      <c r="AA64" s="230"/>
      <c r="AB64" s="230"/>
      <c r="AC64" s="230"/>
      <c r="AD64" s="239"/>
    </row>
    <row r="65" spans="1:30" ht="20.100000000000001" customHeight="1" x14ac:dyDescent="0.25">
      <c r="A65" s="230"/>
      <c r="B65" s="231"/>
      <c r="C65" s="231"/>
      <c r="D65" s="231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230"/>
      <c r="R65" s="230"/>
      <c r="S65" s="239"/>
      <c r="T65" s="230"/>
      <c r="U65" s="230"/>
      <c r="V65" s="230"/>
      <c r="W65" s="230"/>
      <c r="X65" s="239"/>
      <c r="Y65" s="239"/>
      <c r="Z65" s="230"/>
      <c r="AA65" s="230"/>
      <c r="AB65" s="230"/>
      <c r="AC65" s="230"/>
      <c r="AD65" s="239"/>
    </row>
    <row r="66" spans="1:30" ht="20.100000000000001" customHeight="1" x14ac:dyDescent="0.25">
      <c r="A66" s="230"/>
      <c r="B66" s="231"/>
      <c r="C66" s="231"/>
      <c r="D66" s="231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230"/>
      <c r="R66" s="230"/>
      <c r="S66" s="239"/>
      <c r="T66" s="230"/>
      <c r="U66" s="230"/>
      <c r="V66" s="230"/>
      <c r="W66" s="230"/>
      <c r="X66" s="239"/>
      <c r="Y66" s="239"/>
      <c r="Z66" s="230"/>
      <c r="AA66" s="230"/>
      <c r="AB66" s="230"/>
      <c r="AC66" s="230"/>
      <c r="AD66" s="239"/>
    </row>
    <row r="67" spans="1:30" ht="20.100000000000001" customHeight="1" x14ac:dyDescent="0.25">
      <c r="A67" s="230"/>
      <c r="B67" s="231"/>
      <c r="C67" s="231"/>
      <c r="D67" s="231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0"/>
      <c r="P67" s="230"/>
      <c r="Q67" s="230"/>
      <c r="R67" s="230"/>
      <c r="S67" s="239"/>
      <c r="T67" s="230"/>
      <c r="U67" s="230"/>
      <c r="V67" s="230"/>
      <c r="W67" s="230"/>
      <c r="X67" s="239"/>
      <c r="Y67" s="239"/>
      <c r="Z67" s="230"/>
      <c r="AA67" s="230"/>
      <c r="AB67" s="230"/>
      <c r="AC67" s="230"/>
      <c r="AD67" s="239"/>
    </row>
    <row r="68" spans="1:30" ht="20.100000000000001" customHeight="1" x14ac:dyDescent="0.25">
      <c r="A68" s="230"/>
      <c r="B68" s="231"/>
      <c r="C68" s="231"/>
      <c r="D68" s="231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9"/>
      <c r="T68" s="230"/>
      <c r="U68" s="230"/>
      <c r="V68" s="230"/>
      <c r="W68" s="230"/>
      <c r="X68" s="239"/>
      <c r="Y68" s="239"/>
      <c r="Z68" s="230"/>
      <c r="AA68" s="230"/>
      <c r="AB68" s="230"/>
      <c r="AC68" s="230"/>
      <c r="AD68" s="239"/>
    </row>
    <row r="69" spans="1:30" ht="20.100000000000001" customHeight="1" x14ac:dyDescent="0.25">
      <c r="A69" s="230"/>
      <c r="B69" s="231"/>
      <c r="C69" s="231"/>
      <c r="D69" s="231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9"/>
      <c r="T69" s="230"/>
      <c r="U69" s="230"/>
      <c r="V69" s="230"/>
      <c r="W69" s="230"/>
      <c r="X69" s="239"/>
      <c r="Y69" s="239"/>
      <c r="Z69" s="230"/>
      <c r="AA69" s="230"/>
      <c r="AB69" s="230"/>
      <c r="AC69" s="230"/>
      <c r="AD69" s="239"/>
    </row>
    <row r="70" spans="1:30" ht="20.100000000000001" customHeight="1" x14ac:dyDescent="0.25">
      <c r="A70" s="230"/>
      <c r="B70" s="231"/>
      <c r="C70" s="231"/>
      <c r="D70" s="231"/>
      <c r="E70" s="230"/>
      <c r="F70" s="230"/>
      <c r="G70" s="230"/>
      <c r="H70" s="230"/>
      <c r="I70" s="230"/>
      <c r="J70" s="230"/>
      <c r="K70" s="230"/>
      <c r="L70" s="230"/>
      <c r="M70" s="230"/>
      <c r="N70" s="230"/>
      <c r="O70" s="230"/>
      <c r="P70" s="230"/>
      <c r="Q70" s="230"/>
      <c r="R70" s="230"/>
      <c r="S70" s="239"/>
      <c r="T70" s="230"/>
      <c r="U70" s="230"/>
      <c r="V70" s="230"/>
      <c r="W70" s="230"/>
      <c r="X70" s="239"/>
      <c r="Y70" s="239"/>
      <c r="Z70" s="230"/>
      <c r="AA70" s="230"/>
      <c r="AB70" s="230"/>
      <c r="AC70" s="230"/>
      <c r="AD70" s="239"/>
    </row>
    <row r="71" spans="1:30" ht="20.100000000000001" customHeight="1" x14ac:dyDescent="0.25">
      <c r="A71" s="230"/>
      <c r="B71" s="231"/>
      <c r="C71" s="231"/>
      <c r="D71" s="231"/>
      <c r="E71" s="230"/>
      <c r="F71" s="230"/>
      <c r="G71" s="230"/>
      <c r="H71" s="230"/>
      <c r="I71" s="230"/>
      <c r="J71" s="230"/>
      <c r="K71" s="230"/>
      <c r="L71" s="230"/>
      <c r="M71" s="230"/>
      <c r="N71" s="230"/>
      <c r="O71" s="230"/>
      <c r="P71" s="230"/>
      <c r="Q71" s="230"/>
      <c r="R71" s="230"/>
      <c r="S71" s="239"/>
      <c r="T71" s="230"/>
      <c r="U71" s="230"/>
      <c r="V71" s="230"/>
      <c r="W71" s="230"/>
      <c r="X71" s="239"/>
      <c r="Y71" s="239"/>
      <c r="Z71" s="230"/>
      <c r="AA71" s="230"/>
      <c r="AB71" s="230"/>
      <c r="AC71" s="230"/>
      <c r="AD71" s="239"/>
    </row>
    <row r="72" spans="1:30" ht="20.100000000000001" customHeight="1" x14ac:dyDescent="0.25">
      <c r="A72" s="230"/>
      <c r="B72" s="231"/>
      <c r="C72" s="231"/>
      <c r="D72" s="231"/>
      <c r="E72" s="230"/>
      <c r="F72" s="230"/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9"/>
      <c r="T72" s="230"/>
      <c r="U72" s="230"/>
      <c r="V72" s="230"/>
      <c r="W72" s="230"/>
      <c r="X72" s="239"/>
      <c r="Y72" s="239"/>
      <c r="Z72" s="230"/>
      <c r="AA72" s="230"/>
      <c r="AB72" s="230"/>
      <c r="AC72" s="230"/>
      <c r="AD72" s="239"/>
    </row>
    <row r="73" spans="1:30" ht="20.100000000000001" customHeight="1" x14ac:dyDescent="0.25">
      <c r="A73" s="230"/>
      <c r="B73" s="231"/>
      <c r="C73" s="231"/>
      <c r="D73" s="231"/>
      <c r="E73" s="230"/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9"/>
      <c r="T73" s="230"/>
      <c r="U73" s="230"/>
      <c r="V73" s="230"/>
      <c r="W73" s="230"/>
      <c r="X73" s="239"/>
      <c r="Y73" s="239"/>
      <c r="Z73" s="230"/>
      <c r="AA73" s="230"/>
      <c r="AB73" s="230"/>
      <c r="AC73" s="230"/>
      <c r="AD73" s="239"/>
    </row>
    <row r="74" spans="1:30" ht="20.100000000000001" customHeight="1" x14ac:dyDescent="0.25">
      <c r="A74" s="230"/>
      <c r="B74" s="231"/>
      <c r="C74" s="231"/>
      <c r="D74" s="231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0"/>
      <c r="S74" s="239"/>
      <c r="T74" s="230"/>
      <c r="U74" s="230"/>
      <c r="V74" s="230"/>
      <c r="W74" s="230"/>
      <c r="X74" s="239"/>
      <c r="Y74" s="239"/>
      <c r="Z74" s="230"/>
      <c r="AA74" s="230"/>
      <c r="AB74" s="230"/>
      <c r="AC74" s="230"/>
      <c r="AD74" s="239"/>
    </row>
    <row r="75" spans="1:30" ht="20.100000000000001" customHeight="1" x14ac:dyDescent="0.25">
      <c r="A75" s="230"/>
      <c r="B75" s="231"/>
      <c r="C75" s="231"/>
      <c r="D75" s="231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0"/>
      <c r="S75" s="239"/>
      <c r="T75" s="230"/>
      <c r="U75" s="230"/>
      <c r="V75" s="230"/>
      <c r="W75" s="230"/>
      <c r="X75" s="239"/>
      <c r="Y75" s="239"/>
      <c r="Z75" s="230"/>
      <c r="AA75" s="230"/>
      <c r="AB75" s="230"/>
      <c r="AC75" s="230"/>
      <c r="AD75" s="239"/>
    </row>
    <row r="76" spans="1:30" ht="20.100000000000001" customHeight="1" x14ac:dyDescent="0.25">
      <c r="A76" s="230"/>
      <c r="B76" s="231"/>
      <c r="C76" s="231"/>
      <c r="D76" s="231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0"/>
      <c r="S76" s="239"/>
      <c r="T76" s="230"/>
      <c r="U76" s="230"/>
      <c r="V76" s="230"/>
      <c r="W76" s="230"/>
      <c r="X76" s="239"/>
      <c r="Y76" s="239"/>
      <c r="Z76" s="230"/>
      <c r="AA76" s="230"/>
      <c r="AB76" s="230"/>
      <c r="AC76" s="230"/>
      <c r="AD76" s="239"/>
    </row>
    <row r="77" spans="1:30" ht="20.100000000000001" customHeight="1" x14ac:dyDescent="0.25">
      <c r="A77" s="230"/>
      <c r="B77" s="231"/>
      <c r="C77" s="231"/>
      <c r="D77" s="231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9"/>
      <c r="T77" s="230"/>
      <c r="U77" s="230"/>
      <c r="V77" s="230"/>
      <c r="W77" s="230"/>
      <c r="X77" s="239"/>
      <c r="Y77" s="239"/>
      <c r="Z77" s="230"/>
      <c r="AA77" s="230"/>
      <c r="AB77" s="230"/>
      <c r="AC77" s="230"/>
      <c r="AD77" s="239"/>
    </row>
    <row r="78" spans="1:30" ht="20.100000000000001" customHeight="1" x14ac:dyDescent="0.25">
      <c r="A78" s="230"/>
      <c r="B78" s="231"/>
      <c r="C78" s="231"/>
      <c r="D78" s="231"/>
      <c r="E78" s="230"/>
      <c r="F78" s="230"/>
      <c r="G78" s="230"/>
      <c r="H78" s="230"/>
      <c r="I78" s="230"/>
      <c r="J78" s="230"/>
      <c r="K78" s="230"/>
      <c r="L78" s="230"/>
      <c r="M78" s="230"/>
      <c r="N78" s="230"/>
      <c r="O78" s="230"/>
      <c r="P78" s="230"/>
      <c r="Q78" s="230"/>
      <c r="R78" s="230"/>
      <c r="S78" s="239"/>
      <c r="T78" s="230"/>
      <c r="U78" s="230"/>
      <c r="V78" s="230"/>
      <c r="W78" s="230"/>
      <c r="X78" s="239"/>
      <c r="Y78" s="239"/>
      <c r="Z78" s="230"/>
      <c r="AA78" s="230"/>
      <c r="AB78" s="230"/>
      <c r="AC78" s="230"/>
      <c r="AD78" s="239"/>
    </row>
    <row r="79" spans="1:30" ht="20.100000000000001" customHeight="1" x14ac:dyDescent="0.25">
      <c r="A79" s="230"/>
      <c r="B79" s="231"/>
      <c r="C79" s="231"/>
      <c r="D79" s="231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30"/>
      <c r="S79" s="239"/>
      <c r="T79" s="230"/>
      <c r="U79" s="230"/>
      <c r="V79" s="230"/>
      <c r="W79" s="230"/>
      <c r="X79" s="239"/>
      <c r="Y79" s="239"/>
      <c r="Z79" s="230"/>
      <c r="AA79" s="230"/>
      <c r="AB79" s="230"/>
      <c r="AC79" s="230"/>
      <c r="AD79" s="239"/>
    </row>
    <row r="80" spans="1:30" ht="20.100000000000001" customHeight="1" x14ac:dyDescent="0.25">
      <c r="A80" s="230"/>
      <c r="B80" s="231"/>
      <c r="C80" s="231"/>
      <c r="D80" s="231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30"/>
      <c r="S80" s="239"/>
      <c r="T80" s="230"/>
      <c r="U80" s="230"/>
      <c r="V80" s="230"/>
      <c r="W80" s="230"/>
      <c r="X80" s="239"/>
      <c r="Y80" s="239"/>
      <c r="Z80" s="230"/>
      <c r="AA80" s="230"/>
      <c r="AB80" s="230"/>
      <c r="AC80" s="230"/>
      <c r="AD80" s="239"/>
    </row>
    <row r="81" spans="1:30" ht="20.100000000000001" customHeight="1" x14ac:dyDescent="0.25">
      <c r="A81" s="230"/>
      <c r="B81" s="231"/>
      <c r="C81" s="231"/>
      <c r="D81" s="231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9"/>
      <c r="T81" s="230"/>
      <c r="U81" s="230"/>
      <c r="V81" s="230"/>
      <c r="W81" s="230"/>
      <c r="X81" s="239"/>
      <c r="Y81" s="239"/>
      <c r="Z81" s="230"/>
      <c r="AA81" s="230"/>
      <c r="AB81" s="230"/>
      <c r="AC81" s="230"/>
      <c r="AD81" s="239"/>
    </row>
    <row r="82" spans="1:30" ht="20.100000000000001" customHeight="1" x14ac:dyDescent="0.25">
      <c r="A82" s="230"/>
      <c r="B82" s="231"/>
      <c r="C82" s="231"/>
      <c r="D82" s="231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30"/>
      <c r="S82" s="239"/>
      <c r="T82" s="230"/>
      <c r="U82" s="230"/>
      <c r="V82" s="230"/>
      <c r="W82" s="230"/>
      <c r="X82" s="239"/>
      <c r="Y82" s="239"/>
      <c r="Z82" s="230"/>
      <c r="AA82" s="230"/>
      <c r="AB82" s="230"/>
      <c r="AC82" s="230"/>
      <c r="AD82" s="239"/>
    </row>
    <row r="83" spans="1:30" ht="20.100000000000001" customHeight="1" x14ac:dyDescent="0.25">
      <c r="A83" s="230"/>
      <c r="B83" s="231"/>
      <c r="C83" s="231"/>
      <c r="D83" s="231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30"/>
      <c r="S83" s="239"/>
      <c r="T83" s="230"/>
      <c r="U83" s="230"/>
      <c r="V83" s="230"/>
      <c r="W83" s="230"/>
      <c r="X83" s="239"/>
      <c r="Y83" s="239"/>
      <c r="Z83" s="230"/>
      <c r="AA83" s="230"/>
      <c r="AB83" s="230"/>
      <c r="AC83" s="230"/>
      <c r="AD83" s="239"/>
    </row>
    <row r="84" spans="1:30" ht="20.100000000000001" customHeight="1" x14ac:dyDescent="0.25">
      <c r="A84" s="230"/>
      <c r="B84" s="231"/>
      <c r="C84" s="231"/>
      <c r="D84" s="231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30"/>
      <c r="S84" s="239"/>
      <c r="T84" s="230"/>
      <c r="U84" s="230"/>
      <c r="V84" s="230"/>
      <c r="W84" s="230"/>
      <c r="X84" s="239"/>
      <c r="Y84" s="239"/>
      <c r="Z84" s="230"/>
      <c r="AA84" s="230"/>
      <c r="AB84" s="230"/>
      <c r="AC84" s="230"/>
      <c r="AD84" s="239"/>
    </row>
    <row r="85" spans="1:30" ht="20.100000000000001" customHeight="1" x14ac:dyDescent="0.25">
      <c r="A85" s="230"/>
      <c r="B85" s="231"/>
      <c r="C85" s="231"/>
      <c r="D85" s="231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9"/>
      <c r="T85" s="230"/>
      <c r="U85" s="230"/>
      <c r="V85" s="230"/>
      <c r="W85" s="230"/>
      <c r="X85" s="239"/>
      <c r="Y85" s="239"/>
      <c r="Z85" s="230"/>
      <c r="AA85" s="230"/>
      <c r="AB85" s="230"/>
      <c r="AC85" s="230"/>
      <c r="AD85" s="239"/>
    </row>
    <row r="86" spans="1:30" ht="20.100000000000001" customHeight="1" x14ac:dyDescent="0.25">
      <c r="A86" s="230"/>
      <c r="B86" s="231"/>
      <c r="C86" s="231"/>
      <c r="D86" s="231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9"/>
      <c r="T86" s="230"/>
      <c r="U86" s="230"/>
      <c r="V86" s="230"/>
      <c r="W86" s="230"/>
      <c r="X86" s="239"/>
      <c r="Y86" s="239"/>
      <c r="Z86" s="230"/>
      <c r="AA86" s="230"/>
      <c r="AB86" s="230"/>
      <c r="AC86" s="230"/>
      <c r="AD86" s="239"/>
    </row>
    <row r="87" spans="1:30" ht="20.100000000000001" customHeight="1" x14ac:dyDescent="0.25">
      <c r="A87" s="230"/>
      <c r="B87" s="231"/>
      <c r="C87" s="231"/>
      <c r="D87" s="231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9"/>
      <c r="T87" s="230"/>
      <c r="U87" s="230"/>
      <c r="V87" s="230"/>
      <c r="W87" s="230"/>
      <c r="X87" s="239"/>
      <c r="Y87" s="239"/>
      <c r="Z87" s="230"/>
      <c r="AA87" s="230"/>
      <c r="AB87" s="230"/>
      <c r="AC87" s="230"/>
      <c r="AD87" s="239"/>
    </row>
    <row r="88" spans="1:30" ht="20.100000000000001" customHeight="1" x14ac:dyDescent="0.25">
      <c r="A88" s="230"/>
      <c r="B88" s="231"/>
      <c r="C88" s="231"/>
      <c r="D88" s="231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30"/>
      <c r="S88" s="239"/>
      <c r="T88" s="230"/>
      <c r="U88" s="230"/>
      <c r="V88" s="230"/>
      <c r="W88" s="230"/>
      <c r="X88" s="239"/>
      <c r="Y88" s="239"/>
      <c r="Z88" s="230"/>
      <c r="AA88" s="230"/>
      <c r="AB88" s="230"/>
      <c r="AC88" s="230"/>
      <c r="AD88" s="239"/>
    </row>
    <row r="89" spans="1:30" ht="20.100000000000001" customHeight="1" x14ac:dyDescent="0.25">
      <c r="A89" s="230"/>
      <c r="B89" s="231"/>
      <c r="C89" s="231"/>
      <c r="D89" s="231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9"/>
      <c r="T89" s="230"/>
      <c r="U89" s="230"/>
      <c r="V89" s="230"/>
      <c r="W89" s="230"/>
      <c r="X89" s="239"/>
      <c r="Y89" s="239"/>
      <c r="Z89" s="230"/>
      <c r="AA89" s="230"/>
      <c r="AB89" s="230"/>
      <c r="AC89" s="230"/>
      <c r="AD89" s="239"/>
    </row>
    <row r="90" spans="1:30" ht="20.100000000000001" customHeight="1" x14ac:dyDescent="0.25">
      <c r="A90" s="230"/>
      <c r="B90" s="231"/>
      <c r="C90" s="231"/>
      <c r="D90" s="231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30"/>
      <c r="S90" s="239"/>
      <c r="T90" s="230"/>
      <c r="U90" s="230"/>
      <c r="V90" s="230"/>
      <c r="W90" s="230"/>
      <c r="X90" s="239"/>
      <c r="Y90" s="239"/>
      <c r="Z90" s="230"/>
      <c r="AA90" s="230"/>
      <c r="AB90" s="230"/>
      <c r="AC90" s="230"/>
      <c r="AD90" s="239"/>
    </row>
    <row r="91" spans="1:30" ht="20.100000000000001" customHeight="1" x14ac:dyDescent="0.25">
      <c r="A91" s="230"/>
      <c r="B91" s="231"/>
      <c r="C91" s="231"/>
      <c r="D91" s="231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30"/>
      <c r="S91" s="239"/>
      <c r="T91" s="230"/>
      <c r="U91" s="230"/>
      <c r="V91" s="230"/>
      <c r="W91" s="230"/>
      <c r="X91" s="239"/>
      <c r="Y91" s="239"/>
      <c r="Z91" s="230"/>
      <c r="AA91" s="230"/>
      <c r="AB91" s="230"/>
      <c r="AC91" s="230"/>
      <c r="AD91" s="239"/>
    </row>
    <row r="92" spans="1:30" ht="20.100000000000001" customHeight="1" x14ac:dyDescent="0.25">
      <c r="A92" s="230"/>
      <c r="B92" s="231"/>
      <c r="C92" s="231"/>
      <c r="D92" s="231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30"/>
      <c r="S92" s="239"/>
      <c r="T92" s="230"/>
      <c r="U92" s="230"/>
      <c r="V92" s="230"/>
      <c r="W92" s="230"/>
      <c r="X92" s="239"/>
      <c r="Y92" s="239"/>
      <c r="Z92" s="230"/>
      <c r="AA92" s="230"/>
      <c r="AB92" s="230"/>
      <c r="AC92" s="230"/>
      <c r="AD92" s="239"/>
    </row>
    <row r="93" spans="1:30" ht="20.100000000000001" customHeight="1" x14ac:dyDescent="0.25">
      <c r="A93" s="230"/>
      <c r="B93" s="231"/>
      <c r="C93" s="231"/>
      <c r="D93" s="231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9"/>
      <c r="T93" s="230"/>
      <c r="U93" s="230"/>
      <c r="V93" s="230"/>
      <c r="W93" s="230"/>
      <c r="X93" s="239"/>
      <c r="Y93" s="239"/>
      <c r="Z93" s="230"/>
      <c r="AA93" s="230"/>
      <c r="AB93" s="230"/>
      <c r="AC93" s="230"/>
      <c r="AD93" s="239"/>
    </row>
    <row r="94" spans="1:30" ht="20.100000000000001" customHeight="1" x14ac:dyDescent="0.25">
      <c r="A94" s="230"/>
      <c r="B94" s="231"/>
      <c r="C94" s="231"/>
      <c r="D94" s="231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30"/>
      <c r="S94" s="239"/>
      <c r="T94" s="230"/>
      <c r="U94" s="230"/>
      <c r="V94" s="230"/>
      <c r="W94" s="230"/>
      <c r="X94" s="239"/>
      <c r="Y94" s="239"/>
      <c r="Z94" s="230"/>
      <c r="AA94" s="230"/>
      <c r="AB94" s="230"/>
      <c r="AC94" s="230"/>
      <c r="AD94" s="239"/>
    </row>
    <row r="95" spans="1:30" ht="20.100000000000001" customHeight="1" x14ac:dyDescent="0.25">
      <c r="A95" s="230"/>
      <c r="B95" s="231"/>
      <c r="C95" s="231"/>
      <c r="D95" s="231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30"/>
      <c r="S95" s="239"/>
      <c r="T95" s="230"/>
      <c r="U95" s="230"/>
      <c r="V95" s="230"/>
      <c r="W95" s="230"/>
      <c r="X95" s="239"/>
      <c r="Y95" s="239"/>
      <c r="Z95" s="230"/>
      <c r="AA95" s="230"/>
      <c r="AB95" s="230"/>
      <c r="AC95" s="230"/>
      <c r="AD95" s="239"/>
    </row>
    <row r="96" spans="1:30" ht="20.100000000000001" customHeight="1" x14ac:dyDescent="0.25">
      <c r="A96" s="230"/>
      <c r="B96" s="231"/>
      <c r="C96" s="231"/>
      <c r="D96" s="231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30"/>
      <c r="S96" s="239"/>
      <c r="T96" s="230"/>
      <c r="U96" s="230"/>
      <c r="V96" s="230"/>
      <c r="W96" s="230"/>
      <c r="X96" s="239"/>
      <c r="Y96" s="239"/>
      <c r="Z96" s="230"/>
      <c r="AA96" s="230"/>
      <c r="AB96" s="230"/>
      <c r="AC96" s="230"/>
      <c r="AD96" s="239"/>
    </row>
    <row r="97" spans="1:30" ht="20.100000000000001" customHeight="1" x14ac:dyDescent="0.25">
      <c r="A97" s="230"/>
      <c r="B97" s="231"/>
      <c r="C97" s="231"/>
      <c r="D97" s="231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9"/>
      <c r="T97" s="230"/>
      <c r="U97" s="230"/>
      <c r="V97" s="230"/>
      <c r="W97" s="230"/>
      <c r="X97" s="239"/>
      <c r="Y97" s="239"/>
      <c r="Z97" s="230"/>
      <c r="AA97" s="230"/>
      <c r="AB97" s="230"/>
      <c r="AC97" s="230"/>
      <c r="AD97" s="239"/>
    </row>
    <row r="98" spans="1:30" ht="20.100000000000001" customHeight="1" x14ac:dyDescent="0.25">
      <c r="A98" s="230"/>
      <c r="B98" s="231"/>
      <c r="C98" s="231"/>
      <c r="D98" s="231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30"/>
      <c r="S98" s="239"/>
      <c r="T98" s="230"/>
      <c r="U98" s="230"/>
      <c r="V98" s="230"/>
      <c r="W98" s="230"/>
      <c r="X98" s="239"/>
      <c r="Y98" s="239"/>
      <c r="Z98" s="230"/>
      <c r="AA98" s="230"/>
      <c r="AB98" s="230"/>
      <c r="AC98" s="230"/>
      <c r="AD98" s="239"/>
    </row>
    <row r="99" spans="1:30" ht="20.100000000000001" customHeight="1" x14ac:dyDescent="0.25">
      <c r="A99" s="230"/>
      <c r="B99" s="231"/>
      <c r="C99" s="231"/>
      <c r="D99" s="231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30"/>
      <c r="S99" s="239"/>
      <c r="T99" s="230"/>
      <c r="U99" s="230"/>
      <c r="V99" s="230"/>
      <c r="W99" s="230"/>
      <c r="X99" s="239"/>
      <c r="Y99" s="239"/>
      <c r="Z99" s="230"/>
      <c r="AA99" s="230"/>
      <c r="AB99" s="230"/>
      <c r="AC99" s="230"/>
      <c r="AD99" s="239"/>
    </row>
    <row r="100" spans="1:30" ht="20.100000000000001" customHeight="1" x14ac:dyDescent="0.25">
      <c r="A100" s="230"/>
      <c r="B100" s="231"/>
      <c r="C100" s="231"/>
      <c r="D100" s="231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30"/>
      <c r="S100" s="239"/>
      <c r="T100" s="230"/>
      <c r="U100" s="230"/>
      <c r="V100" s="230"/>
      <c r="W100" s="230"/>
      <c r="X100" s="239"/>
      <c r="Y100" s="239"/>
      <c r="Z100" s="230"/>
      <c r="AA100" s="230"/>
      <c r="AB100" s="230"/>
      <c r="AC100" s="230"/>
      <c r="AD100" s="239"/>
    </row>
    <row r="101" spans="1:30" ht="20.100000000000001" customHeight="1" x14ac:dyDescent="0.25">
      <c r="A101" s="230"/>
      <c r="B101" s="231"/>
      <c r="C101" s="231"/>
      <c r="D101" s="231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30"/>
      <c r="S101" s="239"/>
      <c r="T101" s="230"/>
      <c r="U101" s="230"/>
      <c r="V101" s="230"/>
      <c r="W101" s="230"/>
      <c r="X101" s="239"/>
      <c r="Y101" s="239"/>
      <c r="Z101" s="230"/>
      <c r="AA101" s="230"/>
      <c r="AB101" s="230"/>
      <c r="AC101" s="230"/>
      <c r="AD101" s="239"/>
    </row>
    <row r="102" spans="1:30" ht="20.100000000000001" customHeight="1" x14ac:dyDescent="0.25">
      <c r="A102" s="230"/>
      <c r="B102" s="231"/>
      <c r="C102" s="231"/>
      <c r="D102" s="231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30"/>
      <c r="S102" s="239"/>
      <c r="T102" s="230"/>
      <c r="U102" s="230"/>
      <c r="V102" s="230"/>
      <c r="W102" s="230"/>
      <c r="X102" s="239"/>
      <c r="Y102" s="239"/>
      <c r="Z102" s="230"/>
      <c r="AA102" s="230"/>
      <c r="AB102" s="230"/>
      <c r="AC102" s="230"/>
      <c r="AD102" s="239"/>
    </row>
    <row r="103" spans="1:30" ht="20.100000000000001" customHeight="1" x14ac:dyDescent="0.25">
      <c r="A103" s="230"/>
      <c r="B103" s="231"/>
      <c r="C103" s="231"/>
      <c r="D103" s="231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30"/>
      <c r="S103" s="239"/>
      <c r="T103" s="230"/>
      <c r="U103" s="230"/>
      <c r="V103" s="230"/>
      <c r="W103" s="230"/>
      <c r="X103" s="239"/>
      <c r="Y103" s="239"/>
      <c r="Z103" s="230"/>
      <c r="AA103" s="230"/>
      <c r="AB103" s="230"/>
      <c r="AC103" s="230"/>
      <c r="AD103" s="239"/>
    </row>
    <row r="104" spans="1:30" ht="20.100000000000001" customHeight="1" x14ac:dyDescent="0.25">
      <c r="A104" s="230"/>
      <c r="B104" s="231"/>
      <c r="C104" s="231"/>
      <c r="D104" s="231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30"/>
      <c r="S104" s="239"/>
      <c r="T104" s="230"/>
      <c r="U104" s="230"/>
      <c r="V104" s="230"/>
      <c r="W104" s="230"/>
      <c r="X104" s="239"/>
      <c r="Y104" s="239"/>
      <c r="Z104" s="230"/>
      <c r="AA104" s="230"/>
      <c r="AB104" s="230"/>
      <c r="AC104" s="230"/>
      <c r="AD104" s="239"/>
    </row>
    <row r="105" spans="1:30" ht="20.100000000000001" customHeight="1" x14ac:dyDescent="0.25">
      <c r="A105" s="230"/>
      <c r="B105" s="231"/>
      <c r="C105" s="231"/>
      <c r="D105" s="231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30"/>
      <c r="S105" s="239"/>
      <c r="T105" s="230"/>
      <c r="U105" s="230"/>
      <c r="V105" s="230"/>
      <c r="W105" s="230"/>
      <c r="X105" s="239"/>
      <c r="Y105" s="239"/>
      <c r="Z105" s="230"/>
      <c r="AA105" s="230"/>
      <c r="AB105" s="230"/>
      <c r="AC105" s="230"/>
      <c r="AD105" s="239"/>
    </row>
    <row r="106" spans="1:30" ht="20.100000000000001" customHeight="1" x14ac:dyDescent="0.25">
      <c r="A106" s="230"/>
      <c r="B106" s="231"/>
      <c r="C106" s="231"/>
      <c r="D106" s="231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30"/>
      <c r="S106" s="239"/>
      <c r="T106" s="230"/>
      <c r="U106" s="230"/>
      <c r="V106" s="230"/>
      <c r="W106" s="230"/>
      <c r="X106" s="239"/>
      <c r="Y106" s="239"/>
      <c r="Z106" s="230"/>
      <c r="AA106" s="230"/>
      <c r="AB106" s="230"/>
      <c r="AC106" s="230"/>
      <c r="AD106" s="239"/>
    </row>
    <row r="107" spans="1:30" ht="20.100000000000001" customHeight="1" x14ac:dyDescent="0.25">
      <c r="A107" s="230"/>
      <c r="B107" s="231"/>
      <c r="C107" s="231"/>
      <c r="D107" s="231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30"/>
      <c r="S107" s="239"/>
      <c r="T107" s="230"/>
      <c r="U107" s="230"/>
      <c r="V107" s="230"/>
      <c r="W107" s="230"/>
      <c r="X107" s="239"/>
      <c r="Y107" s="239"/>
      <c r="Z107" s="230"/>
      <c r="AA107" s="230"/>
      <c r="AB107" s="230"/>
      <c r="AC107" s="230"/>
      <c r="AD107" s="239"/>
    </row>
    <row r="108" spans="1:30" ht="20.100000000000001" customHeight="1" x14ac:dyDescent="0.25">
      <c r="A108" s="230"/>
      <c r="B108" s="231"/>
      <c r="C108" s="231"/>
      <c r="D108" s="231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30"/>
      <c r="S108" s="239"/>
      <c r="T108" s="230"/>
      <c r="U108" s="230"/>
      <c r="V108" s="230"/>
      <c r="W108" s="230"/>
      <c r="X108" s="239"/>
      <c r="Y108" s="239"/>
      <c r="Z108" s="230"/>
      <c r="AA108" s="230"/>
      <c r="AB108" s="230"/>
      <c r="AC108" s="230"/>
      <c r="AD108" s="239"/>
    </row>
    <row r="109" spans="1:30" ht="20.100000000000001" customHeight="1" x14ac:dyDescent="0.25">
      <c r="A109" s="230"/>
      <c r="B109" s="231"/>
      <c r="C109" s="231"/>
      <c r="D109" s="231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30"/>
      <c r="S109" s="239"/>
      <c r="T109" s="230"/>
      <c r="U109" s="230"/>
      <c r="V109" s="230"/>
      <c r="W109" s="230"/>
      <c r="X109" s="239"/>
      <c r="Y109" s="239"/>
      <c r="Z109" s="230"/>
      <c r="AA109" s="230"/>
      <c r="AB109" s="230"/>
      <c r="AC109" s="230"/>
      <c r="AD109" s="239"/>
    </row>
    <row r="110" spans="1:30" ht="20.100000000000001" customHeight="1" x14ac:dyDescent="0.25">
      <c r="A110" s="230"/>
      <c r="B110" s="231"/>
      <c r="C110" s="231"/>
      <c r="D110" s="231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30"/>
      <c r="S110" s="239"/>
      <c r="T110" s="230"/>
      <c r="U110" s="230"/>
      <c r="V110" s="230"/>
      <c r="W110" s="230"/>
      <c r="X110" s="239"/>
      <c r="Y110" s="239"/>
      <c r="Z110" s="230"/>
      <c r="AA110" s="230"/>
      <c r="AB110" s="230"/>
      <c r="AC110" s="230"/>
      <c r="AD110" s="239"/>
    </row>
    <row r="111" spans="1:30" ht="20.100000000000001" customHeight="1" x14ac:dyDescent="0.25">
      <c r="A111" s="230"/>
      <c r="B111" s="231"/>
      <c r="C111" s="231"/>
      <c r="D111" s="231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30"/>
      <c r="S111" s="239"/>
      <c r="T111" s="230"/>
      <c r="U111" s="230"/>
      <c r="V111" s="230"/>
      <c r="W111" s="230"/>
      <c r="X111" s="239"/>
      <c r="Y111" s="239"/>
      <c r="Z111" s="230"/>
      <c r="AA111" s="230"/>
      <c r="AB111" s="230"/>
      <c r="AC111" s="230"/>
      <c r="AD111" s="239"/>
    </row>
    <row r="112" spans="1:30" ht="20.100000000000001" customHeight="1" x14ac:dyDescent="0.25">
      <c r="A112" s="230"/>
      <c r="B112" s="231"/>
      <c r="C112" s="231"/>
      <c r="D112" s="231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30"/>
      <c r="S112" s="239"/>
      <c r="T112" s="230"/>
      <c r="U112" s="230"/>
      <c r="V112" s="230"/>
      <c r="W112" s="230"/>
      <c r="X112" s="239"/>
      <c r="Y112" s="239"/>
      <c r="Z112" s="230"/>
      <c r="AA112" s="230"/>
      <c r="AB112" s="230"/>
      <c r="AC112" s="230"/>
      <c r="AD112" s="239"/>
    </row>
    <row r="113" spans="1:30" ht="20.100000000000001" customHeight="1" x14ac:dyDescent="0.25">
      <c r="A113" s="230"/>
      <c r="B113" s="231"/>
      <c r="C113" s="231"/>
      <c r="D113" s="231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30"/>
      <c r="S113" s="239"/>
      <c r="T113" s="230"/>
      <c r="U113" s="230"/>
      <c r="V113" s="230"/>
      <c r="W113" s="230"/>
      <c r="X113" s="239"/>
      <c r="Y113" s="239"/>
      <c r="Z113" s="230"/>
      <c r="AA113" s="230"/>
      <c r="AB113" s="230"/>
      <c r="AC113" s="230"/>
      <c r="AD113" s="239"/>
    </row>
    <row r="114" spans="1:30" ht="20.100000000000001" customHeight="1" x14ac:dyDescent="0.25">
      <c r="A114" s="230"/>
      <c r="B114" s="231"/>
      <c r="C114" s="231"/>
      <c r="D114" s="231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30"/>
      <c r="S114" s="239"/>
      <c r="T114" s="230"/>
      <c r="U114" s="230"/>
      <c r="V114" s="230"/>
      <c r="W114" s="230"/>
      <c r="X114" s="239"/>
      <c r="Y114" s="239"/>
      <c r="Z114" s="230"/>
      <c r="AA114" s="230"/>
      <c r="AB114" s="230"/>
      <c r="AC114" s="230"/>
      <c r="AD114" s="239"/>
    </row>
    <row r="115" spans="1:30" ht="20.100000000000001" customHeight="1" x14ac:dyDescent="0.25">
      <c r="A115" s="230"/>
      <c r="B115" s="231"/>
      <c r="C115" s="231"/>
      <c r="D115" s="231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30"/>
      <c r="S115" s="239"/>
      <c r="T115" s="230"/>
      <c r="U115" s="230"/>
      <c r="V115" s="230"/>
      <c r="W115" s="230"/>
      <c r="X115" s="239"/>
      <c r="Y115" s="239"/>
      <c r="Z115" s="230"/>
      <c r="AA115" s="230"/>
      <c r="AB115" s="230"/>
      <c r="AC115" s="230"/>
      <c r="AD115" s="239"/>
    </row>
    <row r="116" spans="1:30" ht="20.100000000000001" customHeight="1" x14ac:dyDescent="0.25">
      <c r="A116" s="230"/>
      <c r="B116" s="231"/>
      <c r="C116" s="231"/>
      <c r="D116" s="231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30"/>
      <c r="S116" s="239"/>
      <c r="T116" s="230"/>
      <c r="U116" s="230"/>
      <c r="V116" s="230"/>
      <c r="W116" s="230"/>
      <c r="X116" s="239"/>
      <c r="Y116" s="239"/>
      <c r="Z116" s="230"/>
      <c r="AA116" s="230"/>
      <c r="AB116" s="230"/>
      <c r="AC116" s="230"/>
      <c r="AD116" s="239"/>
    </row>
    <row r="117" spans="1:30" ht="20.100000000000001" customHeight="1" x14ac:dyDescent="0.25">
      <c r="A117" s="230"/>
      <c r="B117" s="231"/>
      <c r="C117" s="231"/>
      <c r="D117" s="231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30"/>
      <c r="S117" s="239"/>
      <c r="T117" s="230"/>
      <c r="U117" s="230"/>
      <c r="V117" s="230"/>
      <c r="W117" s="230"/>
      <c r="X117" s="239"/>
      <c r="Y117" s="239"/>
      <c r="Z117" s="230"/>
      <c r="AA117" s="230"/>
      <c r="AB117" s="230"/>
      <c r="AC117" s="230"/>
      <c r="AD117" s="239"/>
    </row>
    <row r="118" spans="1:30" ht="20.100000000000001" customHeight="1" x14ac:dyDescent="0.25">
      <c r="A118" s="230"/>
      <c r="B118" s="231"/>
      <c r="C118" s="231"/>
      <c r="D118" s="231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30"/>
      <c r="S118" s="239"/>
      <c r="T118" s="230"/>
      <c r="U118" s="230"/>
      <c r="V118" s="230"/>
      <c r="W118" s="230"/>
      <c r="X118" s="239"/>
      <c r="Y118" s="239"/>
      <c r="Z118" s="230"/>
      <c r="AA118" s="230"/>
      <c r="AB118" s="230"/>
      <c r="AC118" s="230"/>
      <c r="AD118" s="239"/>
    </row>
    <row r="119" spans="1:30" ht="20.100000000000001" customHeight="1" x14ac:dyDescent="0.25">
      <c r="A119" s="230"/>
      <c r="B119" s="231"/>
      <c r="C119" s="231"/>
      <c r="D119" s="231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30"/>
      <c r="S119" s="239"/>
      <c r="T119" s="230"/>
      <c r="U119" s="230"/>
      <c r="V119" s="230"/>
      <c r="W119" s="230"/>
      <c r="X119" s="239"/>
      <c r="Y119" s="239"/>
      <c r="Z119" s="230"/>
      <c r="AA119" s="230"/>
      <c r="AB119" s="230"/>
      <c r="AC119" s="230"/>
      <c r="AD119" s="239"/>
    </row>
    <row r="120" spans="1:30" ht="20.100000000000001" customHeight="1" x14ac:dyDescent="0.25">
      <c r="A120" s="230"/>
      <c r="B120" s="231"/>
      <c r="C120" s="231"/>
      <c r="D120" s="231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30"/>
      <c r="S120" s="239"/>
      <c r="T120" s="230"/>
      <c r="U120" s="230"/>
      <c r="V120" s="230"/>
      <c r="W120" s="230"/>
      <c r="X120" s="239"/>
      <c r="Y120" s="239"/>
      <c r="Z120" s="230"/>
      <c r="AA120" s="230"/>
      <c r="AB120" s="230"/>
      <c r="AC120" s="230"/>
      <c r="AD120" s="239"/>
    </row>
    <row r="121" spans="1:30" ht="20.100000000000001" customHeight="1" x14ac:dyDescent="0.25">
      <c r="A121" s="230"/>
      <c r="B121" s="231"/>
      <c r="C121" s="231"/>
      <c r="D121" s="231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30"/>
      <c r="S121" s="239"/>
      <c r="T121" s="230"/>
      <c r="U121" s="230"/>
      <c r="V121" s="230"/>
      <c r="W121" s="230"/>
      <c r="X121" s="239"/>
      <c r="Y121" s="239"/>
      <c r="Z121" s="230"/>
      <c r="AA121" s="230"/>
      <c r="AB121" s="230"/>
      <c r="AC121" s="230"/>
      <c r="AD121" s="239"/>
    </row>
    <row r="122" spans="1:30" ht="20.100000000000001" customHeight="1" x14ac:dyDescent="0.25">
      <c r="A122" s="230"/>
      <c r="B122" s="231"/>
      <c r="C122" s="231"/>
      <c r="D122" s="231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30"/>
      <c r="S122" s="239"/>
      <c r="T122" s="230"/>
      <c r="U122" s="230"/>
      <c r="V122" s="230"/>
      <c r="W122" s="230"/>
      <c r="X122" s="239"/>
      <c r="Y122" s="239"/>
      <c r="Z122" s="230"/>
      <c r="AA122" s="230"/>
      <c r="AB122" s="230"/>
      <c r="AC122" s="230"/>
      <c r="AD122" s="239"/>
    </row>
    <row r="123" spans="1:30" ht="20.100000000000001" customHeight="1" x14ac:dyDescent="0.25">
      <c r="A123" s="230"/>
      <c r="B123" s="231"/>
      <c r="C123" s="231"/>
      <c r="D123" s="231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30"/>
      <c r="S123" s="239"/>
      <c r="T123" s="230"/>
      <c r="U123" s="230"/>
      <c r="V123" s="230"/>
      <c r="W123" s="230"/>
      <c r="X123" s="239"/>
      <c r="Y123" s="239"/>
      <c r="Z123" s="230"/>
      <c r="AA123" s="230"/>
      <c r="AB123" s="230"/>
      <c r="AC123" s="230"/>
      <c r="AD123" s="239"/>
    </row>
    <row r="124" spans="1:30" ht="20.100000000000001" customHeight="1" x14ac:dyDescent="0.25">
      <c r="A124" s="230"/>
      <c r="B124" s="231"/>
      <c r="C124" s="231"/>
      <c r="D124" s="231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30"/>
      <c r="S124" s="239"/>
      <c r="T124" s="230"/>
      <c r="U124" s="230"/>
      <c r="V124" s="230"/>
      <c r="W124" s="230"/>
      <c r="X124" s="239"/>
      <c r="Y124" s="239"/>
      <c r="Z124" s="230"/>
      <c r="AA124" s="230"/>
      <c r="AB124" s="230"/>
      <c r="AC124" s="230"/>
      <c r="AD124" s="239"/>
    </row>
    <row r="125" spans="1:30" ht="20.100000000000001" customHeight="1" x14ac:dyDescent="0.25">
      <c r="A125" s="230"/>
      <c r="B125" s="231"/>
      <c r="C125" s="231"/>
      <c r="D125" s="231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30"/>
      <c r="S125" s="239"/>
      <c r="T125" s="230"/>
      <c r="U125" s="230"/>
      <c r="V125" s="230"/>
      <c r="W125" s="230"/>
      <c r="X125" s="239"/>
      <c r="Y125" s="239"/>
      <c r="Z125" s="230"/>
      <c r="AA125" s="230"/>
      <c r="AB125" s="230"/>
      <c r="AC125" s="230"/>
      <c r="AD125" s="239"/>
    </row>
    <row r="126" spans="1:30" ht="20.100000000000001" customHeight="1" x14ac:dyDescent="0.25">
      <c r="A126" s="230"/>
      <c r="B126" s="231"/>
      <c r="C126" s="231"/>
      <c r="D126" s="231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30"/>
      <c r="S126" s="239"/>
      <c r="T126" s="230"/>
      <c r="U126" s="230"/>
      <c r="V126" s="230"/>
      <c r="W126" s="230"/>
      <c r="X126" s="239"/>
      <c r="Y126" s="239"/>
      <c r="Z126" s="230"/>
      <c r="AA126" s="230"/>
      <c r="AB126" s="230"/>
      <c r="AC126" s="230"/>
      <c r="AD126" s="239"/>
    </row>
    <row r="127" spans="1:30" ht="20.100000000000001" customHeight="1" x14ac:dyDescent="0.25">
      <c r="A127" s="230"/>
      <c r="B127" s="231"/>
      <c r="C127" s="231"/>
      <c r="D127" s="231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30"/>
      <c r="S127" s="239"/>
      <c r="T127" s="230"/>
      <c r="U127" s="230"/>
      <c r="V127" s="230"/>
      <c r="W127" s="230"/>
      <c r="X127" s="239"/>
      <c r="Y127" s="239"/>
      <c r="Z127" s="230"/>
      <c r="AA127" s="230"/>
      <c r="AB127" s="230"/>
      <c r="AC127" s="230"/>
      <c r="AD127" s="239"/>
    </row>
    <row r="128" spans="1:30" ht="20.100000000000001" customHeight="1" x14ac:dyDescent="0.25">
      <c r="A128" s="230"/>
      <c r="B128" s="231"/>
      <c r="C128" s="231"/>
      <c r="D128" s="231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30"/>
      <c r="S128" s="239"/>
      <c r="T128" s="230"/>
      <c r="U128" s="230"/>
      <c r="V128" s="230"/>
      <c r="W128" s="230"/>
      <c r="X128" s="239"/>
      <c r="Y128" s="239"/>
      <c r="Z128" s="230"/>
      <c r="AA128" s="230"/>
      <c r="AB128" s="230"/>
      <c r="AC128" s="230"/>
      <c r="AD128" s="239"/>
    </row>
    <row r="129" spans="1:30" ht="20.100000000000001" customHeight="1" x14ac:dyDescent="0.25">
      <c r="A129" s="230"/>
      <c r="B129" s="231"/>
      <c r="C129" s="231"/>
      <c r="D129" s="231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30"/>
      <c r="S129" s="239"/>
      <c r="T129" s="230"/>
      <c r="U129" s="230"/>
      <c r="V129" s="230"/>
      <c r="W129" s="230"/>
      <c r="X129" s="239"/>
      <c r="Y129" s="239"/>
      <c r="Z129" s="230"/>
      <c r="AA129" s="230"/>
      <c r="AB129" s="230"/>
      <c r="AC129" s="230"/>
      <c r="AD129" s="239"/>
    </row>
    <row r="130" spans="1:30" ht="20.100000000000001" customHeight="1" x14ac:dyDescent="0.25">
      <c r="A130" s="230"/>
      <c r="B130" s="231"/>
      <c r="C130" s="231"/>
      <c r="D130" s="231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30"/>
      <c r="S130" s="239"/>
      <c r="T130" s="230"/>
      <c r="U130" s="230"/>
      <c r="V130" s="230"/>
      <c r="W130" s="230"/>
      <c r="X130" s="239"/>
      <c r="Y130" s="239"/>
      <c r="Z130" s="230"/>
      <c r="AA130" s="230"/>
      <c r="AB130" s="230"/>
      <c r="AC130" s="230"/>
      <c r="AD130" s="239"/>
    </row>
    <row r="131" spans="1:30" ht="20.100000000000001" customHeight="1" x14ac:dyDescent="0.25">
      <c r="A131" s="230"/>
      <c r="B131" s="231"/>
      <c r="C131" s="231"/>
      <c r="D131" s="231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30"/>
      <c r="S131" s="239"/>
      <c r="T131" s="230"/>
      <c r="U131" s="230"/>
      <c r="V131" s="230"/>
      <c r="W131" s="230"/>
      <c r="X131" s="239"/>
      <c r="Y131" s="239"/>
      <c r="Z131" s="230"/>
      <c r="AA131" s="230"/>
      <c r="AB131" s="230"/>
      <c r="AC131" s="230"/>
      <c r="AD131" s="239"/>
    </row>
    <row r="132" spans="1:30" ht="20.100000000000001" customHeight="1" x14ac:dyDescent="0.25">
      <c r="A132" s="230"/>
      <c r="B132" s="231"/>
      <c r="C132" s="231"/>
      <c r="D132" s="231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30"/>
      <c r="S132" s="239"/>
      <c r="T132" s="230"/>
      <c r="U132" s="230"/>
      <c r="V132" s="230"/>
      <c r="W132" s="230"/>
      <c r="X132" s="239"/>
      <c r="Y132" s="239"/>
      <c r="Z132" s="230"/>
      <c r="AA132" s="230"/>
      <c r="AB132" s="230"/>
      <c r="AC132" s="230"/>
      <c r="AD132" s="239"/>
    </row>
    <row r="133" spans="1:30" ht="20.100000000000001" customHeight="1" x14ac:dyDescent="0.25">
      <c r="A133" s="230"/>
      <c r="B133" s="231"/>
      <c r="C133" s="231"/>
      <c r="D133" s="231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30"/>
      <c r="S133" s="239"/>
      <c r="T133" s="230"/>
      <c r="U133" s="230"/>
      <c r="V133" s="230"/>
      <c r="W133" s="230"/>
      <c r="X133" s="239"/>
      <c r="Y133" s="239"/>
      <c r="Z133" s="230"/>
      <c r="AA133" s="230"/>
      <c r="AB133" s="230"/>
      <c r="AC133" s="230"/>
      <c r="AD133" s="239"/>
    </row>
    <row r="134" spans="1:30" ht="20.100000000000001" customHeight="1" x14ac:dyDescent="0.25">
      <c r="A134" s="230"/>
      <c r="B134" s="231"/>
      <c r="C134" s="231"/>
      <c r="D134" s="231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30"/>
      <c r="S134" s="239"/>
      <c r="T134" s="230"/>
      <c r="U134" s="230"/>
      <c r="V134" s="230"/>
      <c r="W134" s="230"/>
      <c r="X134" s="239"/>
      <c r="Y134" s="239"/>
      <c r="Z134" s="230"/>
      <c r="AA134" s="230"/>
      <c r="AB134" s="230"/>
      <c r="AC134" s="230"/>
      <c r="AD134" s="239"/>
    </row>
    <row r="135" spans="1:30" ht="20.100000000000001" customHeight="1" x14ac:dyDescent="0.25">
      <c r="A135" s="230"/>
      <c r="B135" s="231"/>
      <c r="C135" s="231"/>
      <c r="D135" s="231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30"/>
      <c r="S135" s="239"/>
      <c r="T135" s="230"/>
      <c r="U135" s="230"/>
      <c r="V135" s="230"/>
      <c r="W135" s="230"/>
      <c r="X135" s="239"/>
      <c r="Y135" s="239"/>
      <c r="Z135" s="230"/>
      <c r="AA135" s="230"/>
      <c r="AB135" s="230"/>
      <c r="AC135" s="230"/>
      <c r="AD135" s="239"/>
    </row>
    <row r="136" spans="1:30" ht="20.100000000000001" customHeight="1" x14ac:dyDescent="0.25">
      <c r="A136" s="230"/>
      <c r="B136" s="231"/>
      <c r="C136" s="231"/>
      <c r="D136" s="231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30"/>
      <c r="S136" s="239"/>
      <c r="T136" s="230"/>
      <c r="U136" s="230"/>
      <c r="V136" s="230"/>
      <c r="W136" s="230"/>
      <c r="X136" s="239"/>
      <c r="Y136" s="239"/>
      <c r="Z136" s="230"/>
      <c r="AA136" s="230"/>
      <c r="AB136" s="230"/>
      <c r="AC136" s="230"/>
      <c r="AD136" s="239"/>
    </row>
    <row r="137" spans="1:30" ht="20.100000000000001" customHeight="1" x14ac:dyDescent="0.25">
      <c r="A137" s="230"/>
      <c r="B137" s="231"/>
      <c r="C137" s="231"/>
      <c r="D137" s="231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30"/>
      <c r="S137" s="239"/>
      <c r="T137" s="230"/>
      <c r="U137" s="230"/>
      <c r="V137" s="230"/>
      <c r="W137" s="230"/>
      <c r="X137" s="239"/>
      <c r="Y137" s="239"/>
      <c r="Z137" s="230"/>
      <c r="AA137" s="230"/>
      <c r="AB137" s="230"/>
      <c r="AC137" s="230"/>
      <c r="AD137" s="239"/>
    </row>
    <row r="138" spans="1:30" ht="20.100000000000001" customHeight="1" x14ac:dyDescent="0.25">
      <c r="A138" s="230"/>
      <c r="B138" s="231"/>
      <c r="C138" s="231"/>
      <c r="D138" s="231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30"/>
      <c r="S138" s="239"/>
      <c r="T138" s="230"/>
      <c r="U138" s="230"/>
      <c r="V138" s="230"/>
      <c r="W138" s="230"/>
      <c r="X138" s="239"/>
      <c r="Y138" s="239"/>
      <c r="Z138" s="230"/>
      <c r="AA138" s="230"/>
      <c r="AB138" s="230"/>
      <c r="AC138" s="230"/>
      <c r="AD138" s="239"/>
    </row>
    <row r="139" spans="1:30" ht="20.100000000000001" customHeight="1" x14ac:dyDescent="0.25">
      <c r="A139" s="230"/>
      <c r="B139" s="231"/>
      <c r="C139" s="231"/>
      <c r="D139" s="231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30"/>
      <c r="S139" s="239"/>
      <c r="T139" s="230"/>
      <c r="U139" s="230"/>
      <c r="V139" s="230"/>
      <c r="W139" s="230"/>
      <c r="X139" s="239"/>
      <c r="Y139" s="239"/>
      <c r="Z139" s="230"/>
      <c r="AA139" s="230"/>
      <c r="AB139" s="230"/>
      <c r="AC139" s="230"/>
      <c r="AD139" s="239"/>
    </row>
    <row r="140" spans="1:30" ht="20.100000000000001" customHeight="1" x14ac:dyDescent="0.25">
      <c r="A140" s="230"/>
      <c r="B140" s="231"/>
      <c r="C140" s="231"/>
      <c r="D140" s="231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30"/>
      <c r="S140" s="239"/>
      <c r="T140" s="230"/>
      <c r="U140" s="230"/>
      <c r="V140" s="230"/>
      <c r="W140" s="230"/>
      <c r="X140" s="239"/>
      <c r="Y140" s="239"/>
      <c r="Z140" s="230"/>
      <c r="AA140" s="230"/>
      <c r="AB140" s="230"/>
      <c r="AC140" s="230"/>
      <c r="AD140" s="239"/>
    </row>
    <row r="141" spans="1:30" ht="20.100000000000001" customHeight="1" x14ac:dyDescent="0.25">
      <c r="A141" s="230"/>
      <c r="B141" s="231"/>
      <c r="C141" s="231"/>
      <c r="D141" s="231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30"/>
      <c r="S141" s="239"/>
      <c r="T141" s="230"/>
      <c r="U141" s="230"/>
      <c r="V141" s="230"/>
      <c r="W141" s="230"/>
      <c r="X141" s="239"/>
      <c r="Y141" s="239"/>
      <c r="Z141" s="230"/>
      <c r="AA141" s="230"/>
      <c r="AB141" s="230"/>
      <c r="AC141" s="230"/>
      <c r="AD141" s="239"/>
    </row>
    <row r="142" spans="1:30" ht="20.100000000000001" customHeight="1" x14ac:dyDescent="0.25">
      <c r="A142" s="230"/>
      <c r="B142" s="231"/>
      <c r="C142" s="231"/>
      <c r="D142" s="231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30"/>
      <c r="S142" s="239"/>
      <c r="T142" s="230"/>
      <c r="U142" s="230"/>
      <c r="V142" s="230"/>
      <c r="W142" s="230"/>
      <c r="X142" s="239"/>
      <c r="Y142" s="239"/>
      <c r="Z142" s="230"/>
      <c r="AA142" s="230"/>
      <c r="AB142" s="230"/>
      <c r="AC142" s="230"/>
      <c r="AD142" s="239"/>
    </row>
    <row r="143" spans="1:30" ht="20.100000000000001" customHeight="1" x14ac:dyDescent="0.25">
      <c r="A143" s="230"/>
      <c r="B143" s="231"/>
      <c r="C143" s="231"/>
      <c r="D143" s="231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30"/>
      <c r="S143" s="239"/>
      <c r="T143" s="230"/>
      <c r="U143" s="230"/>
      <c r="V143" s="230"/>
      <c r="W143" s="230"/>
      <c r="X143" s="239"/>
      <c r="Y143" s="239"/>
      <c r="Z143" s="230"/>
      <c r="AA143" s="230"/>
      <c r="AB143" s="230"/>
      <c r="AC143" s="230"/>
      <c r="AD143" s="239"/>
    </row>
    <row r="144" spans="1:30" ht="20.100000000000001" customHeight="1" x14ac:dyDescent="0.25">
      <c r="A144" s="230"/>
      <c r="B144" s="231"/>
      <c r="C144" s="231"/>
      <c r="D144" s="231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30"/>
      <c r="S144" s="239"/>
      <c r="T144" s="230"/>
      <c r="U144" s="230"/>
      <c r="V144" s="230"/>
      <c r="W144" s="230"/>
      <c r="X144" s="239"/>
      <c r="Y144" s="239"/>
      <c r="Z144" s="230"/>
      <c r="AA144" s="230"/>
      <c r="AB144" s="230"/>
      <c r="AC144" s="230"/>
      <c r="AD144" s="239"/>
    </row>
    <row r="145" spans="1:30" ht="20.100000000000001" customHeight="1" x14ac:dyDescent="0.25">
      <c r="A145" s="230"/>
      <c r="B145" s="231"/>
      <c r="C145" s="231"/>
      <c r="D145" s="231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30"/>
      <c r="S145" s="239"/>
      <c r="T145" s="230"/>
      <c r="U145" s="230"/>
      <c r="V145" s="230"/>
      <c r="W145" s="230"/>
      <c r="X145" s="239"/>
      <c r="Y145" s="239"/>
      <c r="Z145" s="230"/>
      <c r="AA145" s="230"/>
      <c r="AB145" s="230"/>
      <c r="AC145" s="230"/>
      <c r="AD145" s="239"/>
    </row>
    <row r="146" spans="1:30" ht="20.100000000000001" customHeight="1" x14ac:dyDescent="0.25">
      <c r="A146" s="230"/>
      <c r="B146" s="231"/>
      <c r="C146" s="231"/>
      <c r="D146" s="231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30"/>
      <c r="S146" s="239"/>
      <c r="T146" s="230"/>
      <c r="U146" s="230"/>
      <c r="V146" s="230"/>
      <c r="W146" s="230"/>
      <c r="X146" s="239"/>
      <c r="Y146" s="239"/>
      <c r="Z146" s="230"/>
      <c r="AA146" s="230"/>
      <c r="AB146" s="230"/>
      <c r="AC146" s="230"/>
      <c r="AD146" s="239"/>
    </row>
    <row r="147" spans="1:30" ht="20.100000000000001" customHeight="1" x14ac:dyDescent="0.25">
      <c r="A147" s="230"/>
      <c r="B147" s="231"/>
      <c r="C147" s="231"/>
      <c r="D147" s="231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30"/>
      <c r="S147" s="239"/>
      <c r="T147" s="230"/>
      <c r="U147" s="230"/>
      <c r="V147" s="230"/>
      <c r="W147" s="230"/>
      <c r="X147" s="239"/>
      <c r="Y147" s="239"/>
      <c r="Z147" s="230"/>
      <c r="AA147" s="230"/>
      <c r="AB147" s="230"/>
      <c r="AC147" s="230"/>
      <c r="AD147" s="239"/>
    </row>
    <row r="148" spans="1:30" ht="20.100000000000001" customHeight="1" x14ac:dyDescent="0.25">
      <c r="A148" s="230"/>
      <c r="B148" s="231"/>
      <c r="C148" s="231"/>
      <c r="D148" s="231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30"/>
      <c r="S148" s="239"/>
      <c r="T148" s="230"/>
      <c r="U148" s="230"/>
      <c r="V148" s="230"/>
      <c r="W148" s="230"/>
      <c r="X148" s="239"/>
      <c r="Y148" s="239"/>
      <c r="Z148" s="230"/>
      <c r="AA148" s="230"/>
      <c r="AB148" s="230"/>
      <c r="AC148" s="230"/>
      <c r="AD148" s="239"/>
    </row>
    <row r="149" spans="1:30" ht="20.100000000000001" customHeight="1" x14ac:dyDescent="0.25">
      <c r="A149" s="230"/>
      <c r="B149" s="231"/>
      <c r="C149" s="231"/>
      <c r="D149" s="231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30"/>
      <c r="S149" s="239"/>
      <c r="T149" s="230"/>
      <c r="U149" s="230"/>
      <c r="V149" s="230"/>
      <c r="W149" s="230"/>
      <c r="X149" s="239"/>
      <c r="Y149" s="239"/>
      <c r="Z149" s="230"/>
      <c r="AA149" s="230"/>
      <c r="AB149" s="230"/>
      <c r="AC149" s="230"/>
      <c r="AD149" s="239"/>
    </row>
    <row r="150" spans="1:30" ht="20.100000000000001" customHeight="1" x14ac:dyDescent="0.25">
      <c r="A150" s="230"/>
      <c r="B150" s="231"/>
      <c r="C150" s="231"/>
      <c r="D150" s="231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30"/>
      <c r="S150" s="239"/>
      <c r="T150" s="230"/>
      <c r="U150" s="230"/>
      <c r="V150" s="230"/>
      <c r="W150" s="230"/>
      <c r="X150" s="239"/>
      <c r="Y150" s="239"/>
      <c r="Z150" s="230"/>
      <c r="AA150" s="230"/>
      <c r="AB150" s="230"/>
      <c r="AC150" s="230"/>
      <c r="AD150" s="239"/>
    </row>
    <row r="151" spans="1:30" ht="20.100000000000001" customHeight="1" x14ac:dyDescent="0.25">
      <c r="A151" s="230"/>
      <c r="B151" s="231"/>
      <c r="C151" s="231"/>
      <c r="D151" s="231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30"/>
      <c r="S151" s="239"/>
      <c r="T151" s="230"/>
      <c r="U151" s="230"/>
      <c r="V151" s="230"/>
      <c r="W151" s="230"/>
      <c r="X151" s="239"/>
      <c r="Y151" s="239"/>
      <c r="Z151" s="230"/>
      <c r="AA151" s="230"/>
      <c r="AB151" s="230"/>
      <c r="AC151" s="230"/>
      <c r="AD151" s="239"/>
    </row>
    <row r="152" spans="1:30" ht="20.100000000000001" customHeight="1" x14ac:dyDescent="0.25">
      <c r="A152" s="230"/>
      <c r="B152" s="231"/>
      <c r="C152" s="231"/>
      <c r="D152" s="231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30"/>
      <c r="S152" s="239"/>
      <c r="T152" s="230"/>
      <c r="U152" s="230"/>
      <c r="V152" s="230"/>
      <c r="W152" s="230"/>
      <c r="X152" s="239"/>
      <c r="Y152" s="239"/>
      <c r="Z152" s="230"/>
      <c r="AA152" s="230"/>
      <c r="AB152" s="230"/>
      <c r="AC152" s="230"/>
      <c r="AD152" s="239"/>
    </row>
    <row r="153" spans="1:30" ht="20.100000000000001" customHeight="1" x14ac:dyDescent="0.25">
      <c r="A153" s="230"/>
      <c r="B153" s="231"/>
      <c r="C153" s="231"/>
      <c r="D153" s="231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30"/>
      <c r="S153" s="239"/>
      <c r="T153" s="230"/>
      <c r="U153" s="230"/>
      <c r="V153" s="230"/>
      <c r="W153" s="230"/>
      <c r="X153" s="239"/>
      <c r="Y153" s="239"/>
      <c r="Z153" s="230"/>
      <c r="AA153" s="230"/>
      <c r="AB153" s="230"/>
      <c r="AC153" s="230"/>
      <c r="AD153" s="239"/>
    </row>
    <row r="154" spans="1:30" ht="20.100000000000001" customHeight="1" x14ac:dyDescent="0.25">
      <c r="A154" s="230"/>
      <c r="B154" s="231"/>
      <c r="C154" s="231"/>
      <c r="D154" s="231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30"/>
      <c r="S154" s="239"/>
      <c r="T154" s="230"/>
      <c r="U154" s="230"/>
      <c r="V154" s="230"/>
      <c r="W154" s="230"/>
      <c r="X154" s="239"/>
      <c r="Y154" s="239"/>
      <c r="Z154" s="230"/>
      <c r="AA154" s="230"/>
      <c r="AB154" s="230"/>
      <c r="AC154" s="230"/>
      <c r="AD154" s="239"/>
    </row>
    <row r="155" spans="1:30" ht="20.100000000000001" customHeight="1" x14ac:dyDescent="0.25">
      <c r="A155" s="230"/>
      <c r="B155" s="231"/>
      <c r="C155" s="231"/>
      <c r="D155" s="231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30"/>
      <c r="S155" s="239"/>
      <c r="T155" s="230"/>
      <c r="U155" s="230"/>
      <c r="V155" s="230"/>
      <c r="W155" s="230"/>
      <c r="X155" s="239"/>
      <c r="Y155" s="239"/>
      <c r="Z155" s="230"/>
      <c r="AA155" s="230"/>
      <c r="AB155" s="230"/>
      <c r="AC155" s="230"/>
      <c r="AD155" s="239"/>
    </row>
    <row r="156" spans="1:30" ht="20.100000000000001" customHeight="1" x14ac:dyDescent="0.25">
      <c r="A156" s="230"/>
      <c r="B156" s="231"/>
      <c r="C156" s="231"/>
      <c r="D156" s="231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30"/>
      <c r="S156" s="239"/>
      <c r="T156" s="230"/>
      <c r="U156" s="230"/>
      <c r="V156" s="230"/>
      <c r="W156" s="230"/>
      <c r="X156" s="239"/>
      <c r="Y156" s="239"/>
      <c r="Z156" s="230"/>
      <c r="AA156" s="230"/>
      <c r="AB156" s="230"/>
      <c r="AC156" s="230"/>
      <c r="AD156" s="239"/>
    </row>
    <row r="157" spans="1:30" ht="20.100000000000001" customHeight="1" x14ac:dyDescent="0.25">
      <c r="A157" s="230"/>
      <c r="B157" s="231"/>
      <c r="C157" s="231"/>
      <c r="D157" s="231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30"/>
      <c r="S157" s="239"/>
      <c r="T157" s="230"/>
      <c r="U157" s="230"/>
      <c r="V157" s="230"/>
      <c r="W157" s="230"/>
      <c r="X157" s="239"/>
      <c r="Y157" s="239"/>
      <c r="Z157" s="230"/>
      <c r="AA157" s="230"/>
      <c r="AB157" s="230"/>
      <c r="AC157" s="230"/>
      <c r="AD157" s="239"/>
    </row>
    <row r="158" spans="1:30" ht="20.100000000000001" customHeight="1" x14ac:dyDescent="0.25">
      <c r="A158" s="230"/>
      <c r="B158" s="231"/>
      <c r="C158" s="231"/>
      <c r="D158" s="231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30"/>
      <c r="S158" s="239"/>
      <c r="T158" s="230"/>
      <c r="U158" s="230"/>
      <c r="V158" s="230"/>
      <c r="W158" s="230"/>
      <c r="X158" s="239"/>
      <c r="Y158" s="239"/>
      <c r="Z158" s="230"/>
      <c r="AA158" s="230"/>
      <c r="AB158" s="230"/>
      <c r="AC158" s="230"/>
      <c r="AD158" s="239"/>
    </row>
    <row r="159" spans="1:30" ht="20.100000000000001" customHeight="1" x14ac:dyDescent="0.25">
      <c r="A159" s="230"/>
      <c r="B159" s="231"/>
      <c r="C159" s="231"/>
      <c r="D159" s="231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30"/>
      <c r="S159" s="239"/>
      <c r="T159" s="230"/>
      <c r="U159" s="230"/>
      <c r="V159" s="230"/>
      <c r="W159" s="230"/>
      <c r="X159" s="239"/>
      <c r="Y159" s="239"/>
      <c r="Z159" s="230"/>
      <c r="AA159" s="230"/>
      <c r="AB159" s="230"/>
      <c r="AC159" s="230"/>
      <c r="AD159" s="239"/>
    </row>
    <row r="160" spans="1:30" ht="20.100000000000001" customHeight="1" x14ac:dyDescent="0.25">
      <c r="A160" s="230"/>
      <c r="B160" s="231"/>
      <c r="C160" s="231"/>
      <c r="D160" s="231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30"/>
      <c r="S160" s="239"/>
      <c r="T160" s="230"/>
      <c r="U160" s="230"/>
      <c r="V160" s="230"/>
      <c r="W160" s="230"/>
      <c r="X160" s="239"/>
      <c r="Y160" s="239"/>
      <c r="Z160" s="230"/>
      <c r="AA160" s="230"/>
      <c r="AB160" s="230"/>
      <c r="AC160" s="230"/>
      <c r="AD160" s="239"/>
    </row>
    <row r="161" spans="1:30" ht="20.100000000000001" customHeight="1" x14ac:dyDescent="0.25">
      <c r="A161" s="230"/>
      <c r="B161" s="231"/>
      <c r="C161" s="231"/>
      <c r="D161" s="231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30"/>
      <c r="S161" s="239"/>
      <c r="T161" s="230"/>
      <c r="U161" s="230"/>
      <c r="V161" s="230"/>
      <c r="W161" s="230"/>
      <c r="X161" s="239"/>
      <c r="Y161" s="239"/>
      <c r="Z161" s="230"/>
      <c r="AA161" s="230"/>
      <c r="AB161" s="230"/>
      <c r="AC161" s="230"/>
      <c r="AD161" s="239"/>
    </row>
    <row r="162" spans="1:30" ht="20.100000000000001" customHeight="1" x14ac:dyDescent="0.25">
      <c r="A162" s="230"/>
      <c r="B162" s="231"/>
      <c r="C162" s="231"/>
      <c r="D162" s="231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30"/>
      <c r="S162" s="239"/>
      <c r="T162" s="230"/>
      <c r="U162" s="230"/>
      <c r="V162" s="230"/>
      <c r="W162" s="230"/>
      <c r="X162" s="239"/>
      <c r="Y162" s="239"/>
      <c r="Z162" s="230"/>
      <c r="AA162" s="230"/>
      <c r="AB162" s="230"/>
      <c r="AC162" s="230"/>
      <c r="AD162" s="239"/>
    </row>
    <row r="163" spans="1:30" ht="20.100000000000001" customHeight="1" x14ac:dyDescent="0.25">
      <c r="A163" s="230"/>
      <c r="B163" s="231"/>
      <c r="C163" s="231"/>
      <c r="D163" s="231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30"/>
      <c r="S163" s="239"/>
      <c r="T163" s="230"/>
      <c r="U163" s="230"/>
      <c r="V163" s="230"/>
      <c r="W163" s="230"/>
      <c r="X163" s="239"/>
      <c r="Y163" s="239"/>
      <c r="Z163" s="230"/>
      <c r="AA163" s="230"/>
      <c r="AB163" s="230"/>
      <c r="AC163" s="230"/>
      <c r="AD163" s="239"/>
    </row>
    <row r="164" spans="1:30" ht="20.100000000000001" customHeight="1" x14ac:dyDescent="0.25">
      <c r="A164" s="230"/>
      <c r="B164" s="231"/>
      <c r="C164" s="231"/>
      <c r="D164" s="231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30"/>
      <c r="S164" s="239"/>
      <c r="T164" s="230"/>
      <c r="U164" s="230"/>
      <c r="V164" s="230"/>
      <c r="W164" s="230"/>
      <c r="X164" s="239"/>
      <c r="Y164" s="239"/>
      <c r="Z164" s="230"/>
      <c r="AA164" s="230"/>
      <c r="AB164" s="230"/>
      <c r="AC164" s="230"/>
      <c r="AD164" s="239"/>
    </row>
    <row r="165" spans="1:30" ht="20.100000000000001" customHeight="1" x14ac:dyDescent="0.25">
      <c r="A165" s="230"/>
      <c r="B165" s="231"/>
      <c r="C165" s="231"/>
      <c r="D165" s="231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30"/>
      <c r="S165" s="239"/>
      <c r="T165" s="230"/>
      <c r="U165" s="230"/>
      <c r="V165" s="230"/>
      <c r="W165" s="230"/>
      <c r="X165" s="239"/>
      <c r="Y165" s="239"/>
      <c r="Z165" s="230"/>
      <c r="AA165" s="230"/>
      <c r="AB165" s="230"/>
      <c r="AC165" s="230"/>
      <c r="AD165" s="239"/>
    </row>
    <row r="166" spans="1:30" ht="20.100000000000001" customHeight="1" x14ac:dyDescent="0.25">
      <c r="A166" s="230"/>
      <c r="B166" s="231"/>
      <c r="C166" s="231"/>
      <c r="D166" s="231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30"/>
      <c r="S166" s="239"/>
      <c r="T166" s="230"/>
      <c r="U166" s="230"/>
      <c r="V166" s="230"/>
      <c r="W166" s="230"/>
      <c r="X166" s="239"/>
      <c r="Y166" s="239"/>
      <c r="Z166" s="230"/>
      <c r="AA166" s="230"/>
      <c r="AB166" s="230"/>
      <c r="AC166" s="230"/>
      <c r="AD166" s="239"/>
    </row>
    <row r="167" spans="1:30" ht="20.100000000000001" customHeight="1" x14ac:dyDescent="0.25">
      <c r="A167" s="230"/>
      <c r="B167" s="231"/>
      <c r="C167" s="231"/>
      <c r="D167" s="231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30"/>
      <c r="S167" s="239"/>
      <c r="T167" s="230"/>
      <c r="U167" s="230"/>
      <c r="V167" s="230"/>
      <c r="W167" s="230"/>
      <c r="X167" s="239"/>
      <c r="Y167" s="239"/>
      <c r="Z167" s="230"/>
      <c r="AA167" s="230"/>
      <c r="AB167" s="230"/>
      <c r="AC167" s="230"/>
      <c r="AD167" s="239"/>
    </row>
    <row r="168" spans="1:30" ht="20.100000000000001" customHeight="1" x14ac:dyDescent="0.25">
      <c r="A168" s="230"/>
      <c r="B168" s="231"/>
      <c r="C168" s="231"/>
      <c r="D168" s="231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30"/>
      <c r="S168" s="239"/>
      <c r="T168" s="230"/>
      <c r="U168" s="230"/>
      <c r="V168" s="230"/>
      <c r="W168" s="230"/>
      <c r="X168" s="239"/>
      <c r="Y168" s="239"/>
      <c r="Z168" s="230"/>
      <c r="AA168" s="230"/>
      <c r="AB168" s="230"/>
      <c r="AC168" s="230"/>
      <c r="AD168" s="239"/>
    </row>
    <row r="169" spans="1:30" ht="20.100000000000001" customHeight="1" x14ac:dyDescent="0.25">
      <c r="A169" s="230"/>
      <c r="B169" s="231"/>
      <c r="C169" s="231"/>
      <c r="D169" s="231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30"/>
      <c r="S169" s="239"/>
      <c r="T169" s="230"/>
      <c r="U169" s="230"/>
      <c r="V169" s="230"/>
      <c r="W169" s="230"/>
      <c r="X169" s="239"/>
      <c r="Y169" s="239"/>
      <c r="Z169" s="230"/>
      <c r="AA169" s="230"/>
      <c r="AB169" s="230"/>
      <c r="AC169" s="230"/>
      <c r="AD169" s="239"/>
    </row>
    <row r="170" spans="1:30" ht="20.100000000000001" customHeight="1" x14ac:dyDescent="0.25">
      <c r="A170" s="230"/>
      <c r="B170" s="231"/>
      <c r="C170" s="231"/>
      <c r="D170" s="231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30"/>
      <c r="S170" s="239"/>
      <c r="T170" s="230"/>
      <c r="U170" s="230"/>
      <c r="V170" s="230"/>
      <c r="W170" s="230"/>
      <c r="X170" s="239"/>
      <c r="Y170" s="239"/>
      <c r="Z170" s="230"/>
      <c r="AA170" s="230"/>
      <c r="AB170" s="230"/>
      <c r="AC170" s="230"/>
      <c r="AD170" s="239"/>
    </row>
    <row r="171" spans="1:30" ht="20.100000000000001" customHeight="1" x14ac:dyDescent="0.25">
      <c r="A171" s="230"/>
      <c r="B171" s="231"/>
      <c r="C171" s="231"/>
      <c r="D171" s="231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30"/>
      <c r="S171" s="239"/>
      <c r="T171" s="230"/>
      <c r="U171" s="230"/>
      <c r="V171" s="230"/>
      <c r="W171" s="230"/>
      <c r="X171" s="239"/>
      <c r="Y171" s="239"/>
      <c r="Z171" s="230"/>
      <c r="AA171" s="230"/>
      <c r="AB171" s="230"/>
      <c r="AC171" s="230"/>
      <c r="AD171" s="239"/>
    </row>
    <row r="172" spans="1:30" ht="20.100000000000001" customHeight="1" x14ac:dyDescent="0.25">
      <c r="A172" s="230"/>
      <c r="B172" s="231"/>
      <c r="C172" s="231"/>
      <c r="D172" s="231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30"/>
      <c r="S172" s="239"/>
      <c r="T172" s="230"/>
      <c r="U172" s="230"/>
      <c r="V172" s="230"/>
      <c r="W172" s="230"/>
      <c r="X172" s="239"/>
      <c r="Y172" s="239"/>
      <c r="Z172" s="230"/>
      <c r="AA172" s="230"/>
      <c r="AB172" s="230"/>
      <c r="AC172" s="230"/>
      <c r="AD172" s="239"/>
    </row>
    <row r="173" spans="1:30" ht="20.100000000000001" customHeight="1" x14ac:dyDescent="0.25">
      <c r="A173" s="230"/>
      <c r="B173" s="231"/>
      <c r="C173" s="231"/>
      <c r="D173" s="231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30"/>
      <c r="S173" s="239"/>
      <c r="T173" s="230"/>
      <c r="U173" s="230"/>
      <c r="V173" s="230"/>
      <c r="W173" s="230"/>
      <c r="X173" s="239"/>
      <c r="Y173" s="239"/>
      <c r="Z173" s="230"/>
      <c r="AA173" s="230"/>
      <c r="AB173" s="230"/>
      <c r="AC173" s="230"/>
      <c r="AD173" s="239"/>
    </row>
    <row r="174" spans="1:30" ht="20.100000000000001" customHeight="1" x14ac:dyDescent="0.25">
      <c r="A174" s="230"/>
      <c r="B174" s="231"/>
      <c r="C174" s="231"/>
      <c r="D174" s="231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30"/>
      <c r="S174" s="239"/>
      <c r="T174" s="230"/>
      <c r="U174" s="230"/>
      <c r="V174" s="230"/>
      <c r="W174" s="230"/>
      <c r="X174" s="239"/>
      <c r="Y174" s="239"/>
      <c r="Z174" s="230"/>
      <c r="AA174" s="230"/>
      <c r="AB174" s="230"/>
      <c r="AC174" s="230"/>
      <c r="AD174" s="239"/>
    </row>
    <row r="175" spans="1:30" ht="20.100000000000001" customHeight="1" x14ac:dyDescent="0.25">
      <c r="A175" s="230"/>
      <c r="B175" s="231"/>
      <c r="C175" s="231"/>
      <c r="D175" s="231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30"/>
      <c r="S175" s="239"/>
      <c r="T175" s="230"/>
      <c r="U175" s="230"/>
      <c r="V175" s="230"/>
      <c r="W175" s="230"/>
      <c r="X175" s="239"/>
      <c r="Y175" s="239"/>
      <c r="Z175" s="230"/>
      <c r="AA175" s="230"/>
      <c r="AB175" s="230"/>
      <c r="AC175" s="230"/>
      <c r="AD175" s="239"/>
    </row>
    <row r="176" spans="1:30" ht="20.100000000000001" customHeight="1" x14ac:dyDescent="0.25">
      <c r="A176" s="230"/>
      <c r="B176" s="231"/>
      <c r="C176" s="231"/>
      <c r="D176" s="231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30"/>
      <c r="S176" s="239"/>
      <c r="T176" s="230"/>
      <c r="U176" s="230"/>
      <c r="V176" s="230"/>
      <c r="W176" s="230"/>
      <c r="X176" s="239"/>
      <c r="Y176" s="239"/>
      <c r="Z176" s="230"/>
      <c r="AA176" s="230"/>
      <c r="AB176" s="230"/>
      <c r="AC176" s="230"/>
      <c r="AD176" s="239"/>
    </row>
    <row r="177" spans="1:30" ht="20.100000000000001" customHeight="1" x14ac:dyDescent="0.25">
      <c r="A177" s="230"/>
      <c r="B177" s="231"/>
      <c r="C177" s="231"/>
      <c r="D177" s="231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30"/>
      <c r="S177" s="239"/>
      <c r="T177" s="230"/>
      <c r="U177" s="230"/>
      <c r="V177" s="230"/>
      <c r="W177" s="230"/>
      <c r="X177" s="239"/>
      <c r="Y177" s="239"/>
      <c r="Z177" s="230"/>
      <c r="AA177" s="230"/>
      <c r="AB177" s="230"/>
      <c r="AC177" s="230"/>
      <c r="AD177" s="239"/>
    </row>
    <row r="178" spans="1:30" ht="20.100000000000001" customHeight="1" x14ac:dyDescent="0.25">
      <c r="A178" s="230"/>
      <c r="B178" s="231"/>
      <c r="C178" s="231"/>
      <c r="D178" s="231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30"/>
      <c r="S178" s="239"/>
      <c r="T178" s="230"/>
      <c r="U178" s="230"/>
      <c r="V178" s="230"/>
      <c r="W178" s="230"/>
      <c r="X178" s="239"/>
      <c r="Y178" s="239"/>
      <c r="Z178" s="230"/>
      <c r="AA178" s="230"/>
      <c r="AB178" s="230"/>
      <c r="AC178" s="230"/>
      <c r="AD178" s="239"/>
    </row>
    <row r="179" spans="1:30" ht="20.100000000000001" customHeight="1" x14ac:dyDescent="0.25">
      <c r="A179" s="230"/>
      <c r="B179" s="231"/>
      <c r="C179" s="231"/>
      <c r="D179" s="231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30"/>
      <c r="S179" s="239"/>
      <c r="T179" s="230"/>
      <c r="U179" s="230"/>
      <c r="V179" s="230"/>
      <c r="W179" s="230"/>
      <c r="X179" s="239"/>
      <c r="Y179" s="239"/>
      <c r="Z179" s="230"/>
      <c r="AA179" s="230"/>
      <c r="AB179" s="230"/>
      <c r="AC179" s="230"/>
      <c r="AD179" s="239"/>
    </row>
    <row r="180" spans="1:30" ht="20.100000000000001" customHeight="1" x14ac:dyDescent="0.25">
      <c r="A180" s="230"/>
      <c r="B180" s="231"/>
      <c r="C180" s="231"/>
      <c r="D180" s="231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30"/>
      <c r="S180" s="239"/>
      <c r="T180" s="230"/>
      <c r="U180" s="230"/>
      <c r="V180" s="230"/>
      <c r="W180" s="230"/>
      <c r="X180" s="239"/>
      <c r="Y180" s="239"/>
      <c r="Z180" s="230"/>
      <c r="AA180" s="230"/>
      <c r="AB180" s="230"/>
      <c r="AC180" s="230"/>
      <c r="AD180" s="239"/>
    </row>
    <row r="181" spans="1:30" ht="20.100000000000001" customHeight="1" x14ac:dyDescent="0.25">
      <c r="A181" s="230"/>
      <c r="B181" s="231"/>
      <c r="C181" s="231"/>
      <c r="D181" s="231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30"/>
      <c r="S181" s="239"/>
      <c r="T181" s="230"/>
      <c r="U181" s="230"/>
      <c r="V181" s="230"/>
      <c r="W181" s="230"/>
      <c r="X181" s="239"/>
      <c r="Y181" s="239"/>
      <c r="Z181" s="230"/>
      <c r="AA181" s="230"/>
      <c r="AB181" s="230"/>
      <c r="AC181" s="230"/>
      <c r="AD181" s="239"/>
    </row>
    <row r="182" spans="1:30" ht="20.100000000000001" customHeight="1" x14ac:dyDescent="0.25">
      <c r="A182" s="230"/>
      <c r="B182" s="231"/>
      <c r="C182" s="231"/>
      <c r="D182" s="231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30"/>
      <c r="S182" s="239"/>
      <c r="T182" s="230"/>
      <c r="U182" s="230"/>
      <c r="V182" s="230"/>
      <c r="W182" s="230"/>
      <c r="X182" s="239"/>
      <c r="Y182" s="239"/>
      <c r="Z182" s="230"/>
      <c r="AA182" s="230"/>
      <c r="AB182" s="230"/>
      <c r="AC182" s="230"/>
      <c r="AD182" s="239"/>
    </row>
    <row r="183" spans="1:30" ht="20.100000000000001" customHeight="1" x14ac:dyDescent="0.25">
      <c r="A183" s="230"/>
      <c r="B183" s="231"/>
      <c r="C183" s="231"/>
      <c r="D183" s="231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30"/>
      <c r="S183" s="239"/>
      <c r="T183" s="230"/>
      <c r="U183" s="230"/>
      <c r="V183" s="230"/>
      <c r="W183" s="230"/>
      <c r="X183" s="239"/>
      <c r="Y183" s="239"/>
      <c r="Z183" s="230"/>
      <c r="AA183" s="230"/>
      <c r="AB183" s="230"/>
      <c r="AC183" s="230"/>
      <c r="AD183" s="239"/>
    </row>
    <row r="184" spans="1:30" ht="20.100000000000001" customHeight="1" x14ac:dyDescent="0.25">
      <c r="A184" s="230"/>
      <c r="B184" s="231"/>
      <c r="C184" s="231"/>
      <c r="D184" s="231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30"/>
      <c r="S184" s="239"/>
      <c r="T184" s="230"/>
      <c r="U184" s="230"/>
      <c r="V184" s="230"/>
      <c r="W184" s="230"/>
      <c r="X184" s="239"/>
      <c r="Y184" s="239"/>
      <c r="Z184" s="230"/>
      <c r="AA184" s="230"/>
      <c r="AB184" s="230"/>
      <c r="AC184" s="230"/>
      <c r="AD184" s="239"/>
    </row>
    <row r="185" spans="1:30" ht="20.100000000000001" customHeight="1" x14ac:dyDescent="0.25">
      <c r="A185" s="230"/>
      <c r="B185" s="231"/>
      <c r="C185" s="231"/>
      <c r="D185" s="231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30"/>
      <c r="S185" s="239"/>
      <c r="T185" s="230"/>
      <c r="U185" s="230"/>
      <c r="V185" s="230"/>
      <c r="W185" s="230"/>
      <c r="X185" s="239"/>
      <c r="Y185" s="239"/>
      <c r="Z185" s="230"/>
      <c r="AA185" s="230"/>
      <c r="AB185" s="230"/>
      <c r="AC185" s="230"/>
      <c r="AD185" s="239"/>
    </row>
    <row r="186" spans="1:30" ht="20.100000000000001" customHeight="1" x14ac:dyDescent="0.25">
      <c r="A186" s="230"/>
      <c r="B186" s="231"/>
      <c r="C186" s="231"/>
      <c r="D186" s="231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30"/>
      <c r="S186" s="239"/>
      <c r="T186" s="230"/>
      <c r="U186" s="230"/>
      <c r="V186" s="230"/>
      <c r="W186" s="230"/>
      <c r="X186" s="239"/>
      <c r="Y186" s="239"/>
      <c r="Z186" s="230"/>
      <c r="AA186" s="230"/>
      <c r="AB186" s="230"/>
      <c r="AC186" s="230"/>
      <c r="AD186" s="239"/>
    </row>
    <row r="187" spans="1:30" ht="20.100000000000001" customHeight="1" x14ac:dyDescent="0.25">
      <c r="A187" s="230"/>
      <c r="B187" s="231"/>
      <c r="C187" s="231"/>
      <c r="D187" s="231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30"/>
      <c r="S187" s="239"/>
      <c r="T187" s="230"/>
      <c r="U187" s="230"/>
      <c r="V187" s="230"/>
      <c r="W187" s="230"/>
      <c r="X187" s="239"/>
      <c r="Y187" s="239"/>
      <c r="Z187" s="230"/>
      <c r="AA187" s="230"/>
      <c r="AB187" s="230"/>
      <c r="AC187" s="230"/>
      <c r="AD187" s="239"/>
    </row>
    <row r="188" spans="1:30" ht="20.100000000000001" customHeight="1" x14ac:dyDescent="0.25">
      <c r="A188" s="230"/>
      <c r="B188" s="231"/>
      <c r="C188" s="231"/>
      <c r="D188" s="231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30"/>
      <c r="S188" s="239"/>
      <c r="T188" s="230"/>
      <c r="U188" s="230"/>
      <c r="V188" s="230"/>
      <c r="W188" s="230"/>
      <c r="X188" s="239"/>
      <c r="Y188" s="239"/>
      <c r="Z188" s="230"/>
      <c r="AA188" s="230"/>
      <c r="AB188" s="230"/>
      <c r="AC188" s="230"/>
      <c r="AD188" s="239"/>
    </row>
    <row r="189" spans="1:30" ht="20.100000000000001" customHeight="1" x14ac:dyDescent="0.25">
      <c r="A189" s="230"/>
      <c r="B189" s="231"/>
      <c r="C189" s="231"/>
      <c r="D189" s="231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30"/>
      <c r="S189" s="239"/>
      <c r="T189" s="230"/>
      <c r="U189" s="230"/>
      <c r="V189" s="230"/>
      <c r="W189" s="230"/>
      <c r="X189" s="239"/>
      <c r="Y189" s="239"/>
      <c r="Z189" s="230"/>
      <c r="AA189" s="230"/>
      <c r="AB189" s="230"/>
      <c r="AC189" s="230"/>
      <c r="AD189" s="239"/>
    </row>
    <row r="190" spans="1:30" ht="20.100000000000001" customHeight="1" x14ac:dyDescent="0.25">
      <c r="A190" s="230"/>
      <c r="B190" s="231"/>
      <c r="C190" s="231"/>
      <c r="D190" s="231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30"/>
      <c r="S190" s="239"/>
      <c r="T190" s="230"/>
      <c r="U190" s="230"/>
      <c r="V190" s="230"/>
      <c r="W190" s="230"/>
      <c r="X190" s="239"/>
      <c r="Y190" s="239"/>
      <c r="Z190" s="230"/>
      <c r="AA190" s="230"/>
      <c r="AB190" s="230"/>
      <c r="AC190" s="230"/>
      <c r="AD190" s="239"/>
    </row>
    <row r="191" spans="1:30" ht="20.100000000000001" customHeight="1" x14ac:dyDescent="0.25">
      <c r="A191" s="230"/>
      <c r="B191" s="231"/>
      <c r="C191" s="231"/>
      <c r="D191" s="231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30"/>
      <c r="S191" s="239"/>
      <c r="T191" s="230"/>
      <c r="U191" s="230"/>
      <c r="V191" s="230"/>
      <c r="W191" s="230"/>
      <c r="X191" s="239"/>
      <c r="Y191" s="239"/>
      <c r="Z191" s="230"/>
      <c r="AA191" s="230"/>
      <c r="AB191" s="230"/>
      <c r="AC191" s="230"/>
      <c r="AD191" s="239"/>
    </row>
    <row r="192" spans="1:30" ht="20.100000000000001" customHeight="1" x14ac:dyDescent="0.25">
      <c r="A192" s="230"/>
      <c r="B192" s="231"/>
      <c r="C192" s="231"/>
      <c r="D192" s="231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30"/>
      <c r="S192" s="239"/>
      <c r="T192" s="230"/>
      <c r="U192" s="230"/>
      <c r="V192" s="230"/>
      <c r="W192" s="230"/>
      <c r="X192" s="239"/>
      <c r="Y192" s="239"/>
      <c r="Z192" s="230"/>
      <c r="AA192" s="230"/>
      <c r="AB192" s="230"/>
      <c r="AC192" s="230"/>
      <c r="AD192" s="239"/>
    </row>
    <row r="193" spans="1:30" ht="20.100000000000001" customHeight="1" x14ac:dyDescent="0.25">
      <c r="A193" s="230"/>
      <c r="B193" s="231"/>
      <c r="C193" s="231"/>
      <c r="D193" s="231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30"/>
      <c r="S193" s="239"/>
      <c r="T193" s="230"/>
      <c r="U193" s="230"/>
      <c r="V193" s="230"/>
      <c r="W193" s="230"/>
      <c r="X193" s="239"/>
      <c r="Y193" s="239"/>
      <c r="Z193" s="230"/>
      <c r="AA193" s="230"/>
      <c r="AB193" s="230"/>
      <c r="AC193" s="230"/>
      <c r="AD193" s="239"/>
    </row>
    <row r="194" spans="1:30" ht="20.100000000000001" customHeight="1" x14ac:dyDescent="0.25">
      <c r="A194" s="230"/>
      <c r="B194" s="231"/>
      <c r="C194" s="231"/>
      <c r="D194" s="231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30"/>
      <c r="S194" s="239"/>
      <c r="T194" s="230"/>
      <c r="U194" s="230"/>
      <c r="V194" s="230"/>
      <c r="W194" s="230"/>
      <c r="X194" s="239"/>
      <c r="Y194" s="239"/>
      <c r="Z194" s="230"/>
      <c r="AA194" s="230"/>
      <c r="AB194" s="230"/>
      <c r="AC194" s="230"/>
      <c r="AD194" s="239"/>
    </row>
    <row r="195" spans="1:30" ht="20.100000000000001" customHeight="1" x14ac:dyDescent="0.25">
      <c r="A195" s="230"/>
      <c r="B195" s="231"/>
      <c r="C195" s="231"/>
      <c r="D195" s="231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30"/>
      <c r="S195" s="239"/>
      <c r="T195" s="230"/>
      <c r="U195" s="230"/>
      <c r="V195" s="230"/>
      <c r="W195" s="230"/>
      <c r="X195" s="239"/>
      <c r="Y195" s="239"/>
      <c r="Z195" s="230"/>
      <c r="AA195" s="230"/>
      <c r="AB195" s="230"/>
      <c r="AC195" s="230"/>
      <c r="AD195" s="239"/>
    </row>
    <row r="196" spans="1:30" ht="20.100000000000001" customHeight="1" x14ac:dyDescent="0.25">
      <c r="A196" s="230"/>
      <c r="B196" s="231"/>
      <c r="C196" s="231"/>
      <c r="D196" s="231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30"/>
      <c r="S196" s="239"/>
      <c r="T196" s="230"/>
      <c r="U196" s="230"/>
      <c r="V196" s="230"/>
      <c r="W196" s="230"/>
      <c r="X196" s="239"/>
      <c r="Y196" s="239"/>
      <c r="Z196" s="230"/>
      <c r="AA196" s="230"/>
      <c r="AB196" s="230"/>
      <c r="AC196" s="230"/>
      <c r="AD196" s="239"/>
    </row>
    <row r="197" spans="1:30" ht="20.100000000000001" customHeight="1" x14ac:dyDescent="0.25">
      <c r="A197" s="230"/>
      <c r="B197" s="231"/>
      <c r="C197" s="231"/>
      <c r="D197" s="231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30"/>
      <c r="S197" s="239"/>
      <c r="T197" s="230"/>
      <c r="U197" s="230"/>
      <c r="V197" s="230"/>
      <c r="W197" s="230"/>
      <c r="X197" s="239"/>
      <c r="Y197" s="239"/>
      <c r="Z197" s="230"/>
      <c r="AA197" s="230"/>
      <c r="AB197" s="230"/>
      <c r="AC197" s="230"/>
      <c r="AD197" s="239"/>
    </row>
    <row r="198" spans="1:30" ht="20.100000000000001" customHeight="1" x14ac:dyDescent="0.25">
      <c r="A198" s="230"/>
      <c r="B198" s="231"/>
      <c r="C198" s="231"/>
      <c r="D198" s="231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30"/>
      <c r="S198" s="239"/>
      <c r="T198" s="230"/>
      <c r="U198" s="230"/>
      <c r="V198" s="230"/>
      <c r="W198" s="230"/>
      <c r="X198" s="239"/>
      <c r="Y198" s="239"/>
      <c r="Z198" s="230"/>
      <c r="AA198" s="230"/>
      <c r="AB198" s="230"/>
      <c r="AC198" s="230"/>
      <c r="AD198" s="239"/>
    </row>
    <row r="199" spans="1:30" ht="20.100000000000001" customHeight="1" x14ac:dyDescent="0.25">
      <c r="A199" s="230"/>
      <c r="B199" s="231"/>
      <c r="C199" s="231"/>
      <c r="D199" s="231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30"/>
      <c r="S199" s="239"/>
      <c r="T199" s="230"/>
      <c r="U199" s="230"/>
      <c r="V199" s="230"/>
      <c r="W199" s="230"/>
      <c r="X199" s="239"/>
      <c r="Y199" s="239"/>
      <c r="Z199" s="230"/>
      <c r="AA199" s="230"/>
      <c r="AB199" s="230"/>
      <c r="AC199" s="230"/>
      <c r="AD199" s="239"/>
    </row>
    <row r="200" spans="1:30" ht="20.100000000000001" customHeight="1" x14ac:dyDescent="0.25">
      <c r="A200" s="230"/>
      <c r="B200" s="231"/>
      <c r="C200" s="231"/>
      <c r="D200" s="231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30"/>
      <c r="S200" s="239"/>
      <c r="T200" s="230"/>
      <c r="U200" s="230"/>
      <c r="V200" s="230"/>
      <c r="W200" s="230"/>
      <c r="X200" s="239"/>
      <c r="Y200" s="239"/>
      <c r="Z200" s="230"/>
      <c r="AA200" s="230"/>
      <c r="AB200" s="230"/>
      <c r="AC200" s="230"/>
      <c r="AD200" s="239"/>
    </row>
    <row r="201" spans="1:30" ht="20.100000000000001" customHeight="1" x14ac:dyDescent="0.25">
      <c r="A201" s="230"/>
      <c r="B201" s="231"/>
      <c r="C201" s="231"/>
      <c r="D201" s="231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30"/>
      <c r="S201" s="239"/>
      <c r="T201" s="230"/>
      <c r="U201" s="230"/>
      <c r="V201" s="230"/>
      <c r="W201" s="230"/>
      <c r="X201" s="239"/>
      <c r="Y201" s="239"/>
      <c r="Z201" s="230"/>
      <c r="AA201" s="230"/>
      <c r="AB201" s="230"/>
      <c r="AC201" s="230"/>
      <c r="AD201" s="239"/>
    </row>
    <row r="202" spans="1:30" ht="20.100000000000001" customHeight="1" x14ac:dyDescent="0.25">
      <c r="A202" s="230"/>
      <c r="B202" s="231"/>
      <c r="C202" s="231"/>
      <c r="D202" s="231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30"/>
      <c r="S202" s="239"/>
      <c r="T202" s="230"/>
      <c r="U202" s="230"/>
      <c r="V202" s="230"/>
      <c r="W202" s="230"/>
      <c r="X202" s="239"/>
      <c r="Y202" s="239"/>
      <c r="Z202" s="230"/>
      <c r="AA202" s="230"/>
      <c r="AB202" s="230"/>
      <c r="AC202" s="230"/>
      <c r="AD202" s="239"/>
    </row>
    <row r="203" spans="1:30" ht="20.100000000000001" customHeight="1" x14ac:dyDescent="0.25">
      <c r="A203" s="230"/>
      <c r="B203" s="231"/>
      <c r="C203" s="231"/>
      <c r="D203" s="231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9"/>
      <c r="T203" s="230"/>
      <c r="U203" s="230"/>
      <c r="V203" s="230"/>
      <c r="W203" s="230"/>
      <c r="X203" s="239"/>
      <c r="Y203" s="239"/>
      <c r="Z203" s="230"/>
      <c r="AA203" s="230"/>
      <c r="AB203" s="230"/>
      <c r="AC203" s="230"/>
      <c r="AD203" s="239"/>
    </row>
    <row r="204" spans="1:30" ht="20.100000000000001" customHeight="1" x14ac:dyDescent="0.25">
      <c r="A204" s="230"/>
      <c r="B204" s="231"/>
      <c r="C204" s="231"/>
      <c r="D204" s="231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30"/>
      <c r="S204" s="239"/>
      <c r="T204" s="230"/>
      <c r="U204" s="230"/>
      <c r="V204" s="230"/>
      <c r="W204" s="230"/>
      <c r="X204" s="239"/>
      <c r="Y204" s="239"/>
      <c r="Z204" s="230"/>
      <c r="AA204" s="230"/>
      <c r="AB204" s="230"/>
      <c r="AC204" s="230"/>
      <c r="AD204" s="239"/>
    </row>
    <row r="205" spans="1:30" ht="20.100000000000001" customHeight="1" x14ac:dyDescent="0.25">
      <c r="A205" s="230"/>
      <c r="B205" s="231"/>
      <c r="C205" s="231"/>
      <c r="D205" s="231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30"/>
      <c r="S205" s="239"/>
      <c r="T205" s="230"/>
      <c r="U205" s="230"/>
      <c r="V205" s="230"/>
      <c r="W205" s="230"/>
      <c r="X205" s="239"/>
      <c r="Y205" s="239"/>
      <c r="Z205" s="230"/>
      <c r="AA205" s="230"/>
      <c r="AB205" s="230"/>
      <c r="AC205" s="230"/>
      <c r="AD205" s="239"/>
    </row>
    <row r="206" spans="1:30" ht="20.100000000000001" customHeight="1" x14ac:dyDescent="0.25">
      <c r="A206" s="230"/>
      <c r="B206" s="231"/>
      <c r="C206" s="231"/>
      <c r="D206" s="231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30"/>
      <c r="S206" s="239"/>
      <c r="T206" s="230"/>
      <c r="U206" s="230"/>
      <c r="V206" s="230"/>
      <c r="W206" s="230"/>
      <c r="X206" s="239"/>
      <c r="Y206" s="239"/>
      <c r="Z206" s="230"/>
      <c r="AA206" s="230"/>
      <c r="AB206" s="230"/>
      <c r="AC206" s="230"/>
      <c r="AD206" s="239"/>
    </row>
    <row r="207" spans="1:30" ht="20.100000000000001" customHeight="1" x14ac:dyDescent="0.25">
      <c r="A207" s="230"/>
      <c r="B207" s="231"/>
      <c r="C207" s="231"/>
      <c r="D207" s="231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30"/>
      <c r="S207" s="239"/>
      <c r="T207" s="230"/>
      <c r="U207" s="230"/>
      <c r="V207" s="230"/>
      <c r="W207" s="230"/>
      <c r="X207" s="239"/>
      <c r="Y207" s="239"/>
      <c r="Z207" s="230"/>
      <c r="AA207" s="230"/>
      <c r="AB207" s="230"/>
      <c r="AC207" s="230"/>
      <c r="AD207" s="239"/>
    </row>
    <row r="208" spans="1:30" ht="20.100000000000001" customHeight="1" x14ac:dyDescent="0.25">
      <c r="A208" s="230"/>
      <c r="B208" s="231"/>
      <c r="C208" s="231"/>
      <c r="D208" s="231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30"/>
      <c r="S208" s="239"/>
      <c r="T208" s="230"/>
      <c r="U208" s="230"/>
      <c r="V208" s="230"/>
      <c r="W208" s="230"/>
      <c r="X208" s="239"/>
      <c r="Y208" s="239"/>
      <c r="Z208" s="230"/>
      <c r="AA208" s="230"/>
      <c r="AB208" s="230"/>
      <c r="AC208" s="230"/>
      <c r="AD208" s="239"/>
    </row>
    <row r="209" spans="1:30" ht="20.100000000000001" customHeight="1" x14ac:dyDescent="0.25">
      <c r="A209" s="230"/>
      <c r="B209" s="231"/>
      <c r="C209" s="231"/>
      <c r="D209" s="231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30"/>
      <c r="S209" s="239"/>
      <c r="T209" s="230"/>
      <c r="U209" s="230"/>
      <c r="V209" s="230"/>
      <c r="W209" s="230"/>
      <c r="X209" s="239"/>
      <c r="Y209" s="239"/>
      <c r="Z209" s="230"/>
      <c r="AA209" s="230"/>
      <c r="AB209" s="230"/>
      <c r="AC209" s="230"/>
      <c r="AD209" s="239"/>
    </row>
    <row r="210" spans="1:30" ht="20.100000000000001" customHeight="1" x14ac:dyDescent="0.25">
      <c r="A210" s="230"/>
      <c r="B210" s="231"/>
      <c r="C210" s="231"/>
      <c r="D210" s="231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30"/>
      <c r="S210" s="239"/>
      <c r="T210" s="230"/>
      <c r="U210" s="230"/>
      <c r="V210" s="230"/>
      <c r="W210" s="230"/>
      <c r="X210" s="239"/>
      <c r="Y210" s="239"/>
      <c r="Z210" s="230"/>
      <c r="AA210" s="230"/>
      <c r="AB210" s="230"/>
      <c r="AC210" s="230"/>
      <c r="AD210" s="239"/>
    </row>
    <row r="211" spans="1:30" ht="20.100000000000001" customHeight="1" x14ac:dyDescent="0.25">
      <c r="A211" s="230"/>
      <c r="B211" s="231"/>
      <c r="C211" s="231"/>
      <c r="D211" s="231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30"/>
      <c r="S211" s="239"/>
      <c r="T211" s="230"/>
      <c r="U211" s="230"/>
      <c r="V211" s="230"/>
      <c r="W211" s="230"/>
      <c r="X211" s="239"/>
      <c r="Y211" s="239"/>
      <c r="Z211" s="230"/>
      <c r="AA211" s="230"/>
      <c r="AB211" s="230"/>
      <c r="AC211" s="230"/>
      <c r="AD211" s="239"/>
    </row>
    <row r="212" spans="1:30" ht="20.100000000000001" customHeight="1" x14ac:dyDescent="0.25">
      <c r="A212" s="230"/>
      <c r="B212" s="231"/>
      <c r="C212" s="231"/>
      <c r="D212" s="231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30"/>
      <c r="S212" s="239"/>
      <c r="T212" s="230"/>
      <c r="U212" s="230"/>
      <c r="V212" s="230"/>
      <c r="W212" s="230"/>
      <c r="X212" s="239"/>
      <c r="Y212" s="239"/>
      <c r="Z212" s="230"/>
      <c r="AA212" s="230"/>
      <c r="AB212" s="230"/>
      <c r="AC212" s="230"/>
      <c r="AD212" s="239"/>
    </row>
    <row r="213" spans="1:30" ht="20.100000000000001" customHeight="1" x14ac:dyDescent="0.25">
      <c r="A213" s="230"/>
      <c r="B213" s="231"/>
      <c r="C213" s="231"/>
      <c r="D213" s="231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30"/>
      <c r="S213" s="239"/>
      <c r="T213" s="230"/>
      <c r="U213" s="230"/>
      <c r="V213" s="230"/>
      <c r="W213" s="230"/>
      <c r="X213" s="239"/>
      <c r="Y213" s="239"/>
      <c r="Z213" s="230"/>
      <c r="AA213" s="230"/>
      <c r="AB213" s="230"/>
      <c r="AC213" s="230"/>
      <c r="AD213" s="239"/>
    </row>
    <row r="214" spans="1:30" ht="20.100000000000001" customHeight="1" x14ac:dyDescent="0.25">
      <c r="A214" s="230"/>
      <c r="B214" s="231"/>
      <c r="C214" s="231"/>
      <c r="D214" s="231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30"/>
      <c r="S214" s="239"/>
      <c r="T214" s="230"/>
      <c r="U214" s="230"/>
      <c r="V214" s="230"/>
      <c r="W214" s="230"/>
      <c r="X214" s="239"/>
      <c r="Y214" s="239"/>
      <c r="Z214" s="230"/>
      <c r="AA214" s="230"/>
      <c r="AB214" s="230"/>
      <c r="AC214" s="230"/>
      <c r="AD214" s="239"/>
    </row>
    <row r="215" spans="1:30" ht="20.100000000000001" customHeight="1" x14ac:dyDescent="0.25">
      <c r="A215" s="230"/>
      <c r="B215" s="231"/>
      <c r="C215" s="231"/>
      <c r="D215" s="231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30"/>
      <c r="S215" s="239"/>
      <c r="T215" s="230"/>
      <c r="U215" s="230"/>
      <c r="V215" s="230"/>
      <c r="W215" s="230"/>
      <c r="X215" s="239"/>
      <c r="Y215" s="239"/>
      <c r="Z215" s="230"/>
      <c r="AA215" s="230"/>
      <c r="AB215" s="230"/>
      <c r="AC215" s="230"/>
      <c r="AD215" s="239"/>
    </row>
    <row r="216" spans="1:30" ht="20.100000000000001" customHeight="1" x14ac:dyDescent="0.25">
      <c r="A216" s="230"/>
      <c r="B216" s="231"/>
      <c r="C216" s="231"/>
      <c r="D216" s="231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30"/>
      <c r="S216" s="239"/>
      <c r="T216" s="230"/>
      <c r="U216" s="230"/>
      <c r="V216" s="230"/>
      <c r="W216" s="230"/>
      <c r="X216" s="239"/>
      <c r="Y216" s="239"/>
      <c r="Z216" s="230"/>
      <c r="AA216" s="230"/>
      <c r="AB216" s="230"/>
      <c r="AC216" s="230"/>
      <c r="AD216" s="239"/>
    </row>
    <row r="217" spans="1:30" ht="20.100000000000001" customHeight="1" x14ac:dyDescent="0.25">
      <c r="A217" s="230"/>
      <c r="B217" s="231"/>
      <c r="C217" s="231"/>
      <c r="D217" s="231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30"/>
      <c r="S217" s="239"/>
      <c r="T217" s="230"/>
      <c r="U217" s="230"/>
      <c r="V217" s="230"/>
      <c r="W217" s="230"/>
      <c r="X217" s="239"/>
      <c r="Y217" s="239"/>
      <c r="Z217" s="230"/>
      <c r="AA217" s="230"/>
      <c r="AB217" s="230"/>
      <c r="AC217" s="230"/>
      <c r="AD217" s="239"/>
    </row>
    <row r="218" spans="1:30" ht="20.100000000000001" customHeight="1" x14ac:dyDescent="0.25">
      <c r="A218" s="230"/>
      <c r="B218" s="231"/>
      <c r="C218" s="231"/>
      <c r="D218" s="231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30"/>
      <c r="S218" s="239"/>
      <c r="T218" s="230"/>
      <c r="U218" s="230"/>
      <c r="V218" s="230"/>
      <c r="W218" s="230"/>
      <c r="X218" s="239"/>
      <c r="Y218" s="239"/>
      <c r="Z218" s="230"/>
      <c r="AA218" s="230"/>
      <c r="AB218" s="230"/>
      <c r="AC218" s="230"/>
      <c r="AD218" s="239"/>
    </row>
    <row r="219" spans="1:30" ht="20.100000000000001" customHeight="1" x14ac:dyDescent="0.25">
      <c r="A219" s="230"/>
      <c r="B219" s="231"/>
      <c r="C219" s="231"/>
      <c r="D219" s="231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30"/>
      <c r="S219" s="239"/>
      <c r="T219" s="230"/>
      <c r="U219" s="230"/>
      <c r="V219" s="230"/>
      <c r="W219" s="230"/>
      <c r="X219" s="239"/>
      <c r="Y219" s="239"/>
      <c r="Z219" s="230"/>
      <c r="AA219" s="230"/>
      <c r="AB219" s="230"/>
      <c r="AC219" s="230"/>
      <c r="AD219" s="239"/>
    </row>
    <row r="220" spans="1:30" ht="20.100000000000001" customHeight="1" x14ac:dyDescent="0.25">
      <c r="A220" s="230"/>
      <c r="B220" s="231"/>
      <c r="C220" s="231"/>
      <c r="D220" s="231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30"/>
      <c r="S220" s="239"/>
      <c r="T220" s="230"/>
      <c r="U220" s="230"/>
      <c r="V220" s="230"/>
      <c r="W220" s="230"/>
      <c r="X220" s="239"/>
      <c r="Y220" s="239"/>
      <c r="Z220" s="230"/>
      <c r="AA220" s="230"/>
      <c r="AB220" s="230"/>
      <c r="AC220" s="230"/>
      <c r="AD220" s="239"/>
    </row>
    <row r="221" spans="1:30" ht="20.100000000000001" customHeight="1" x14ac:dyDescent="0.25">
      <c r="A221" s="230"/>
      <c r="B221" s="231"/>
      <c r="C221" s="231"/>
      <c r="D221" s="231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30"/>
      <c r="S221" s="239"/>
      <c r="T221" s="230"/>
      <c r="U221" s="230"/>
      <c r="V221" s="230"/>
      <c r="W221" s="230"/>
      <c r="X221" s="239"/>
      <c r="Y221" s="239"/>
      <c r="Z221" s="230"/>
      <c r="AA221" s="230"/>
      <c r="AB221" s="230"/>
      <c r="AC221" s="230"/>
      <c r="AD221" s="239"/>
    </row>
    <row r="222" spans="1:30" ht="20.100000000000001" customHeight="1" x14ac:dyDescent="0.25">
      <c r="A222" s="230"/>
      <c r="B222" s="231"/>
      <c r="C222" s="231"/>
      <c r="D222" s="231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30"/>
      <c r="S222" s="239"/>
      <c r="T222" s="230"/>
      <c r="U222" s="230"/>
      <c r="V222" s="230"/>
      <c r="W222" s="230"/>
      <c r="X222" s="239"/>
      <c r="Y222" s="239"/>
      <c r="Z222" s="230"/>
      <c r="AA222" s="230"/>
      <c r="AB222" s="230"/>
      <c r="AC222" s="230"/>
      <c r="AD222" s="239"/>
    </row>
    <row r="223" spans="1:30" ht="20.100000000000001" customHeight="1" x14ac:dyDescent="0.25">
      <c r="A223" s="230"/>
      <c r="B223" s="231"/>
      <c r="C223" s="231"/>
      <c r="D223" s="231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30"/>
      <c r="S223" s="239"/>
      <c r="T223" s="230"/>
      <c r="U223" s="230"/>
      <c r="V223" s="230"/>
      <c r="W223" s="230"/>
      <c r="X223" s="239"/>
      <c r="Y223" s="239"/>
      <c r="Z223" s="230"/>
      <c r="AA223" s="230"/>
      <c r="AB223" s="230"/>
      <c r="AC223" s="230"/>
      <c r="AD223" s="239"/>
    </row>
    <row r="224" spans="1:30" ht="20.100000000000001" customHeight="1" x14ac:dyDescent="0.25">
      <c r="A224" s="230"/>
      <c r="B224" s="231"/>
      <c r="C224" s="231"/>
      <c r="D224" s="231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30"/>
      <c r="S224" s="239"/>
      <c r="T224" s="230"/>
      <c r="U224" s="230"/>
      <c r="V224" s="230"/>
      <c r="W224" s="230"/>
      <c r="X224" s="239"/>
      <c r="Y224" s="239"/>
      <c r="Z224" s="230"/>
      <c r="AA224" s="230"/>
      <c r="AB224" s="230"/>
      <c r="AC224" s="230"/>
      <c r="AD224" s="239"/>
    </row>
    <row r="225" spans="1:30" ht="20.100000000000001" customHeight="1" x14ac:dyDescent="0.25">
      <c r="A225" s="230"/>
      <c r="B225" s="231"/>
      <c r="C225" s="231"/>
      <c r="D225" s="231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30"/>
      <c r="S225" s="239"/>
      <c r="T225" s="230"/>
      <c r="U225" s="230"/>
      <c r="V225" s="230"/>
      <c r="W225" s="230"/>
      <c r="X225" s="239"/>
      <c r="Y225" s="239"/>
      <c r="Z225" s="230"/>
      <c r="AA225" s="230"/>
      <c r="AB225" s="230"/>
      <c r="AC225" s="230"/>
      <c r="AD225" s="239"/>
    </row>
    <row r="226" spans="1:30" ht="20.100000000000001" customHeight="1" x14ac:dyDescent="0.25">
      <c r="A226" s="230"/>
      <c r="B226" s="231"/>
      <c r="C226" s="231"/>
      <c r="D226" s="231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30"/>
      <c r="S226" s="239"/>
      <c r="T226" s="230"/>
      <c r="U226" s="230"/>
      <c r="V226" s="230"/>
      <c r="W226" s="230"/>
      <c r="X226" s="239"/>
      <c r="Y226" s="239"/>
      <c r="Z226" s="230"/>
      <c r="AA226" s="230"/>
      <c r="AB226" s="230"/>
      <c r="AC226" s="230"/>
      <c r="AD226" s="239"/>
    </row>
    <row r="227" spans="1:30" ht="20.100000000000001" customHeight="1" x14ac:dyDescent="0.25">
      <c r="A227" s="230"/>
      <c r="B227" s="231"/>
      <c r="C227" s="231"/>
      <c r="D227" s="231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30"/>
      <c r="S227" s="239"/>
      <c r="T227" s="230"/>
      <c r="U227" s="230"/>
      <c r="V227" s="230"/>
      <c r="W227" s="230"/>
      <c r="X227" s="239"/>
      <c r="Y227" s="239"/>
      <c r="Z227" s="230"/>
      <c r="AA227" s="230"/>
      <c r="AB227" s="230"/>
      <c r="AC227" s="230"/>
      <c r="AD227" s="239"/>
    </row>
    <row r="228" spans="1:30" ht="20.100000000000001" customHeight="1" x14ac:dyDescent="0.25">
      <c r="A228" s="230"/>
      <c r="B228" s="231"/>
      <c r="C228" s="231"/>
      <c r="D228" s="231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30"/>
      <c r="S228" s="239"/>
      <c r="T228" s="230"/>
      <c r="U228" s="230"/>
      <c r="V228" s="230"/>
      <c r="W228" s="230"/>
      <c r="X228" s="239"/>
      <c r="Y228" s="239"/>
      <c r="Z228" s="230"/>
      <c r="AA228" s="230"/>
      <c r="AB228" s="230"/>
      <c r="AC228" s="230"/>
      <c r="AD228" s="239"/>
    </row>
    <row r="229" spans="1:30" ht="20.100000000000001" customHeight="1" x14ac:dyDescent="0.25">
      <c r="A229" s="230"/>
      <c r="B229" s="231"/>
      <c r="C229" s="231"/>
      <c r="D229" s="231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30"/>
      <c r="S229" s="239"/>
      <c r="T229" s="230"/>
      <c r="U229" s="230"/>
      <c r="V229" s="230"/>
      <c r="W229" s="230"/>
      <c r="X229" s="239"/>
      <c r="Y229" s="239"/>
      <c r="Z229" s="230"/>
      <c r="AA229" s="230"/>
      <c r="AB229" s="230"/>
      <c r="AC229" s="230"/>
      <c r="AD229" s="239"/>
    </row>
    <row r="230" spans="1:30" ht="20.100000000000001" customHeight="1" x14ac:dyDescent="0.25">
      <c r="A230" s="230"/>
      <c r="B230" s="231"/>
      <c r="C230" s="231"/>
      <c r="D230" s="231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30"/>
      <c r="S230" s="239"/>
      <c r="T230" s="230"/>
      <c r="U230" s="230"/>
      <c r="V230" s="230"/>
      <c r="W230" s="230"/>
      <c r="X230" s="239"/>
      <c r="Y230" s="239"/>
      <c r="Z230" s="230"/>
      <c r="AA230" s="230"/>
      <c r="AB230" s="230"/>
      <c r="AC230" s="230"/>
      <c r="AD230" s="239"/>
    </row>
    <row r="231" spans="1:30" ht="20.100000000000001" customHeight="1" x14ac:dyDescent="0.25">
      <c r="A231" s="230"/>
      <c r="B231" s="231"/>
      <c r="C231" s="231"/>
      <c r="D231" s="231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30"/>
      <c r="S231" s="239"/>
      <c r="T231" s="230"/>
      <c r="U231" s="230"/>
      <c r="V231" s="230"/>
      <c r="W231" s="230"/>
      <c r="X231" s="239"/>
      <c r="Y231" s="239"/>
      <c r="Z231" s="230"/>
      <c r="AA231" s="230"/>
      <c r="AB231" s="230"/>
      <c r="AC231" s="230"/>
      <c r="AD231" s="239"/>
    </row>
    <row r="232" spans="1:30" ht="20.100000000000001" customHeight="1" x14ac:dyDescent="0.25">
      <c r="A232" s="230"/>
      <c r="B232" s="231"/>
      <c r="C232" s="231"/>
      <c r="D232" s="231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9"/>
      <c r="T232" s="230"/>
      <c r="U232" s="230"/>
      <c r="V232" s="230"/>
      <c r="W232" s="230"/>
      <c r="X232" s="239"/>
      <c r="Y232" s="239"/>
      <c r="Z232" s="230"/>
      <c r="AA232" s="230"/>
      <c r="AB232" s="230"/>
      <c r="AC232" s="230"/>
      <c r="AD232" s="239"/>
    </row>
    <row r="233" spans="1:30" ht="20.100000000000001" customHeight="1" x14ac:dyDescent="0.25">
      <c r="A233" s="230"/>
      <c r="B233" s="231"/>
      <c r="C233" s="231"/>
      <c r="D233" s="231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30"/>
      <c r="S233" s="239"/>
      <c r="T233" s="230"/>
      <c r="U233" s="230"/>
      <c r="V233" s="230"/>
      <c r="W233" s="230"/>
      <c r="X233" s="239"/>
      <c r="Y233" s="239"/>
      <c r="Z233" s="230"/>
      <c r="AA233" s="230"/>
      <c r="AB233" s="230"/>
      <c r="AC233" s="230"/>
      <c r="AD233" s="239"/>
    </row>
    <row r="234" spans="1:30" ht="20.100000000000001" customHeight="1" x14ac:dyDescent="0.25">
      <c r="A234" s="230"/>
      <c r="B234" s="231"/>
      <c r="C234" s="231"/>
      <c r="D234" s="231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30"/>
      <c r="S234" s="239"/>
      <c r="T234" s="230"/>
      <c r="U234" s="230"/>
      <c r="V234" s="230"/>
      <c r="W234" s="230"/>
      <c r="X234" s="239"/>
      <c r="Y234" s="239"/>
      <c r="Z234" s="230"/>
      <c r="AA234" s="230"/>
      <c r="AB234" s="230"/>
      <c r="AC234" s="230"/>
      <c r="AD234" s="239"/>
    </row>
    <row r="235" spans="1:30" ht="20.100000000000001" customHeight="1" x14ac:dyDescent="0.25">
      <c r="A235" s="230"/>
      <c r="B235" s="231"/>
      <c r="C235" s="231"/>
      <c r="D235" s="231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30"/>
      <c r="S235" s="239"/>
      <c r="T235" s="230"/>
      <c r="U235" s="230"/>
      <c r="V235" s="230"/>
      <c r="W235" s="230"/>
      <c r="X235" s="239"/>
      <c r="Y235" s="239"/>
      <c r="Z235" s="230"/>
      <c r="AA235" s="230"/>
      <c r="AB235" s="230"/>
      <c r="AC235" s="230"/>
      <c r="AD235" s="239"/>
    </row>
    <row r="236" spans="1:30" ht="20.100000000000001" customHeight="1" x14ac:dyDescent="0.25">
      <c r="A236" s="230"/>
      <c r="B236" s="231"/>
      <c r="C236" s="231"/>
      <c r="D236" s="231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30"/>
      <c r="S236" s="239"/>
      <c r="T236" s="230"/>
      <c r="U236" s="230"/>
      <c r="V236" s="230"/>
      <c r="W236" s="230"/>
      <c r="X236" s="239"/>
      <c r="Y236" s="239"/>
      <c r="Z236" s="230"/>
      <c r="AA236" s="230"/>
      <c r="AB236" s="230"/>
      <c r="AC236" s="230"/>
      <c r="AD236" s="239"/>
    </row>
    <row r="237" spans="1:30" ht="20.100000000000001" customHeight="1" x14ac:dyDescent="0.25">
      <c r="A237" s="230"/>
      <c r="B237" s="231"/>
      <c r="C237" s="231"/>
      <c r="D237" s="231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30"/>
      <c r="S237" s="239"/>
      <c r="T237" s="230"/>
      <c r="U237" s="230"/>
      <c r="V237" s="230"/>
      <c r="W237" s="230"/>
      <c r="X237" s="239"/>
      <c r="Y237" s="239"/>
      <c r="Z237" s="230"/>
      <c r="AA237" s="230"/>
      <c r="AB237" s="230"/>
      <c r="AC237" s="230"/>
      <c r="AD237" s="239"/>
    </row>
    <row r="238" spans="1:30" ht="20.100000000000001" customHeight="1" x14ac:dyDescent="0.25">
      <c r="A238" s="230"/>
      <c r="B238" s="231"/>
      <c r="C238" s="231"/>
      <c r="D238" s="231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30"/>
      <c r="S238" s="239"/>
      <c r="T238" s="230"/>
      <c r="U238" s="230"/>
      <c r="V238" s="230"/>
      <c r="W238" s="230"/>
      <c r="X238" s="239"/>
      <c r="Y238" s="239"/>
      <c r="Z238" s="230"/>
      <c r="AA238" s="230"/>
      <c r="AB238" s="230"/>
      <c r="AC238" s="230"/>
      <c r="AD238" s="239"/>
    </row>
    <row r="239" spans="1:30" ht="20.100000000000001" customHeight="1" x14ac:dyDescent="0.25">
      <c r="A239" s="230"/>
      <c r="B239" s="231"/>
      <c r="C239" s="231"/>
      <c r="D239" s="231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30"/>
      <c r="S239" s="239"/>
      <c r="T239" s="230"/>
      <c r="U239" s="230"/>
      <c r="V239" s="230"/>
      <c r="W239" s="230"/>
      <c r="X239" s="239"/>
      <c r="Y239" s="239"/>
      <c r="Z239" s="230"/>
      <c r="AA239" s="230"/>
      <c r="AB239" s="230"/>
      <c r="AC239" s="230"/>
      <c r="AD239" s="239"/>
    </row>
    <row r="240" spans="1:30" ht="20.100000000000001" customHeight="1" x14ac:dyDescent="0.25">
      <c r="A240" s="230"/>
      <c r="B240" s="231"/>
      <c r="C240" s="231"/>
      <c r="D240" s="231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30"/>
      <c r="S240" s="239"/>
      <c r="T240" s="230"/>
      <c r="U240" s="230"/>
      <c r="V240" s="230"/>
      <c r="W240" s="230"/>
      <c r="X240" s="239"/>
      <c r="Y240" s="239"/>
      <c r="Z240" s="230"/>
      <c r="AA240" s="230"/>
      <c r="AB240" s="230"/>
      <c r="AC240" s="230"/>
      <c r="AD240" s="239"/>
    </row>
    <row r="241" spans="1:30" ht="20.100000000000001" customHeight="1" x14ac:dyDescent="0.25">
      <c r="A241" s="230"/>
      <c r="B241" s="231"/>
      <c r="C241" s="231"/>
      <c r="D241" s="231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30"/>
      <c r="S241" s="239"/>
      <c r="T241" s="230"/>
      <c r="U241" s="230"/>
      <c r="V241" s="230"/>
      <c r="W241" s="230"/>
      <c r="X241" s="239"/>
      <c r="Y241" s="239"/>
      <c r="Z241" s="230"/>
      <c r="AA241" s="230"/>
      <c r="AB241" s="230"/>
      <c r="AC241" s="230"/>
      <c r="AD241" s="239"/>
    </row>
    <row r="242" spans="1:30" ht="20.100000000000001" customHeight="1" x14ac:dyDescent="0.25">
      <c r="A242" s="230"/>
      <c r="B242" s="231"/>
      <c r="C242" s="231"/>
      <c r="D242" s="231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30"/>
      <c r="S242" s="239"/>
      <c r="T242" s="230"/>
      <c r="U242" s="230"/>
      <c r="V242" s="230"/>
      <c r="W242" s="230"/>
      <c r="X242" s="239"/>
      <c r="Y242" s="239"/>
      <c r="Z242" s="230"/>
      <c r="AA242" s="230"/>
      <c r="AB242" s="230"/>
      <c r="AC242" s="230"/>
      <c r="AD242" s="239"/>
    </row>
    <row r="243" spans="1:30" ht="20.100000000000001" customHeight="1" x14ac:dyDescent="0.25">
      <c r="A243" s="230"/>
      <c r="B243" s="231"/>
      <c r="C243" s="231"/>
      <c r="D243" s="231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30"/>
      <c r="S243" s="239"/>
      <c r="T243" s="230"/>
      <c r="U243" s="230"/>
      <c r="V243" s="230"/>
      <c r="W243" s="230"/>
      <c r="X243" s="239"/>
      <c r="Y243" s="239"/>
      <c r="Z243" s="230"/>
      <c r="AA243" s="230"/>
      <c r="AB243" s="230"/>
      <c r="AC243" s="230"/>
      <c r="AD243" s="239"/>
    </row>
    <row r="244" spans="1:30" ht="20.100000000000001" customHeight="1" x14ac:dyDescent="0.25">
      <c r="A244" s="230"/>
      <c r="B244" s="231"/>
      <c r="C244" s="231"/>
      <c r="D244" s="231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30"/>
      <c r="S244" s="239"/>
      <c r="T244" s="230"/>
      <c r="U244" s="230"/>
      <c r="V244" s="230"/>
      <c r="W244" s="230"/>
      <c r="X244" s="239"/>
      <c r="Y244" s="239"/>
      <c r="Z244" s="230"/>
      <c r="AA244" s="230"/>
      <c r="AB244" s="230"/>
      <c r="AC244" s="230"/>
      <c r="AD244" s="239"/>
    </row>
    <row r="245" spans="1:30" ht="20.100000000000001" customHeight="1" x14ac:dyDescent="0.25">
      <c r="A245" s="230"/>
      <c r="B245" s="231"/>
      <c r="C245" s="231"/>
      <c r="D245" s="231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30"/>
      <c r="S245" s="239"/>
      <c r="T245" s="230"/>
      <c r="U245" s="230"/>
      <c r="V245" s="230"/>
      <c r="W245" s="230"/>
      <c r="X245" s="239"/>
      <c r="Y245" s="239"/>
      <c r="Z245" s="230"/>
      <c r="AA245" s="230"/>
      <c r="AB245" s="230"/>
      <c r="AC245" s="230"/>
      <c r="AD245" s="239"/>
    </row>
    <row r="246" spans="1:30" ht="20.100000000000001" customHeight="1" x14ac:dyDescent="0.25">
      <c r="A246" s="230"/>
      <c r="B246" s="231"/>
      <c r="C246" s="231"/>
      <c r="D246" s="231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30"/>
      <c r="S246" s="239"/>
      <c r="T246" s="230"/>
      <c r="U246" s="230"/>
      <c r="V246" s="230"/>
      <c r="W246" s="230"/>
      <c r="X246" s="239"/>
      <c r="Y246" s="239"/>
      <c r="Z246" s="230"/>
      <c r="AA246" s="230"/>
      <c r="AB246" s="230"/>
      <c r="AC246" s="230"/>
      <c r="AD246" s="239"/>
    </row>
    <row r="247" spans="1:30" ht="20.100000000000001" customHeight="1" x14ac:dyDescent="0.25">
      <c r="A247" s="230"/>
      <c r="B247" s="231"/>
      <c r="C247" s="231"/>
      <c r="D247" s="231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30"/>
      <c r="S247" s="239"/>
      <c r="T247" s="230"/>
      <c r="U247" s="230"/>
      <c r="V247" s="230"/>
      <c r="W247" s="230"/>
      <c r="X247" s="239"/>
      <c r="Y247" s="239"/>
      <c r="Z247" s="230"/>
      <c r="AA247" s="230"/>
      <c r="AB247" s="230"/>
      <c r="AC247" s="230"/>
      <c r="AD247" s="239"/>
    </row>
    <row r="248" spans="1:30" ht="20.100000000000001" customHeight="1" x14ac:dyDescent="0.25">
      <c r="A248" s="230"/>
      <c r="B248" s="231"/>
      <c r="C248" s="231"/>
      <c r="D248" s="231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30"/>
      <c r="S248" s="239"/>
      <c r="T248" s="230"/>
      <c r="U248" s="230"/>
      <c r="V248" s="230"/>
      <c r="W248" s="230"/>
      <c r="X248" s="239"/>
      <c r="Y248" s="239"/>
      <c r="Z248" s="230"/>
      <c r="AA248" s="230"/>
      <c r="AB248" s="230"/>
      <c r="AC248" s="230"/>
      <c r="AD248" s="239"/>
    </row>
    <row r="249" spans="1:30" ht="20.100000000000001" customHeight="1" x14ac:dyDescent="0.25">
      <c r="A249" s="230"/>
      <c r="B249" s="231"/>
      <c r="C249" s="231"/>
      <c r="D249" s="231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30"/>
      <c r="S249" s="239"/>
      <c r="T249" s="230"/>
      <c r="U249" s="230"/>
      <c r="V249" s="230"/>
      <c r="W249" s="230"/>
      <c r="X249" s="239"/>
      <c r="Y249" s="239"/>
      <c r="Z249" s="230"/>
      <c r="AA249" s="230"/>
      <c r="AB249" s="230"/>
      <c r="AC249" s="230"/>
      <c r="AD249" s="239"/>
    </row>
    <row r="250" spans="1:30" ht="20.100000000000001" customHeight="1" x14ac:dyDescent="0.25">
      <c r="A250" s="230"/>
      <c r="B250" s="231"/>
      <c r="C250" s="231"/>
      <c r="D250" s="231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30"/>
      <c r="S250" s="239"/>
      <c r="T250" s="230"/>
      <c r="U250" s="230"/>
      <c r="V250" s="230"/>
      <c r="W250" s="230"/>
      <c r="X250" s="239"/>
      <c r="Y250" s="239"/>
      <c r="Z250" s="230"/>
      <c r="AA250" s="230"/>
      <c r="AB250" s="230"/>
      <c r="AC250" s="230"/>
      <c r="AD250" s="239"/>
    </row>
    <row r="251" spans="1:30" ht="20.100000000000001" customHeight="1" x14ac:dyDescent="0.25">
      <c r="A251" s="230"/>
      <c r="B251" s="231"/>
      <c r="C251" s="231"/>
      <c r="D251" s="231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30"/>
      <c r="S251" s="239"/>
      <c r="T251" s="230"/>
      <c r="U251" s="230"/>
      <c r="V251" s="230"/>
      <c r="W251" s="230"/>
      <c r="X251" s="239"/>
      <c r="Y251" s="239"/>
      <c r="Z251" s="230"/>
      <c r="AA251" s="230"/>
      <c r="AB251" s="230"/>
      <c r="AC251" s="230"/>
      <c r="AD251" s="239"/>
    </row>
    <row r="252" spans="1:30" ht="20.100000000000001" customHeight="1" x14ac:dyDescent="0.25">
      <c r="A252" s="230"/>
      <c r="B252" s="231"/>
      <c r="C252" s="231"/>
      <c r="D252" s="231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30"/>
      <c r="S252" s="239"/>
      <c r="T252" s="230"/>
      <c r="U252" s="230"/>
      <c r="V252" s="230"/>
      <c r="W252" s="230"/>
      <c r="X252" s="239"/>
      <c r="Y252" s="239"/>
      <c r="Z252" s="230"/>
      <c r="AA252" s="230"/>
      <c r="AB252" s="230"/>
      <c r="AC252" s="230"/>
      <c r="AD252" s="239"/>
    </row>
    <row r="253" spans="1:30" ht="20.100000000000001" customHeight="1" x14ac:dyDescent="0.25">
      <c r="A253" s="230"/>
      <c r="B253" s="231"/>
      <c r="C253" s="231"/>
      <c r="D253" s="231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30"/>
      <c r="S253" s="239"/>
      <c r="T253" s="230"/>
      <c r="U253" s="230"/>
      <c r="V253" s="230"/>
      <c r="W253" s="230"/>
      <c r="X253" s="239"/>
      <c r="Y253" s="239"/>
      <c r="Z253" s="230"/>
      <c r="AA253" s="230"/>
      <c r="AB253" s="230"/>
      <c r="AC253" s="230"/>
      <c r="AD253" s="239"/>
    </row>
    <row r="254" spans="1:30" ht="20.100000000000001" customHeight="1" x14ac:dyDescent="0.25">
      <c r="A254" s="230"/>
      <c r="B254" s="231"/>
      <c r="C254" s="231"/>
      <c r="D254" s="231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30"/>
      <c r="S254" s="239"/>
      <c r="T254" s="230"/>
      <c r="U254" s="230"/>
      <c r="V254" s="230"/>
      <c r="W254" s="230"/>
      <c r="X254" s="239"/>
      <c r="Y254" s="239"/>
      <c r="Z254" s="230"/>
      <c r="AA254" s="230"/>
      <c r="AB254" s="230"/>
      <c r="AC254" s="230"/>
      <c r="AD254" s="239"/>
    </row>
    <row r="255" spans="1:30" ht="20.100000000000001" customHeight="1" x14ac:dyDescent="0.25">
      <c r="A255" s="230"/>
      <c r="B255" s="231"/>
      <c r="C255" s="231"/>
      <c r="D255" s="231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30"/>
      <c r="S255" s="239"/>
      <c r="T255" s="230"/>
      <c r="U255" s="230"/>
      <c r="V255" s="230"/>
      <c r="W255" s="230"/>
      <c r="X255" s="239"/>
      <c r="Y255" s="239"/>
      <c r="Z255" s="230"/>
      <c r="AA255" s="230"/>
      <c r="AB255" s="230"/>
      <c r="AC255" s="230"/>
      <c r="AD255" s="239"/>
    </row>
    <row r="256" spans="1:30" ht="20.100000000000001" customHeight="1" x14ac:dyDescent="0.25">
      <c r="A256" s="230"/>
      <c r="B256" s="231"/>
      <c r="C256" s="231"/>
      <c r="D256" s="231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30"/>
      <c r="S256" s="239"/>
      <c r="T256" s="230"/>
      <c r="U256" s="230"/>
      <c r="V256" s="230"/>
      <c r="W256" s="230"/>
      <c r="X256" s="239"/>
      <c r="Y256" s="239"/>
      <c r="Z256" s="230"/>
      <c r="AA256" s="230"/>
      <c r="AB256" s="230"/>
      <c r="AC256" s="230"/>
      <c r="AD256" s="239"/>
    </row>
    <row r="257" spans="1:30" ht="20.100000000000001" customHeight="1" x14ac:dyDescent="0.25">
      <c r="A257" s="230"/>
      <c r="B257" s="231"/>
      <c r="C257" s="231"/>
      <c r="D257" s="231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30"/>
      <c r="S257" s="239"/>
      <c r="T257" s="230"/>
      <c r="U257" s="230"/>
      <c r="V257" s="230"/>
      <c r="W257" s="230"/>
      <c r="X257" s="239"/>
      <c r="Y257" s="239"/>
      <c r="Z257" s="230"/>
      <c r="AA257" s="230"/>
      <c r="AB257" s="230"/>
      <c r="AC257" s="230"/>
      <c r="AD257" s="239"/>
    </row>
    <row r="258" spans="1:30" ht="20.100000000000001" customHeight="1" x14ac:dyDescent="0.25">
      <c r="A258" s="230"/>
      <c r="B258" s="231"/>
      <c r="C258" s="231"/>
      <c r="D258" s="231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30"/>
      <c r="S258" s="239"/>
      <c r="T258" s="230"/>
      <c r="U258" s="230"/>
      <c r="V258" s="230"/>
      <c r="W258" s="230"/>
      <c r="X258" s="239"/>
      <c r="Y258" s="239"/>
      <c r="Z258" s="230"/>
      <c r="AA258" s="230"/>
      <c r="AB258" s="230"/>
      <c r="AC258" s="230"/>
      <c r="AD258" s="239"/>
    </row>
    <row r="259" spans="1:30" ht="20.100000000000001" customHeight="1" x14ac:dyDescent="0.25">
      <c r="A259" s="230"/>
      <c r="B259" s="231"/>
      <c r="C259" s="231"/>
      <c r="D259" s="231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30"/>
      <c r="S259" s="239"/>
      <c r="T259" s="230"/>
      <c r="U259" s="230"/>
      <c r="V259" s="230"/>
      <c r="W259" s="230"/>
      <c r="X259" s="239"/>
      <c r="Y259" s="239"/>
      <c r="Z259" s="230"/>
      <c r="AA259" s="230"/>
      <c r="AB259" s="230"/>
      <c r="AC259" s="230"/>
      <c r="AD259" s="239"/>
    </row>
    <row r="260" spans="1:30" ht="20.100000000000001" customHeight="1" x14ac:dyDescent="0.25">
      <c r="A260" s="230"/>
      <c r="B260" s="231"/>
      <c r="C260" s="231"/>
      <c r="D260" s="231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30"/>
      <c r="S260" s="239"/>
      <c r="T260" s="230"/>
      <c r="U260" s="230"/>
      <c r="V260" s="230"/>
      <c r="W260" s="230"/>
      <c r="X260" s="239"/>
      <c r="Y260" s="239"/>
      <c r="Z260" s="230"/>
      <c r="AA260" s="230"/>
      <c r="AB260" s="230"/>
      <c r="AC260" s="230"/>
      <c r="AD260" s="239"/>
    </row>
    <row r="261" spans="1:30" ht="20.100000000000001" customHeight="1" x14ac:dyDescent="0.25">
      <c r="A261" s="230"/>
      <c r="B261" s="231"/>
      <c r="C261" s="231"/>
      <c r="D261" s="231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30"/>
      <c r="S261" s="239"/>
      <c r="T261" s="230"/>
      <c r="U261" s="230"/>
      <c r="V261" s="230"/>
      <c r="W261" s="230"/>
      <c r="X261" s="239"/>
      <c r="Y261" s="239"/>
      <c r="Z261" s="230"/>
      <c r="AA261" s="230"/>
      <c r="AB261" s="230"/>
      <c r="AC261" s="230"/>
      <c r="AD261" s="239"/>
    </row>
    <row r="262" spans="1:30" ht="20.100000000000001" customHeight="1" x14ac:dyDescent="0.25">
      <c r="A262" s="230"/>
      <c r="B262" s="231"/>
      <c r="C262" s="231"/>
      <c r="D262" s="231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30"/>
      <c r="S262" s="239"/>
      <c r="T262" s="230"/>
      <c r="U262" s="230"/>
      <c r="V262" s="230"/>
      <c r="W262" s="230"/>
      <c r="X262" s="239"/>
      <c r="Y262" s="239"/>
      <c r="Z262" s="230"/>
      <c r="AA262" s="230"/>
      <c r="AB262" s="230"/>
      <c r="AC262" s="230"/>
      <c r="AD262" s="239"/>
    </row>
    <row r="263" spans="1:30" ht="20.100000000000001" customHeight="1" x14ac:dyDescent="0.25">
      <c r="A263" s="230"/>
      <c r="B263" s="231"/>
      <c r="C263" s="231"/>
      <c r="D263" s="231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30"/>
      <c r="S263" s="239"/>
      <c r="T263" s="230"/>
      <c r="U263" s="230"/>
      <c r="V263" s="230"/>
      <c r="W263" s="230"/>
      <c r="X263" s="239"/>
      <c r="Y263" s="239"/>
      <c r="Z263" s="230"/>
      <c r="AA263" s="230"/>
      <c r="AB263" s="230"/>
      <c r="AC263" s="230"/>
      <c r="AD263" s="239"/>
    </row>
    <row r="264" spans="1:30" ht="20.100000000000001" customHeight="1" x14ac:dyDescent="0.25">
      <c r="A264" s="230"/>
      <c r="B264" s="231"/>
      <c r="C264" s="231"/>
      <c r="D264" s="231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30"/>
      <c r="S264" s="239"/>
      <c r="T264" s="230"/>
      <c r="U264" s="230"/>
      <c r="V264" s="230"/>
      <c r="W264" s="230"/>
      <c r="X264" s="239"/>
      <c r="Y264" s="239"/>
      <c r="Z264" s="230"/>
      <c r="AA264" s="230"/>
      <c r="AB264" s="230"/>
      <c r="AC264" s="230"/>
      <c r="AD264" s="239"/>
    </row>
    <row r="265" spans="1:30" ht="20.100000000000001" customHeight="1" x14ac:dyDescent="0.25">
      <c r="A265" s="230"/>
      <c r="B265" s="231"/>
      <c r="C265" s="231"/>
      <c r="D265" s="231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30"/>
      <c r="S265" s="239"/>
      <c r="T265" s="230"/>
      <c r="U265" s="230"/>
      <c r="V265" s="230"/>
      <c r="W265" s="230"/>
      <c r="X265" s="239"/>
      <c r="Y265" s="239"/>
      <c r="Z265" s="230"/>
      <c r="AA265" s="230"/>
      <c r="AB265" s="230"/>
      <c r="AC265" s="230"/>
      <c r="AD265" s="239"/>
    </row>
    <row r="266" spans="1:30" ht="20.100000000000001" customHeight="1" x14ac:dyDescent="0.25">
      <c r="A266" s="230"/>
      <c r="B266" s="231"/>
      <c r="C266" s="231"/>
      <c r="D266" s="231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30"/>
      <c r="S266" s="239"/>
      <c r="T266" s="230"/>
      <c r="U266" s="230"/>
      <c r="V266" s="230"/>
      <c r="W266" s="230"/>
      <c r="X266" s="239"/>
      <c r="Y266" s="239"/>
      <c r="Z266" s="230"/>
      <c r="AA266" s="230"/>
      <c r="AB266" s="230"/>
      <c r="AC266" s="230"/>
      <c r="AD266" s="239"/>
    </row>
    <row r="267" spans="1:30" ht="20.100000000000001" customHeight="1" x14ac:dyDescent="0.25">
      <c r="A267" s="230"/>
      <c r="B267" s="231"/>
      <c r="C267" s="231"/>
      <c r="D267" s="231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30"/>
      <c r="S267" s="239"/>
      <c r="T267" s="230"/>
      <c r="U267" s="230"/>
      <c r="V267" s="230"/>
      <c r="W267" s="230"/>
      <c r="X267" s="239"/>
      <c r="Y267" s="239"/>
      <c r="Z267" s="230"/>
      <c r="AA267" s="230"/>
      <c r="AB267" s="230"/>
      <c r="AC267" s="230"/>
      <c r="AD267" s="239"/>
    </row>
    <row r="268" spans="1:30" ht="20.100000000000001" customHeight="1" x14ac:dyDescent="0.25">
      <c r="A268" s="230"/>
      <c r="B268" s="231"/>
      <c r="C268" s="231"/>
      <c r="D268" s="231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30"/>
      <c r="S268" s="239"/>
      <c r="T268" s="230"/>
      <c r="U268" s="230"/>
      <c r="V268" s="230"/>
      <c r="W268" s="230"/>
      <c r="X268" s="239"/>
      <c r="Y268" s="239"/>
      <c r="Z268" s="230"/>
      <c r="AA268" s="230"/>
      <c r="AB268" s="230"/>
      <c r="AC268" s="230"/>
      <c r="AD268" s="239"/>
    </row>
    <row r="269" spans="1:30" ht="20.100000000000001" customHeight="1" x14ac:dyDescent="0.25">
      <c r="A269" s="230"/>
      <c r="B269" s="231"/>
      <c r="C269" s="231"/>
      <c r="D269" s="231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30"/>
      <c r="S269" s="239"/>
      <c r="T269" s="230"/>
      <c r="U269" s="230"/>
      <c r="V269" s="230"/>
      <c r="W269" s="230"/>
      <c r="X269" s="239"/>
      <c r="Y269" s="239"/>
      <c r="Z269" s="230"/>
      <c r="AA269" s="230"/>
      <c r="AB269" s="230"/>
      <c r="AC269" s="230"/>
      <c r="AD269" s="239"/>
    </row>
    <row r="270" spans="1:30" ht="20.100000000000001" customHeight="1" x14ac:dyDescent="0.25">
      <c r="A270" s="230"/>
      <c r="B270" s="231"/>
      <c r="C270" s="231"/>
      <c r="D270" s="231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30"/>
      <c r="S270" s="239"/>
      <c r="T270" s="230"/>
      <c r="U270" s="230"/>
      <c r="V270" s="230"/>
      <c r="W270" s="230"/>
      <c r="X270" s="239"/>
      <c r="Y270" s="239"/>
      <c r="Z270" s="230"/>
      <c r="AA270" s="230"/>
      <c r="AB270" s="230"/>
      <c r="AC270" s="230"/>
      <c r="AD270" s="239"/>
    </row>
    <row r="271" spans="1:30" ht="20.100000000000001" customHeight="1" x14ac:dyDescent="0.25">
      <c r="A271" s="230"/>
      <c r="B271" s="231"/>
      <c r="C271" s="231"/>
      <c r="D271" s="231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30"/>
      <c r="S271" s="239"/>
      <c r="T271" s="230"/>
      <c r="U271" s="230"/>
      <c r="V271" s="230"/>
      <c r="W271" s="230"/>
      <c r="X271" s="239"/>
      <c r="Y271" s="239"/>
      <c r="Z271" s="230"/>
      <c r="AA271" s="230"/>
      <c r="AB271" s="230"/>
      <c r="AC271" s="230"/>
      <c r="AD271" s="239"/>
    </row>
    <row r="272" spans="1:30" ht="20.100000000000001" customHeight="1" x14ac:dyDescent="0.25">
      <c r="A272" s="230"/>
      <c r="B272" s="231"/>
      <c r="C272" s="231"/>
      <c r="D272" s="231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30"/>
      <c r="S272" s="239"/>
      <c r="T272" s="230"/>
      <c r="U272" s="230"/>
      <c r="V272" s="230"/>
      <c r="W272" s="230"/>
      <c r="X272" s="239"/>
      <c r="Y272" s="239"/>
      <c r="Z272" s="230"/>
      <c r="AA272" s="230"/>
      <c r="AB272" s="230"/>
      <c r="AC272" s="230"/>
      <c r="AD272" s="239"/>
    </row>
    <row r="273" spans="1:30" ht="20.100000000000001" customHeight="1" x14ac:dyDescent="0.25">
      <c r="A273" s="230"/>
      <c r="B273" s="231"/>
      <c r="C273" s="231"/>
      <c r="D273" s="231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30"/>
      <c r="S273" s="239"/>
      <c r="T273" s="230"/>
      <c r="U273" s="230"/>
      <c r="V273" s="230"/>
      <c r="W273" s="230"/>
      <c r="X273" s="239"/>
      <c r="Y273" s="239"/>
      <c r="Z273" s="230"/>
      <c r="AA273" s="230"/>
      <c r="AB273" s="230"/>
      <c r="AC273" s="230"/>
      <c r="AD273" s="239"/>
    </row>
    <row r="274" spans="1:30" ht="20.100000000000001" customHeight="1" x14ac:dyDescent="0.25">
      <c r="A274" s="230"/>
      <c r="B274" s="231"/>
      <c r="C274" s="231"/>
      <c r="D274" s="231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30"/>
      <c r="S274" s="239"/>
      <c r="T274" s="230"/>
      <c r="U274" s="230"/>
      <c r="V274" s="230"/>
      <c r="W274" s="230"/>
      <c r="X274" s="239"/>
      <c r="Y274" s="239"/>
      <c r="Z274" s="230"/>
      <c r="AA274" s="230"/>
      <c r="AB274" s="230"/>
      <c r="AC274" s="230"/>
      <c r="AD274" s="239"/>
    </row>
    <row r="275" spans="1:30" ht="20.100000000000001" customHeight="1" x14ac:dyDescent="0.25">
      <c r="A275" s="230"/>
      <c r="B275" s="231"/>
      <c r="C275" s="231"/>
      <c r="D275" s="231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30"/>
      <c r="S275" s="239"/>
      <c r="T275" s="230"/>
      <c r="U275" s="230"/>
      <c r="V275" s="230"/>
      <c r="W275" s="230"/>
      <c r="X275" s="239"/>
      <c r="Y275" s="239"/>
      <c r="Z275" s="230"/>
      <c r="AA275" s="230"/>
      <c r="AB275" s="230"/>
      <c r="AC275" s="230"/>
      <c r="AD275" s="239"/>
    </row>
    <row r="276" spans="1:30" ht="20.100000000000001" customHeight="1" x14ac:dyDescent="0.25">
      <c r="A276" s="230"/>
      <c r="B276" s="231"/>
      <c r="C276" s="231"/>
      <c r="D276" s="231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30"/>
      <c r="S276" s="239"/>
      <c r="T276" s="230"/>
      <c r="U276" s="230"/>
      <c r="V276" s="230"/>
      <c r="W276" s="230"/>
      <c r="X276" s="239"/>
      <c r="Y276" s="239"/>
      <c r="Z276" s="230"/>
      <c r="AA276" s="230"/>
      <c r="AB276" s="230"/>
      <c r="AC276" s="230"/>
      <c r="AD276" s="239"/>
    </row>
    <row r="277" spans="1:30" ht="20.100000000000001" customHeight="1" x14ac:dyDescent="0.25">
      <c r="A277" s="230"/>
      <c r="B277" s="231"/>
      <c r="C277" s="231"/>
      <c r="D277" s="231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30"/>
      <c r="S277" s="239"/>
      <c r="T277" s="230"/>
      <c r="U277" s="230"/>
      <c r="V277" s="230"/>
      <c r="W277" s="230"/>
      <c r="X277" s="239"/>
      <c r="Y277" s="239"/>
      <c r="Z277" s="230"/>
      <c r="AA277" s="230"/>
      <c r="AB277" s="230"/>
      <c r="AC277" s="230"/>
      <c r="AD277" s="239"/>
    </row>
    <row r="278" spans="1:30" ht="20.100000000000001" customHeight="1" x14ac:dyDescent="0.25">
      <c r="A278" s="230"/>
      <c r="B278" s="231"/>
      <c r="C278" s="231"/>
      <c r="D278" s="231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30"/>
      <c r="S278" s="239"/>
      <c r="T278" s="230"/>
      <c r="U278" s="230"/>
      <c r="V278" s="230"/>
      <c r="W278" s="230"/>
      <c r="X278" s="239"/>
      <c r="Y278" s="239"/>
      <c r="Z278" s="230"/>
      <c r="AA278" s="230"/>
      <c r="AB278" s="230"/>
      <c r="AC278" s="230"/>
      <c r="AD278" s="239"/>
    </row>
    <row r="279" spans="1:30" ht="20.100000000000001" customHeight="1" x14ac:dyDescent="0.25">
      <c r="A279" s="230"/>
      <c r="B279" s="231"/>
      <c r="C279" s="231"/>
      <c r="D279" s="231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30"/>
      <c r="S279" s="239"/>
      <c r="T279" s="230"/>
      <c r="U279" s="230"/>
      <c r="V279" s="230"/>
      <c r="W279" s="230"/>
      <c r="X279" s="239"/>
      <c r="Y279" s="239"/>
      <c r="Z279" s="230"/>
      <c r="AA279" s="230"/>
      <c r="AB279" s="230"/>
      <c r="AC279" s="230"/>
      <c r="AD279" s="239"/>
    </row>
    <row r="280" spans="1:30" ht="20.100000000000001" customHeight="1" x14ac:dyDescent="0.25">
      <c r="A280" s="230"/>
      <c r="B280" s="231"/>
      <c r="C280" s="231"/>
      <c r="D280" s="231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30"/>
      <c r="S280" s="239"/>
      <c r="T280" s="230"/>
      <c r="U280" s="230"/>
      <c r="V280" s="230"/>
      <c r="W280" s="230"/>
      <c r="X280" s="239"/>
      <c r="Y280" s="239"/>
      <c r="Z280" s="230"/>
      <c r="AA280" s="230"/>
      <c r="AB280" s="230"/>
      <c r="AC280" s="230"/>
      <c r="AD280" s="239"/>
    </row>
    <row r="281" spans="1:30" ht="20.100000000000001" customHeight="1" x14ac:dyDescent="0.25">
      <c r="A281" s="230"/>
      <c r="B281" s="231"/>
      <c r="C281" s="231"/>
      <c r="D281" s="231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30"/>
      <c r="S281" s="239"/>
      <c r="T281" s="230"/>
      <c r="U281" s="230"/>
      <c r="V281" s="230"/>
      <c r="W281" s="230"/>
      <c r="X281" s="239"/>
      <c r="Y281" s="239"/>
      <c r="Z281" s="230"/>
      <c r="AA281" s="230"/>
      <c r="AB281" s="230"/>
      <c r="AC281" s="230"/>
      <c r="AD281" s="239"/>
    </row>
    <row r="282" spans="1:30" ht="20.100000000000001" customHeight="1" x14ac:dyDescent="0.25">
      <c r="A282" s="230"/>
      <c r="B282" s="231"/>
      <c r="C282" s="231"/>
      <c r="D282" s="231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30"/>
      <c r="S282" s="239"/>
      <c r="T282" s="230"/>
      <c r="U282" s="230"/>
      <c r="V282" s="230"/>
      <c r="W282" s="230"/>
      <c r="X282" s="239"/>
      <c r="Y282" s="239"/>
      <c r="Z282" s="230"/>
      <c r="AA282" s="230"/>
      <c r="AB282" s="230"/>
      <c r="AC282" s="230"/>
      <c r="AD282" s="239"/>
    </row>
    <row r="283" spans="1:30" ht="20.100000000000001" customHeight="1" x14ac:dyDescent="0.25">
      <c r="A283" s="230"/>
      <c r="B283" s="231"/>
      <c r="C283" s="231"/>
      <c r="D283" s="231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30"/>
      <c r="S283" s="239"/>
      <c r="T283" s="230"/>
      <c r="U283" s="230"/>
      <c r="V283" s="230"/>
      <c r="W283" s="230"/>
      <c r="X283" s="239"/>
      <c r="Y283" s="239"/>
      <c r="Z283" s="230"/>
      <c r="AA283" s="230"/>
      <c r="AB283" s="230"/>
      <c r="AC283" s="230"/>
      <c r="AD283" s="239"/>
    </row>
    <row r="284" spans="1:30" ht="20.100000000000001" customHeight="1" x14ac:dyDescent="0.25">
      <c r="A284" s="230"/>
      <c r="B284" s="231"/>
      <c r="C284" s="231"/>
      <c r="D284" s="231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30"/>
      <c r="S284" s="239"/>
      <c r="T284" s="230"/>
      <c r="U284" s="230"/>
      <c r="V284" s="230"/>
      <c r="W284" s="230"/>
      <c r="X284" s="239"/>
      <c r="Y284" s="239"/>
      <c r="Z284" s="230"/>
      <c r="AA284" s="230"/>
      <c r="AB284" s="230"/>
      <c r="AC284" s="230"/>
      <c r="AD284" s="239"/>
    </row>
    <row r="285" spans="1:30" ht="20.100000000000001" customHeight="1" x14ac:dyDescent="0.25">
      <c r="A285" s="230"/>
      <c r="B285" s="231"/>
      <c r="C285" s="231"/>
      <c r="D285" s="231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30"/>
      <c r="S285" s="239"/>
      <c r="T285" s="230"/>
      <c r="U285" s="230"/>
      <c r="V285" s="230"/>
      <c r="W285" s="230"/>
      <c r="X285" s="239"/>
      <c r="Y285" s="239"/>
      <c r="Z285" s="230"/>
      <c r="AA285" s="230"/>
      <c r="AB285" s="230"/>
      <c r="AC285" s="230"/>
      <c r="AD285" s="239"/>
    </row>
    <row r="286" spans="1:30" ht="20.100000000000001" customHeight="1" x14ac:dyDescent="0.25">
      <c r="A286" s="230"/>
      <c r="B286" s="231"/>
      <c r="C286" s="231"/>
      <c r="D286" s="231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30"/>
      <c r="S286" s="239"/>
      <c r="T286" s="230"/>
      <c r="U286" s="230"/>
      <c r="V286" s="230"/>
      <c r="W286" s="230"/>
      <c r="X286" s="239"/>
      <c r="Y286" s="239"/>
      <c r="Z286" s="230"/>
      <c r="AA286" s="230"/>
      <c r="AB286" s="230"/>
      <c r="AC286" s="230"/>
      <c r="AD286" s="239"/>
    </row>
    <row r="287" spans="1:30" ht="20.100000000000001" customHeight="1" x14ac:dyDescent="0.25">
      <c r="A287" s="230"/>
      <c r="B287" s="231"/>
      <c r="C287" s="231"/>
      <c r="D287" s="231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30"/>
      <c r="S287" s="239"/>
      <c r="T287" s="230"/>
      <c r="U287" s="230"/>
      <c r="V287" s="230"/>
      <c r="W287" s="230"/>
      <c r="X287" s="239"/>
      <c r="Y287" s="239"/>
      <c r="Z287" s="230"/>
      <c r="AA287" s="230"/>
      <c r="AB287" s="230"/>
      <c r="AC287" s="230"/>
      <c r="AD287" s="239"/>
    </row>
    <row r="288" spans="1:30" ht="20.100000000000001" customHeight="1" x14ac:dyDescent="0.25">
      <c r="A288" s="230"/>
      <c r="B288" s="231"/>
      <c r="C288" s="231"/>
      <c r="D288" s="231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30"/>
      <c r="S288" s="239"/>
      <c r="T288" s="230"/>
      <c r="U288" s="230"/>
      <c r="V288" s="230"/>
      <c r="W288" s="230"/>
      <c r="X288" s="239"/>
      <c r="Y288" s="239"/>
      <c r="Z288" s="230"/>
      <c r="AA288" s="230"/>
      <c r="AB288" s="230"/>
      <c r="AC288" s="230"/>
      <c r="AD288" s="239"/>
    </row>
    <row r="289" spans="1:30" ht="20.100000000000001" customHeight="1" x14ac:dyDescent="0.25">
      <c r="A289" s="230"/>
      <c r="B289" s="231"/>
      <c r="C289" s="231"/>
      <c r="D289" s="231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30"/>
      <c r="S289" s="239"/>
      <c r="T289" s="230"/>
      <c r="U289" s="230"/>
      <c r="V289" s="230"/>
      <c r="W289" s="230"/>
      <c r="X289" s="239"/>
      <c r="Y289" s="239"/>
      <c r="Z289" s="230"/>
      <c r="AA289" s="230"/>
      <c r="AB289" s="230"/>
      <c r="AC289" s="230"/>
      <c r="AD289" s="239"/>
    </row>
    <row r="290" spans="1:30" ht="20.100000000000001" customHeight="1" x14ac:dyDescent="0.25">
      <c r="A290" s="230"/>
      <c r="B290" s="231"/>
      <c r="C290" s="231"/>
      <c r="D290" s="231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30"/>
      <c r="S290" s="239"/>
      <c r="T290" s="230"/>
      <c r="U290" s="230"/>
      <c r="V290" s="230"/>
      <c r="W290" s="230"/>
      <c r="X290" s="239"/>
      <c r="Y290" s="239"/>
      <c r="Z290" s="230"/>
      <c r="AA290" s="230"/>
      <c r="AB290" s="230"/>
      <c r="AC290" s="230"/>
      <c r="AD290" s="239"/>
    </row>
    <row r="291" spans="1:30" ht="20.100000000000001" customHeight="1" x14ac:dyDescent="0.25">
      <c r="A291" s="230"/>
      <c r="B291" s="231"/>
      <c r="C291" s="231"/>
      <c r="D291" s="231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30"/>
      <c r="S291" s="239"/>
      <c r="T291" s="230"/>
      <c r="U291" s="230"/>
      <c r="V291" s="230"/>
      <c r="W291" s="230"/>
      <c r="X291" s="239"/>
      <c r="Y291" s="239"/>
      <c r="Z291" s="230"/>
      <c r="AA291" s="230"/>
      <c r="AB291" s="230"/>
      <c r="AC291" s="230"/>
      <c r="AD291" s="239"/>
    </row>
    <row r="292" spans="1:30" ht="20.100000000000001" customHeight="1" x14ac:dyDescent="0.25">
      <c r="A292" s="230"/>
      <c r="B292" s="231"/>
      <c r="C292" s="231"/>
      <c r="D292" s="231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30"/>
      <c r="S292" s="239"/>
      <c r="T292" s="230"/>
      <c r="U292" s="230"/>
      <c r="V292" s="230"/>
      <c r="W292" s="230"/>
      <c r="X292" s="239"/>
      <c r="Y292" s="239"/>
      <c r="Z292" s="230"/>
      <c r="AA292" s="230"/>
      <c r="AB292" s="230"/>
      <c r="AC292" s="230"/>
      <c r="AD292" s="239"/>
    </row>
    <row r="293" spans="1:30" ht="20.100000000000001" customHeight="1" x14ac:dyDescent="0.25">
      <c r="A293" s="230"/>
      <c r="B293" s="231"/>
      <c r="C293" s="231"/>
      <c r="D293" s="231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30"/>
      <c r="S293" s="239"/>
      <c r="T293" s="230"/>
      <c r="U293" s="230"/>
      <c r="V293" s="230"/>
      <c r="W293" s="230"/>
      <c r="X293" s="239"/>
      <c r="Y293" s="239"/>
      <c r="Z293" s="230"/>
      <c r="AA293" s="230"/>
      <c r="AB293" s="230"/>
      <c r="AC293" s="230"/>
      <c r="AD293" s="239"/>
    </row>
    <row r="294" spans="1:30" ht="20.100000000000001" customHeight="1" x14ac:dyDescent="0.25">
      <c r="A294" s="230"/>
      <c r="B294" s="231"/>
      <c r="C294" s="231"/>
      <c r="D294" s="231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30"/>
      <c r="S294" s="239"/>
      <c r="T294" s="230"/>
      <c r="U294" s="230"/>
      <c r="V294" s="230"/>
      <c r="W294" s="230"/>
      <c r="X294" s="239"/>
      <c r="Y294" s="239"/>
      <c r="Z294" s="230"/>
      <c r="AA294" s="230"/>
      <c r="AB294" s="230"/>
      <c r="AC294" s="230"/>
      <c r="AD294" s="239"/>
    </row>
    <row r="295" spans="1:30" ht="20.100000000000001" customHeight="1" x14ac:dyDescent="0.25">
      <c r="A295" s="230"/>
      <c r="B295" s="231"/>
      <c r="C295" s="231"/>
      <c r="D295" s="231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30"/>
      <c r="S295" s="239"/>
      <c r="T295" s="230"/>
      <c r="U295" s="230"/>
      <c r="V295" s="230"/>
      <c r="W295" s="230"/>
      <c r="X295" s="239"/>
      <c r="Y295" s="239"/>
      <c r="Z295" s="230"/>
      <c r="AA295" s="230"/>
      <c r="AB295" s="230"/>
      <c r="AC295" s="230"/>
      <c r="AD295" s="239"/>
    </row>
    <row r="296" spans="1:30" ht="20.100000000000001" customHeight="1" x14ac:dyDescent="0.25">
      <c r="A296" s="230"/>
      <c r="B296" s="231"/>
      <c r="C296" s="231"/>
      <c r="D296" s="231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30"/>
      <c r="S296" s="239"/>
      <c r="T296" s="230"/>
      <c r="U296" s="230"/>
      <c r="V296" s="230"/>
      <c r="W296" s="230"/>
      <c r="X296" s="239"/>
      <c r="Y296" s="239"/>
      <c r="Z296" s="230"/>
      <c r="AA296" s="230"/>
      <c r="AB296" s="230"/>
      <c r="AC296" s="230"/>
      <c r="AD296" s="239"/>
    </row>
    <row r="297" spans="1:30" ht="20.100000000000001" customHeight="1" x14ac:dyDescent="0.25">
      <c r="A297" s="230"/>
      <c r="B297" s="231"/>
      <c r="C297" s="231"/>
      <c r="D297" s="231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30"/>
      <c r="S297" s="239"/>
      <c r="T297" s="230"/>
      <c r="U297" s="230"/>
      <c r="V297" s="230"/>
      <c r="W297" s="230"/>
      <c r="X297" s="239"/>
      <c r="Y297" s="239"/>
      <c r="Z297" s="230"/>
      <c r="AA297" s="230"/>
      <c r="AB297" s="230"/>
      <c r="AC297" s="230"/>
      <c r="AD297" s="239"/>
    </row>
    <row r="298" spans="1:30" ht="20.100000000000001" customHeight="1" x14ac:dyDescent="0.25">
      <c r="A298" s="230"/>
      <c r="B298" s="231"/>
      <c r="C298" s="231"/>
      <c r="D298" s="231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30"/>
      <c r="S298" s="239"/>
      <c r="T298" s="230"/>
      <c r="U298" s="230"/>
      <c r="V298" s="230"/>
      <c r="W298" s="230"/>
      <c r="X298" s="239"/>
      <c r="Y298" s="239"/>
      <c r="Z298" s="230"/>
      <c r="AA298" s="230"/>
      <c r="AB298" s="230"/>
      <c r="AC298" s="230"/>
      <c r="AD298" s="239"/>
    </row>
    <row r="299" spans="1:30" ht="20.100000000000001" customHeight="1" x14ac:dyDescent="0.25">
      <c r="A299" s="230"/>
      <c r="B299" s="231"/>
      <c r="C299" s="231"/>
      <c r="D299" s="231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30"/>
      <c r="S299" s="239"/>
      <c r="T299" s="230"/>
      <c r="U299" s="230"/>
      <c r="V299" s="230"/>
      <c r="W299" s="230"/>
      <c r="X299" s="239"/>
      <c r="Y299" s="239"/>
      <c r="Z299" s="230"/>
      <c r="AA299" s="230"/>
      <c r="AB299" s="230"/>
      <c r="AC299" s="230"/>
      <c r="AD299" s="239"/>
    </row>
    <row r="300" spans="1:30" ht="20.100000000000001" customHeight="1" x14ac:dyDescent="0.25">
      <c r="A300" s="230"/>
      <c r="B300" s="231"/>
      <c r="C300" s="231"/>
      <c r="D300" s="231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30"/>
      <c r="S300" s="239"/>
      <c r="T300" s="230"/>
      <c r="U300" s="230"/>
      <c r="V300" s="230"/>
      <c r="W300" s="230"/>
      <c r="X300" s="239"/>
      <c r="Y300" s="239"/>
      <c r="Z300" s="230"/>
      <c r="AA300" s="230"/>
      <c r="AB300" s="230"/>
      <c r="AC300" s="230"/>
      <c r="AD300" s="239"/>
    </row>
    <row r="301" spans="1:30" ht="20.100000000000001" customHeight="1" x14ac:dyDescent="0.25">
      <c r="A301" s="230"/>
      <c r="B301" s="231"/>
      <c r="C301" s="231"/>
      <c r="D301" s="231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30"/>
      <c r="S301" s="239"/>
      <c r="T301" s="230"/>
      <c r="U301" s="230"/>
      <c r="V301" s="230"/>
      <c r="W301" s="230"/>
      <c r="X301" s="239"/>
      <c r="Y301" s="239"/>
      <c r="Z301" s="230"/>
      <c r="AA301" s="230"/>
      <c r="AB301" s="230"/>
      <c r="AC301" s="230"/>
      <c r="AD301" s="239"/>
    </row>
    <row r="302" spans="1:30" ht="20.100000000000001" customHeight="1" x14ac:dyDescent="0.25">
      <c r="A302" s="230"/>
      <c r="B302" s="231"/>
      <c r="C302" s="231"/>
      <c r="D302" s="231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30"/>
      <c r="S302" s="239"/>
      <c r="T302" s="230"/>
      <c r="U302" s="230"/>
      <c r="V302" s="230"/>
      <c r="W302" s="230"/>
      <c r="X302" s="239"/>
      <c r="Y302" s="239"/>
      <c r="Z302" s="230"/>
      <c r="AA302" s="230"/>
      <c r="AB302" s="230"/>
      <c r="AC302" s="230"/>
      <c r="AD302" s="239"/>
    </row>
    <row r="303" spans="1:30" ht="20.100000000000001" customHeight="1" x14ac:dyDescent="0.25">
      <c r="A303" s="230"/>
      <c r="B303" s="231"/>
      <c r="C303" s="231"/>
      <c r="D303" s="231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30"/>
      <c r="S303" s="239"/>
      <c r="T303" s="230"/>
      <c r="U303" s="230"/>
      <c r="V303" s="230"/>
      <c r="W303" s="230"/>
      <c r="X303" s="239"/>
      <c r="Y303" s="239"/>
      <c r="Z303" s="230"/>
      <c r="AA303" s="230"/>
      <c r="AB303" s="230"/>
      <c r="AC303" s="230"/>
      <c r="AD303" s="239"/>
    </row>
    <row r="304" spans="1:30" ht="20.100000000000001" customHeight="1" x14ac:dyDescent="0.25">
      <c r="A304" s="230"/>
      <c r="B304" s="231"/>
      <c r="C304" s="231"/>
      <c r="D304" s="231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30"/>
      <c r="S304" s="239"/>
      <c r="T304" s="230"/>
      <c r="U304" s="230"/>
      <c r="V304" s="230"/>
      <c r="W304" s="230"/>
      <c r="X304" s="239"/>
      <c r="Y304" s="239"/>
      <c r="Z304" s="230"/>
      <c r="AA304" s="230"/>
      <c r="AB304" s="230"/>
      <c r="AC304" s="230"/>
      <c r="AD304" s="239"/>
    </row>
    <row r="305" spans="1:30" ht="20.100000000000001" customHeight="1" x14ac:dyDescent="0.25">
      <c r="A305" s="230"/>
      <c r="B305" s="231"/>
      <c r="C305" s="231"/>
      <c r="D305" s="231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30"/>
      <c r="S305" s="239"/>
      <c r="T305" s="230"/>
      <c r="U305" s="230"/>
      <c r="V305" s="230"/>
      <c r="W305" s="230"/>
      <c r="X305" s="239"/>
      <c r="Y305" s="239"/>
      <c r="Z305" s="230"/>
      <c r="AA305" s="230"/>
      <c r="AB305" s="230"/>
      <c r="AC305" s="230"/>
      <c r="AD305" s="239"/>
    </row>
    <row r="306" spans="1:30" ht="20.100000000000001" customHeight="1" x14ac:dyDescent="0.25">
      <c r="A306" s="230"/>
      <c r="B306" s="231"/>
      <c r="C306" s="231"/>
      <c r="D306" s="231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30"/>
      <c r="S306" s="239"/>
      <c r="T306" s="230"/>
      <c r="U306" s="230"/>
      <c r="V306" s="230"/>
      <c r="W306" s="230"/>
      <c r="X306" s="239"/>
      <c r="Y306" s="239"/>
      <c r="Z306" s="230"/>
      <c r="AA306" s="230"/>
      <c r="AB306" s="230"/>
      <c r="AC306" s="230"/>
      <c r="AD306" s="239"/>
    </row>
    <row r="307" spans="1:30" ht="20.100000000000001" customHeight="1" x14ac:dyDescent="0.25">
      <c r="A307" s="230"/>
      <c r="B307" s="231"/>
      <c r="C307" s="231"/>
      <c r="D307" s="231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30"/>
      <c r="S307" s="239"/>
      <c r="T307" s="230"/>
      <c r="U307" s="230"/>
      <c r="V307" s="230"/>
      <c r="W307" s="230"/>
      <c r="X307" s="239"/>
      <c r="Y307" s="239"/>
      <c r="Z307" s="230"/>
      <c r="AA307" s="230"/>
      <c r="AB307" s="230"/>
      <c r="AC307" s="230"/>
      <c r="AD307" s="239"/>
    </row>
    <row r="308" spans="1:30" ht="20.100000000000001" customHeight="1" x14ac:dyDescent="0.25">
      <c r="A308" s="230"/>
      <c r="B308" s="231"/>
      <c r="C308" s="231"/>
      <c r="D308" s="231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30"/>
      <c r="S308" s="239"/>
      <c r="T308" s="230"/>
      <c r="U308" s="230"/>
      <c r="V308" s="230"/>
      <c r="W308" s="230"/>
      <c r="X308" s="239"/>
      <c r="Y308" s="239"/>
      <c r="Z308" s="230"/>
      <c r="AA308" s="230"/>
      <c r="AB308" s="230"/>
      <c r="AC308" s="230"/>
      <c r="AD308" s="239"/>
    </row>
    <row r="309" spans="1:30" ht="20.100000000000001" customHeight="1" x14ac:dyDescent="0.25">
      <c r="A309" s="230"/>
      <c r="B309" s="231"/>
      <c r="C309" s="231"/>
      <c r="D309" s="231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30"/>
      <c r="S309" s="239"/>
      <c r="T309" s="230"/>
      <c r="U309" s="230"/>
      <c r="V309" s="230"/>
      <c r="W309" s="230"/>
      <c r="X309" s="239"/>
      <c r="Y309" s="239"/>
      <c r="Z309" s="230"/>
      <c r="AA309" s="230"/>
      <c r="AB309" s="230"/>
      <c r="AC309" s="230"/>
      <c r="AD309" s="239"/>
    </row>
    <row r="310" spans="1:30" ht="20.100000000000001" customHeight="1" x14ac:dyDescent="0.25">
      <c r="A310" s="230"/>
      <c r="B310" s="231"/>
      <c r="C310" s="231"/>
      <c r="D310" s="231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30"/>
      <c r="S310" s="239"/>
      <c r="T310" s="230"/>
      <c r="U310" s="230"/>
      <c r="V310" s="230"/>
      <c r="W310" s="230"/>
      <c r="X310" s="239"/>
      <c r="Y310" s="239"/>
      <c r="Z310" s="230"/>
      <c r="AA310" s="230"/>
      <c r="AB310" s="230"/>
      <c r="AC310" s="230"/>
      <c r="AD310" s="239"/>
    </row>
    <row r="311" spans="1:30" ht="20.100000000000001" customHeight="1" x14ac:dyDescent="0.25">
      <c r="A311" s="230"/>
      <c r="B311" s="231"/>
      <c r="C311" s="231"/>
      <c r="D311" s="231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30"/>
      <c r="S311" s="239"/>
      <c r="T311" s="230"/>
      <c r="U311" s="230"/>
      <c r="V311" s="230"/>
      <c r="W311" s="230"/>
      <c r="X311" s="239"/>
      <c r="Y311" s="239"/>
      <c r="Z311" s="230"/>
      <c r="AA311" s="230"/>
      <c r="AB311" s="230"/>
      <c r="AC311" s="230"/>
      <c r="AD311" s="239"/>
    </row>
    <row r="312" spans="1:30" ht="20.100000000000001" customHeight="1" x14ac:dyDescent="0.25">
      <c r="A312" s="230"/>
      <c r="B312" s="231"/>
      <c r="C312" s="231"/>
      <c r="D312" s="231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30"/>
      <c r="S312" s="239"/>
      <c r="T312" s="230"/>
      <c r="U312" s="230"/>
      <c r="V312" s="230"/>
      <c r="W312" s="230"/>
      <c r="X312" s="239"/>
      <c r="Y312" s="239"/>
      <c r="Z312" s="230"/>
      <c r="AA312" s="230"/>
      <c r="AB312" s="230"/>
      <c r="AC312" s="230"/>
      <c r="AD312" s="239"/>
    </row>
    <row r="313" spans="1:30" ht="20.100000000000001" customHeight="1" x14ac:dyDescent="0.25">
      <c r="A313" s="230"/>
      <c r="B313" s="231"/>
      <c r="C313" s="231"/>
      <c r="D313" s="231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30"/>
      <c r="S313" s="239"/>
      <c r="T313" s="230"/>
      <c r="U313" s="230"/>
      <c r="V313" s="230"/>
      <c r="W313" s="230"/>
      <c r="X313" s="239"/>
      <c r="Y313" s="239"/>
      <c r="Z313" s="230"/>
      <c r="AA313" s="230"/>
      <c r="AB313" s="230"/>
      <c r="AC313" s="230"/>
      <c r="AD313" s="239"/>
    </row>
    <row r="314" spans="1:30" ht="20.100000000000001" customHeight="1" x14ac:dyDescent="0.25">
      <c r="A314" s="230"/>
      <c r="B314" s="231"/>
      <c r="C314" s="231"/>
      <c r="D314" s="231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30"/>
      <c r="S314" s="239"/>
      <c r="T314" s="230"/>
      <c r="U314" s="230"/>
      <c r="V314" s="230"/>
      <c r="W314" s="230"/>
      <c r="X314" s="239"/>
      <c r="Y314" s="239"/>
      <c r="Z314" s="230"/>
      <c r="AA314" s="230"/>
      <c r="AB314" s="230"/>
      <c r="AC314" s="230"/>
      <c r="AD314" s="239"/>
    </row>
    <row r="315" spans="1:30" ht="20.100000000000001" customHeight="1" x14ac:dyDescent="0.25">
      <c r="A315" s="230"/>
      <c r="B315" s="231"/>
      <c r="C315" s="231"/>
      <c r="D315" s="231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30"/>
      <c r="S315" s="239"/>
      <c r="T315" s="230"/>
      <c r="U315" s="230"/>
      <c r="V315" s="230"/>
      <c r="W315" s="230"/>
      <c r="X315" s="239"/>
      <c r="Y315" s="239"/>
      <c r="Z315" s="230"/>
      <c r="AA315" s="230"/>
      <c r="AB315" s="230"/>
      <c r="AC315" s="230"/>
      <c r="AD315" s="239"/>
    </row>
    <row r="316" spans="1:30" ht="20.100000000000001" customHeight="1" x14ac:dyDescent="0.25">
      <c r="A316" s="230"/>
      <c r="B316" s="231"/>
      <c r="C316" s="231"/>
      <c r="D316" s="231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30"/>
      <c r="S316" s="239"/>
      <c r="T316" s="230"/>
      <c r="U316" s="230"/>
      <c r="V316" s="230"/>
      <c r="W316" s="230"/>
      <c r="X316" s="239"/>
      <c r="Y316" s="239"/>
      <c r="Z316" s="230"/>
      <c r="AA316" s="230"/>
      <c r="AB316" s="230"/>
      <c r="AC316" s="230"/>
      <c r="AD316" s="239"/>
    </row>
    <row r="317" spans="1:30" ht="20.100000000000001" customHeight="1" x14ac:dyDescent="0.25">
      <c r="A317" s="230"/>
      <c r="B317" s="231"/>
      <c r="C317" s="231"/>
      <c r="D317" s="231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30"/>
      <c r="S317" s="239"/>
      <c r="T317" s="230"/>
      <c r="U317" s="230"/>
      <c r="V317" s="230"/>
      <c r="W317" s="230"/>
      <c r="X317" s="239"/>
      <c r="Y317" s="239"/>
      <c r="Z317" s="230"/>
      <c r="AA317" s="230"/>
      <c r="AB317" s="230"/>
      <c r="AC317" s="230"/>
      <c r="AD317" s="239"/>
    </row>
    <row r="318" spans="1:30" ht="20.100000000000001" customHeight="1" x14ac:dyDescent="0.25">
      <c r="A318" s="230"/>
      <c r="B318" s="231"/>
      <c r="C318" s="231"/>
      <c r="D318" s="231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30"/>
      <c r="S318" s="239"/>
      <c r="T318" s="230"/>
      <c r="U318" s="230"/>
      <c r="V318" s="230"/>
      <c r="W318" s="230"/>
      <c r="X318" s="239"/>
      <c r="Y318" s="239"/>
      <c r="Z318" s="230"/>
      <c r="AA318" s="230"/>
      <c r="AB318" s="230"/>
      <c r="AC318" s="230"/>
      <c r="AD318" s="239"/>
    </row>
    <row r="319" spans="1:30" ht="20.100000000000001" customHeight="1" x14ac:dyDescent="0.25">
      <c r="A319" s="230"/>
      <c r="B319" s="231"/>
      <c r="C319" s="231"/>
      <c r="D319" s="231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30"/>
      <c r="S319" s="239"/>
      <c r="T319" s="230"/>
      <c r="U319" s="230"/>
      <c r="V319" s="230"/>
      <c r="W319" s="230"/>
      <c r="X319" s="239"/>
      <c r="Y319" s="239"/>
      <c r="Z319" s="230"/>
      <c r="AA319" s="230"/>
      <c r="AB319" s="230"/>
      <c r="AC319" s="230"/>
      <c r="AD319" s="239"/>
    </row>
    <row r="320" spans="1:30" ht="20.100000000000001" customHeight="1" x14ac:dyDescent="0.25">
      <c r="A320" s="230"/>
      <c r="B320" s="231"/>
      <c r="C320" s="231"/>
      <c r="D320" s="231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30"/>
      <c r="S320" s="239"/>
      <c r="T320" s="230"/>
      <c r="U320" s="230"/>
      <c r="V320" s="230"/>
      <c r="W320" s="230"/>
      <c r="X320" s="239"/>
      <c r="Y320" s="239"/>
      <c r="Z320" s="230"/>
      <c r="AA320" s="230"/>
      <c r="AB320" s="230"/>
      <c r="AC320" s="230"/>
      <c r="AD320" s="239"/>
    </row>
    <row r="321" spans="1:30" ht="20.100000000000001" customHeight="1" x14ac:dyDescent="0.25">
      <c r="A321" s="230"/>
      <c r="B321" s="231"/>
      <c r="C321" s="231"/>
      <c r="D321" s="231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30"/>
      <c r="S321" s="239"/>
      <c r="T321" s="230"/>
      <c r="U321" s="230"/>
      <c r="V321" s="230"/>
      <c r="W321" s="230"/>
      <c r="X321" s="239"/>
      <c r="Y321" s="239"/>
      <c r="Z321" s="230"/>
      <c r="AA321" s="230"/>
      <c r="AB321" s="230"/>
      <c r="AC321" s="230"/>
      <c r="AD321" s="239"/>
    </row>
    <row r="322" spans="1:30" ht="20.100000000000001" customHeight="1" x14ac:dyDescent="0.25">
      <c r="A322" s="230"/>
      <c r="B322" s="231"/>
      <c r="C322" s="231"/>
      <c r="D322" s="231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30"/>
      <c r="S322" s="239"/>
      <c r="T322" s="230"/>
      <c r="U322" s="230"/>
      <c r="V322" s="230"/>
      <c r="W322" s="230"/>
      <c r="X322" s="239"/>
      <c r="Y322" s="239"/>
      <c r="Z322" s="230"/>
      <c r="AA322" s="230"/>
      <c r="AB322" s="230"/>
      <c r="AC322" s="230"/>
      <c r="AD322" s="239"/>
    </row>
    <row r="323" spans="1:30" ht="20.100000000000001" customHeight="1" x14ac:dyDescent="0.25">
      <c r="A323" s="230"/>
      <c r="B323" s="231"/>
      <c r="C323" s="231"/>
      <c r="D323" s="231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30"/>
      <c r="S323" s="239"/>
      <c r="T323" s="230"/>
      <c r="U323" s="230"/>
      <c r="V323" s="230"/>
      <c r="W323" s="230"/>
      <c r="X323" s="239"/>
      <c r="Y323" s="239"/>
      <c r="Z323" s="230"/>
      <c r="AA323" s="230"/>
      <c r="AB323" s="230"/>
      <c r="AC323" s="230"/>
      <c r="AD323" s="239"/>
    </row>
    <row r="324" spans="1:30" ht="20.100000000000001" customHeight="1" x14ac:dyDescent="0.25">
      <c r="A324" s="230"/>
      <c r="B324" s="231"/>
      <c r="C324" s="231"/>
      <c r="D324" s="231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30"/>
      <c r="S324" s="239"/>
      <c r="T324" s="230"/>
      <c r="U324" s="230"/>
      <c r="V324" s="230"/>
      <c r="W324" s="230"/>
      <c r="X324" s="239"/>
      <c r="Y324" s="239"/>
      <c r="Z324" s="230"/>
      <c r="AA324" s="230"/>
      <c r="AB324" s="230"/>
      <c r="AC324" s="230"/>
      <c r="AD324" s="239"/>
    </row>
    <row r="325" spans="1:30" ht="20.100000000000001" customHeight="1" x14ac:dyDescent="0.25">
      <c r="A325" s="230"/>
      <c r="B325" s="231"/>
      <c r="C325" s="231"/>
      <c r="D325" s="231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30"/>
      <c r="S325" s="239"/>
      <c r="T325" s="230"/>
      <c r="U325" s="230"/>
      <c r="V325" s="230"/>
      <c r="W325" s="230"/>
      <c r="X325" s="239"/>
      <c r="Y325" s="239"/>
      <c r="Z325" s="230"/>
      <c r="AA325" s="230"/>
      <c r="AB325" s="230"/>
      <c r="AC325" s="230"/>
      <c r="AD325" s="239"/>
    </row>
    <row r="326" spans="1:30" ht="20.100000000000001" customHeight="1" x14ac:dyDescent="0.25">
      <c r="A326" s="230"/>
      <c r="B326" s="231"/>
      <c r="C326" s="231"/>
      <c r="D326" s="231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30"/>
      <c r="S326" s="239"/>
      <c r="T326" s="230"/>
      <c r="U326" s="230"/>
      <c r="V326" s="230"/>
      <c r="W326" s="230"/>
      <c r="X326" s="239"/>
      <c r="Y326" s="239"/>
      <c r="Z326" s="230"/>
      <c r="AA326" s="230"/>
      <c r="AB326" s="230"/>
      <c r="AC326" s="230"/>
      <c r="AD326" s="239"/>
    </row>
    <row r="327" spans="1:30" ht="20.100000000000001" customHeight="1" x14ac:dyDescent="0.25">
      <c r="A327" s="230"/>
      <c r="B327" s="231"/>
      <c r="C327" s="231"/>
      <c r="D327" s="231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30"/>
      <c r="S327" s="239"/>
      <c r="T327" s="230"/>
      <c r="U327" s="230"/>
      <c r="V327" s="230"/>
      <c r="W327" s="230"/>
      <c r="X327" s="239"/>
      <c r="Y327" s="239"/>
      <c r="Z327" s="230"/>
      <c r="AA327" s="230"/>
      <c r="AB327" s="230"/>
      <c r="AC327" s="230"/>
      <c r="AD327" s="239"/>
    </row>
    <row r="328" spans="1:30" ht="20.100000000000001" customHeight="1" x14ac:dyDescent="0.25">
      <c r="A328" s="230"/>
      <c r="B328" s="231"/>
      <c r="C328" s="231"/>
      <c r="D328" s="231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30"/>
      <c r="S328" s="239"/>
      <c r="T328" s="230"/>
      <c r="U328" s="230"/>
      <c r="V328" s="230"/>
      <c r="W328" s="230"/>
      <c r="X328" s="239"/>
      <c r="Y328" s="239"/>
      <c r="Z328" s="230"/>
      <c r="AA328" s="230"/>
      <c r="AB328" s="230"/>
      <c r="AC328" s="230"/>
      <c r="AD328" s="239"/>
    </row>
    <row r="329" spans="1:30" ht="20.100000000000001" customHeight="1" x14ac:dyDescent="0.25">
      <c r="A329" s="230"/>
      <c r="B329" s="231"/>
      <c r="C329" s="231"/>
      <c r="D329" s="231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30"/>
      <c r="S329" s="239"/>
      <c r="T329" s="230"/>
      <c r="U329" s="230"/>
      <c r="V329" s="230"/>
      <c r="W329" s="230"/>
      <c r="X329" s="239"/>
      <c r="Y329" s="239"/>
      <c r="Z329" s="230"/>
      <c r="AA329" s="230"/>
      <c r="AB329" s="230"/>
      <c r="AC329" s="230"/>
      <c r="AD329" s="239"/>
    </row>
    <row r="330" spans="1:30" ht="20.100000000000001" customHeight="1" x14ac:dyDescent="0.25">
      <c r="A330" s="230"/>
      <c r="B330" s="231"/>
      <c r="C330" s="231"/>
      <c r="D330" s="231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30"/>
      <c r="S330" s="239"/>
      <c r="T330" s="230"/>
      <c r="U330" s="230"/>
      <c r="V330" s="230"/>
      <c r="W330" s="230"/>
      <c r="X330" s="239"/>
      <c r="Y330" s="239"/>
      <c r="Z330" s="230"/>
      <c r="AA330" s="230"/>
      <c r="AB330" s="230"/>
      <c r="AC330" s="230"/>
      <c r="AD330" s="239"/>
    </row>
    <row r="331" spans="1:30" ht="20.100000000000001" customHeight="1" x14ac:dyDescent="0.25">
      <c r="A331" s="230"/>
      <c r="B331" s="231"/>
      <c r="C331" s="231"/>
      <c r="D331" s="231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30"/>
      <c r="S331" s="239"/>
      <c r="T331" s="230"/>
      <c r="U331" s="230"/>
      <c r="V331" s="230"/>
      <c r="W331" s="230"/>
      <c r="X331" s="239"/>
      <c r="Y331" s="239"/>
      <c r="Z331" s="230"/>
      <c r="AA331" s="230"/>
      <c r="AB331" s="230"/>
      <c r="AC331" s="230"/>
      <c r="AD331" s="239"/>
    </row>
    <row r="332" spans="1:30" ht="20.100000000000001" customHeight="1" x14ac:dyDescent="0.25">
      <c r="A332" s="230"/>
      <c r="B332" s="231"/>
      <c r="C332" s="231"/>
      <c r="D332" s="231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30"/>
      <c r="S332" s="239"/>
      <c r="T332" s="230"/>
      <c r="U332" s="230"/>
      <c r="V332" s="230"/>
      <c r="W332" s="230"/>
      <c r="X332" s="239"/>
      <c r="Y332" s="239"/>
      <c r="Z332" s="230"/>
      <c r="AA332" s="230"/>
      <c r="AB332" s="230"/>
      <c r="AC332" s="230"/>
      <c r="AD332" s="239"/>
    </row>
    <row r="333" spans="1:30" ht="20.100000000000001" customHeight="1" x14ac:dyDescent="0.25">
      <c r="A333" s="230"/>
      <c r="B333" s="231"/>
      <c r="C333" s="231"/>
      <c r="D333" s="231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30"/>
      <c r="S333" s="239"/>
      <c r="T333" s="230"/>
      <c r="U333" s="230"/>
      <c r="V333" s="230"/>
      <c r="W333" s="230"/>
      <c r="X333" s="239"/>
      <c r="Y333" s="239"/>
      <c r="Z333" s="230"/>
      <c r="AA333" s="230"/>
      <c r="AB333" s="230"/>
      <c r="AC333" s="230"/>
      <c r="AD333" s="239"/>
    </row>
    <row r="334" spans="1:30" ht="20.100000000000001" customHeight="1" x14ac:dyDescent="0.25">
      <c r="A334" s="230"/>
      <c r="B334" s="231"/>
      <c r="C334" s="231"/>
      <c r="D334" s="231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30"/>
      <c r="S334" s="239"/>
      <c r="T334" s="230"/>
      <c r="U334" s="230"/>
      <c r="V334" s="230"/>
      <c r="W334" s="230"/>
      <c r="X334" s="239"/>
      <c r="Y334" s="239"/>
      <c r="Z334" s="230"/>
      <c r="AA334" s="230"/>
      <c r="AB334" s="230"/>
      <c r="AC334" s="230"/>
      <c r="AD334" s="239"/>
    </row>
    <row r="335" spans="1:30" ht="20.100000000000001" customHeight="1" x14ac:dyDescent="0.25">
      <c r="A335" s="230"/>
      <c r="B335" s="231"/>
      <c r="C335" s="231"/>
      <c r="D335" s="231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30"/>
      <c r="S335" s="239"/>
      <c r="T335" s="230"/>
      <c r="U335" s="230"/>
      <c r="V335" s="230"/>
      <c r="W335" s="230"/>
      <c r="X335" s="239"/>
      <c r="Y335" s="239"/>
      <c r="Z335" s="230"/>
      <c r="AA335" s="230"/>
      <c r="AB335" s="230"/>
      <c r="AC335" s="230"/>
      <c r="AD335" s="239"/>
    </row>
    <row r="336" spans="1:30" ht="20.100000000000001" customHeight="1" x14ac:dyDescent="0.25">
      <c r="A336" s="230"/>
      <c r="B336" s="231"/>
      <c r="C336" s="231"/>
      <c r="D336" s="231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30"/>
      <c r="S336" s="239"/>
      <c r="T336" s="230"/>
      <c r="U336" s="230"/>
      <c r="V336" s="230"/>
      <c r="W336" s="230"/>
      <c r="X336" s="239"/>
      <c r="Y336" s="239"/>
      <c r="Z336" s="230"/>
      <c r="AA336" s="230"/>
      <c r="AB336" s="230"/>
      <c r="AC336" s="230"/>
      <c r="AD336" s="239"/>
    </row>
    <row r="337" spans="1:30" ht="20.100000000000001" customHeight="1" x14ac:dyDescent="0.25">
      <c r="A337" s="230"/>
      <c r="B337" s="231"/>
      <c r="C337" s="231"/>
      <c r="D337" s="231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30"/>
      <c r="S337" s="239"/>
      <c r="T337" s="230"/>
      <c r="U337" s="230"/>
      <c r="V337" s="230"/>
      <c r="W337" s="230"/>
      <c r="X337" s="239"/>
      <c r="Y337" s="239"/>
      <c r="Z337" s="230"/>
      <c r="AA337" s="230"/>
      <c r="AB337" s="230"/>
      <c r="AC337" s="230"/>
      <c r="AD337" s="239"/>
    </row>
    <row r="338" spans="1:30" ht="20.100000000000001" customHeight="1" x14ac:dyDescent="0.25">
      <c r="A338" s="230"/>
      <c r="B338" s="231"/>
      <c r="C338" s="231"/>
      <c r="D338" s="231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30"/>
      <c r="S338" s="239"/>
      <c r="T338" s="230"/>
      <c r="U338" s="230"/>
      <c r="V338" s="230"/>
      <c r="W338" s="230"/>
      <c r="X338" s="239"/>
      <c r="Y338" s="239"/>
      <c r="Z338" s="230"/>
      <c r="AA338" s="230"/>
      <c r="AB338" s="230"/>
      <c r="AC338" s="230"/>
      <c r="AD338" s="239"/>
    </row>
    <row r="339" spans="1:30" ht="20.100000000000001" customHeight="1" x14ac:dyDescent="0.25">
      <c r="A339" s="230"/>
      <c r="B339" s="231"/>
      <c r="C339" s="231"/>
      <c r="D339" s="231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30"/>
      <c r="S339" s="239"/>
      <c r="T339" s="230"/>
      <c r="U339" s="230"/>
      <c r="V339" s="230"/>
      <c r="W339" s="230"/>
      <c r="X339" s="239"/>
      <c r="Y339" s="239"/>
      <c r="Z339" s="230"/>
      <c r="AA339" s="230"/>
      <c r="AB339" s="230"/>
      <c r="AC339" s="230"/>
      <c r="AD339" s="239"/>
    </row>
    <row r="340" spans="1:30" ht="20.100000000000001" customHeight="1" x14ac:dyDescent="0.25">
      <c r="A340" s="230"/>
      <c r="B340" s="231"/>
      <c r="C340" s="231"/>
      <c r="D340" s="231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30"/>
      <c r="S340" s="239"/>
      <c r="T340" s="230"/>
      <c r="U340" s="230"/>
      <c r="V340" s="230"/>
      <c r="W340" s="230"/>
      <c r="X340" s="239"/>
      <c r="Y340" s="239"/>
      <c r="Z340" s="230"/>
      <c r="AA340" s="230"/>
      <c r="AB340" s="230"/>
      <c r="AC340" s="230"/>
      <c r="AD340" s="239"/>
    </row>
    <row r="341" spans="1:30" ht="20.100000000000001" customHeight="1" x14ac:dyDescent="0.25">
      <c r="A341" s="230"/>
      <c r="B341" s="231"/>
      <c r="C341" s="231"/>
      <c r="D341" s="231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30"/>
      <c r="S341" s="239"/>
      <c r="T341" s="230"/>
      <c r="U341" s="230"/>
      <c r="V341" s="230"/>
      <c r="W341" s="230"/>
      <c r="X341" s="239"/>
      <c r="Y341" s="239"/>
      <c r="Z341" s="230"/>
      <c r="AA341" s="230"/>
      <c r="AB341" s="230"/>
      <c r="AC341" s="230"/>
      <c r="AD341" s="239"/>
    </row>
    <row r="342" spans="1:30" ht="20.100000000000001" customHeight="1" x14ac:dyDescent="0.25">
      <c r="A342" s="230"/>
      <c r="B342" s="231"/>
      <c r="C342" s="231"/>
      <c r="D342" s="231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30"/>
      <c r="S342" s="239"/>
      <c r="T342" s="230"/>
      <c r="U342" s="230"/>
      <c r="V342" s="230"/>
      <c r="W342" s="230"/>
      <c r="X342" s="239"/>
      <c r="Y342" s="239"/>
      <c r="Z342" s="230"/>
      <c r="AA342" s="230"/>
      <c r="AB342" s="230"/>
      <c r="AC342" s="230"/>
      <c r="AD342" s="239"/>
    </row>
    <row r="343" spans="1:30" ht="20.100000000000001" customHeight="1" x14ac:dyDescent="0.25">
      <c r="A343" s="230"/>
      <c r="B343" s="231"/>
      <c r="C343" s="231"/>
      <c r="D343" s="231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30"/>
      <c r="S343" s="239"/>
      <c r="T343" s="230"/>
      <c r="U343" s="230"/>
      <c r="V343" s="230"/>
      <c r="W343" s="230"/>
      <c r="X343" s="239"/>
      <c r="Y343" s="239"/>
      <c r="Z343" s="230"/>
      <c r="AA343" s="230"/>
      <c r="AB343" s="230"/>
      <c r="AC343" s="230"/>
      <c r="AD343" s="239"/>
    </row>
    <row r="344" spans="1:30" ht="20.100000000000001" customHeight="1" x14ac:dyDescent="0.25">
      <c r="A344" s="230"/>
      <c r="B344" s="231"/>
      <c r="C344" s="231"/>
      <c r="D344" s="231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30"/>
      <c r="S344" s="239"/>
      <c r="T344" s="230"/>
      <c r="U344" s="230"/>
      <c r="V344" s="230"/>
      <c r="W344" s="230"/>
      <c r="X344" s="239"/>
      <c r="Y344" s="239"/>
      <c r="Z344" s="230"/>
      <c r="AA344" s="230"/>
      <c r="AB344" s="230"/>
      <c r="AC344" s="230"/>
      <c r="AD344" s="239"/>
    </row>
    <row r="345" spans="1:30" ht="20.100000000000001" customHeight="1" x14ac:dyDescent="0.25">
      <c r="A345" s="230"/>
      <c r="B345" s="231"/>
      <c r="C345" s="231"/>
      <c r="D345" s="231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30"/>
      <c r="S345" s="239"/>
      <c r="T345" s="230"/>
      <c r="U345" s="230"/>
      <c r="V345" s="230"/>
      <c r="W345" s="230"/>
      <c r="X345" s="239"/>
      <c r="Y345" s="239"/>
      <c r="Z345" s="230"/>
      <c r="AA345" s="230"/>
      <c r="AB345" s="230"/>
      <c r="AC345" s="230"/>
      <c r="AD345" s="239"/>
    </row>
    <row r="346" spans="1:30" ht="20.100000000000001" customHeight="1" x14ac:dyDescent="0.25">
      <c r="A346" s="230"/>
      <c r="B346" s="231"/>
      <c r="C346" s="231"/>
      <c r="D346" s="231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30"/>
      <c r="S346" s="239"/>
      <c r="T346" s="230"/>
      <c r="U346" s="230"/>
      <c r="V346" s="230"/>
      <c r="W346" s="230"/>
      <c r="X346" s="239"/>
      <c r="Y346" s="239"/>
      <c r="Z346" s="230"/>
      <c r="AA346" s="230"/>
      <c r="AB346" s="230"/>
      <c r="AC346" s="230"/>
      <c r="AD346" s="239"/>
    </row>
    <row r="347" spans="1:30" ht="20.100000000000001" customHeight="1" x14ac:dyDescent="0.25">
      <c r="A347" s="230"/>
      <c r="B347" s="231"/>
      <c r="C347" s="231"/>
      <c r="D347" s="231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30"/>
      <c r="S347" s="239"/>
      <c r="T347" s="230"/>
      <c r="U347" s="230"/>
      <c r="V347" s="230"/>
      <c r="W347" s="230"/>
      <c r="X347" s="239"/>
      <c r="Y347" s="239"/>
      <c r="Z347" s="230"/>
      <c r="AA347" s="230"/>
      <c r="AB347" s="230"/>
      <c r="AC347" s="230"/>
      <c r="AD347" s="239"/>
    </row>
    <row r="348" spans="1:30" ht="20.100000000000001" customHeight="1" x14ac:dyDescent="0.25">
      <c r="A348" s="230"/>
      <c r="B348" s="231"/>
      <c r="C348" s="231"/>
      <c r="D348" s="231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30"/>
      <c r="S348" s="239"/>
      <c r="T348" s="230"/>
      <c r="U348" s="230"/>
      <c r="V348" s="230"/>
      <c r="W348" s="230"/>
      <c r="X348" s="239"/>
      <c r="Y348" s="239"/>
      <c r="Z348" s="230"/>
      <c r="AA348" s="230"/>
      <c r="AB348" s="230"/>
      <c r="AC348" s="230"/>
      <c r="AD348" s="239"/>
    </row>
    <row r="349" spans="1:30" ht="20.100000000000001" customHeight="1" x14ac:dyDescent="0.25">
      <c r="A349" s="230"/>
      <c r="B349" s="231"/>
      <c r="C349" s="231"/>
      <c r="D349" s="231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30"/>
      <c r="S349" s="239"/>
      <c r="T349" s="230"/>
      <c r="U349" s="230"/>
      <c r="V349" s="230"/>
      <c r="W349" s="230"/>
      <c r="X349" s="239"/>
      <c r="Y349" s="239"/>
      <c r="Z349" s="230"/>
      <c r="AA349" s="230"/>
      <c r="AB349" s="230"/>
      <c r="AC349" s="230"/>
      <c r="AD349" s="239"/>
    </row>
    <row r="350" spans="1:30" ht="20.100000000000001" customHeight="1" x14ac:dyDescent="0.25">
      <c r="A350" s="230"/>
      <c r="B350" s="231"/>
      <c r="C350" s="231"/>
      <c r="D350" s="231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30"/>
      <c r="S350" s="239"/>
      <c r="T350" s="230"/>
      <c r="U350" s="230"/>
      <c r="V350" s="230"/>
      <c r="W350" s="230"/>
      <c r="X350" s="239"/>
      <c r="Y350" s="239"/>
      <c r="Z350" s="230"/>
      <c r="AA350" s="230"/>
      <c r="AB350" s="230"/>
      <c r="AC350" s="230"/>
      <c r="AD350" s="239"/>
    </row>
    <row r="351" spans="1:30" ht="20.100000000000001" customHeight="1" x14ac:dyDescent="0.25">
      <c r="A351" s="230"/>
      <c r="B351" s="231"/>
      <c r="C351" s="231"/>
      <c r="D351" s="231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30"/>
      <c r="S351" s="239"/>
      <c r="T351" s="230"/>
      <c r="U351" s="230"/>
      <c r="V351" s="230"/>
      <c r="W351" s="230"/>
      <c r="X351" s="239"/>
      <c r="Y351" s="239"/>
      <c r="Z351" s="230"/>
      <c r="AA351" s="230"/>
      <c r="AB351" s="230"/>
      <c r="AC351" s="230"/>
      <c r="AD351" s="239"/>
    </row>
    <row r="352" spans="1:30" ht="20.100000000000001" customHeight="1" x14ac:dyDescent="0.25">
      <c r="A352" s="230"/>
      <c r="B352" s="231"/>
      <c r="C352" s="231"/>
      <c r="D352" s="231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30"/>
      <c r="S352" s="239"/>
      <c r="T352" s="230"/>
      <c r="U352" s="230"/>
      <c r="V352" s="230"/>
      <c r="W352" s="230"/>
      <c r="X352" s="239"/>
      <c r="Y352" s="239"/>
      <c r="Z352" s="230"/>
      <c r="AA352" s="230"/>
      <c r="AB352" s="230"/>
      <c r="AC352" s="230"/>
      <c r="AD352" s="239"/>
    </row>
    <row r="353" spans="1:30" ht="20.100000000000001" customHeight="1" x14ac:dyDescent="0.25">
      <c r="A353" s="230"/>
      <c r="B353" s="231"/>
      <c r="C353" s="231"/>
      <c r="D353" s="231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30"/>
      <c r="S353" s="239"/>
      <c r="T353" s="230"/>
      <c r="U353" s="230"/>
      <c r="V353" s="230"/>
      <c r="W353" s="230"/>
      <c r="X353" s="239"/>
      <c r="Y353" s="239"/>
      <c r="Z353" s="230"/>
      <c r="AA353" s="230"/>
      <c r="AB353" s="230"/>
      <c r="AC353" s="230"/>
      <c r="AD353" s="239"/>
    </row>
    <row r="354" spans="1:30" ht="20.100000000000001" customHeight="1" x14ac:dyDescent="0.25">
      <c r="A354" s="230"/>
      <c r="B354" s="231"/>
      <c r="C354" s="231"/>
      <c r="D354" s="231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30"/>
      <c r="S354" s="239"/>
      <c r="T354" s="230"/>
      <c r="U354" s="230"/>
      <c r="V354" s="230"/>
      <c r="W354" s="230"/>
      <c r="X354" s="239"/>
      <c r="Y354" s="239"/>
      <c r="Z354" s="230"/>
      <c r="AA354" s="230"/>
      <c r="AB354" s="230"/>
      <c r="AC354" s="230"/>
      <c r="AD354" s="239"/>
    </row>
    <row r="355" spans="1:30" ht="20.100000000000001" customHeight="1" x14ac:dyDescent="0.25">
      <c r="A355" s="230"/>
      <c r="B355" s="231"/>
      <c r="C355" s="231"/>
      <c r="D355" s="231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30"/>
      <c r="S355" s="239"/>
      <c r="T355" s="230"/>
      <c r="U355" s="230"/>
      <c r="V355" s="230"/>
      <c r="W355" s="230"/>
      <c r="X355" s="239"/>
      <c r="Y355" s="239"/>
      <c r="Z355" s="230"/>
      <c r="AA355" s="230"/>
      <c r="AB355" s="230"/>
      <c r="AC355" s="230"/>
      <c r="AD355" s="239"/>
    </row>
    <row r="356" spans="1:30" ht="20.100000000000001" customHeight="1" x14ac:dyDescent="0.25">
      <c r="A356" s="230"/>
      <c r="B356" s="231"/>
      <c r="C356" s="231"/>
      <c r="D356" s="231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30"/>
      <c r="S356" s="239"/>
      <c r="T356" s="230"/>
      <c r="U356" s="230"/>
      <c r="V356" s="230"/>
      <c r="W356" s="230"/>
      <c r="X356" s="239"/>
      <c r="Y356" s="239"/>
      <c r="Z356" s="230"/>
      <c r="AA356" s="230"/>
      <c r="AB356" s="230"/>
      <c r="AC356" s="230"/>
      <c r="AD356" s="239"/>
    </row>
    <row r="357" spans="1:30" ht="20.100000000000001" customHeight="1" x14ac:dyDescent="0.25">
      <c r="A357" s="230"/>
      <c r="B357" s="231"/>
      <c r="C357" s="231"/>
      <c r="D357" s="231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30"/>
      <c r="S357" s="239"/>
      <c r="T357" s="230"/>
      <c r="U357" s="230"/>
      <c r="V357" s="230"/>
      <c r="W357" s="230"/>
      <c r="X357" s="239"/>
      <c r="Y357" s="239"/>
      <c r="Z357" s="230"/>
      <c r="AA357" s="230"/>
      <c r="AB357" s="230"/>
      <c r="AC357" s="230"/>
      <c r="AD357" s="239"/>
    </row>
    <row r="358" spans="1:30" ht="20.100000000000001" customHeight="1" x14ac:dyDescent="0.25">
      <c r="A358" s="230"/>
      <c r="B358" s="231"/>
      <c r="C358" s="231"/>
      <c r="D358" s="231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30"/>
      <c r="S358" s="239"/>
      <c r="T358" s="230"/>
      <c r="U358" s="230"/>
      <c r="V358" s="230"/>
      <c r="W358" s="230"/>
      <c r="X358" s="239"/>
      <c r="Y358" s="239"/>
      <c r="Z358" s="230"/>
      <c r="AA358" s="230"/>
      <c r="AB358" s="230"/>
      <c r="AC358" s="230"/>
      <c r="AD358" s="239"/>
    </row>
    <row r="359" spans="1:30" ht="20.100000000000001" customHeight="1" x14ac:dyDescent="0.25">
      <c r="A359" s="230"/>
      <c r="B359" s="231"/>
      <c r="C359" s="231"/>
      <c r="D359" s="231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30"/>
      <c r="S359" s="239"/>
      <c r="T359" s="230"/>
      <c r="U359" s="230"/>
      <c r="V359" s="230"/>
      <c r="W359" s="230"/>
      <c r="X359" s="239"/>
      <c r="Y359" s="239"/>
      <c r="Z359" s="230"/>
      <c r="AA359" s="230"/>
      <c r="AB359" s="230"/>
      <c r="AC359" s="230"/>
      <c r="AD359" s="239"/>
    </row>
    <row r="360" spans="1:30" ht="20.100000000000001" customHeight="1" x14ac:dyDescent="0.25">
      <c r="A360" s="230"/>
      <c r="B360" s="231"/>
      <c r="C360" s="231"/>
      <c r="D360" s="231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30"/>
      <c r="S360" s="239"/>
      <c r="T360" s="230"/>
      <c r="U360" s="230"/>
      <c r="V360" s="230"/>
      <c r="W360" s="230"/>
      <c r="X360" s="239"/>
      <c r="Y360" s="239"/>
      <c r="Z360" s="230"/>
      <c r="AA360" s="230"/>
      <c r="AB360" s="230"/>
      <c r="AC360" s="230"/>
      <c r="AD360" s="239"/>
    </row>
    <row r="361" spans="1:30" ht="20.100000000000001" customHeight="1" x14ac:dyDescent="0.25">
      <c r="A361" s="230"/>
      <c r="B361" s="231"/>
      <c r="C361" s="231"/>
      <c r="D361" s="231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30"/>
      <c r="S361" s="239"/>
      <c r="T361" s="230"/>
      <c r="U361" s="230"/>
      <c r="V361" s="230"/>
      <c r="W361" s="230"/>
      <c r="X361" s="239"/>
      <c r="Y361" s="239"/>
      <c r="Z361" s="230"/>
      <c r="AA361" s="230"/>
      <c r="AB361" s="230"/>
      <c r="AC361" s="230"/>
      <c r="AD361" s="239"/>
    </row>
    <row r="362" spans="1:30" ht="20.100000000000001" customHeight="1" x14ac:dyDescent="0.25">
      <c r="A362" s="230"/>
      <c r="B362" s="231"/>
      <c r="C362" s="231"/>
      <c r="D362" s="231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30"/>
      <c r="S362" s="239"/>
      <c r="T362" s="230"/>
      <c r="U362" s="230"/>
      <c r="V362" s="230"/>
      <c r="W362" s="230"/>
      <c r="X362" s="239"/>
      <c r="Y362" s="239"/>
      <c r="Z362" s="230"/>
      <c r="AA362" s="230"/>
      <c r="AB362" s="230"/>
      <c r="AC362" s="230"/>
      <c r="AD362" s="239"/>
    </row>
    <row r="363" spans="1:30" ht="20.100000000000001" customHeight="1" x14ac:dyDescent="0.25">
      <c r="A363" s="230"/>
      <c r="B363" s="231"/>
      <c r="C363" s="231"/>
      <c r="D363" s="231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30"/>
      <c r="S363" s="239"/>
      <c r="T363" s="230"/>
      <c r="U363" s="230"/>
      <c r="V363" s="230"/>
      <c r="W363" s="230"/>
      <c r="X363" s="239"/>
      <c r="Y363" s="239"/>
      <c r="Z363" s="230"/>
      <c r="AA363" s="230"/>
      <c r="AB363" s="230"/>
      <c r="AC363" s="230"/>
      <c r="AD363" s="239"/>
    </row>
    <row r="364" spans="1:30" ht="20.100000000000001" customHeight="1" x14ac:dyDescent="0.25">
      <c r="A364" s="230"/>
      <c r="B364" s="231"/>
      <c r="C364" s="231"/>
      <c r="D364" s="231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30"/>
      <c r="S364" s="239"/>
      <c r="T364" s="230"/>
      <c r="U364" s="230"/>
      <c r="V364" s="230"/>
      <c r="W364" s="230"/>
      <c r="X364" s="239"/>
      <c r="Y364" s="239"/>
      <c r="Z364" s="230"/>
      <c r="AA364" s="230"/>
      <c r="AB364" s="230"/>
      <c r="AC364" s="230"/>
      <c r="AD364" s="239"/>
    </row>
    <row r="365" spans="1:30" ht="20.100000000000001" customHeight="1" x14ac:dyDescent="0.25">
      <c r="A365" s="230"/>
      <c r="B365" s="231"/>
      <c r="C365" s="231"/>
      <c r="D365" s="231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30"/>
      <c r="S365" s="239"/>
      <c r="T365" s="230"/>
      <c r="U365" s="230"/>
      <c r="V365" s="230"/>
      <c r="W365" s="230"/>
      <c r="X365" s="239"/>
      <c r="Y365" s="239"/>
      <c r="Z365" s="230"/>
      <c r="AA365" s="230"/>
      <c r="AB365" s="230"/>
      <c r="AC365" s="230"/>
      <c r="AD365" s="239"/>
    </row>
    <row r="366" spans="1:30" ht="20.100000000000001" customHeight="1" x14ac:dyDescent="0.25">
      <c r="A366" s="230"/>
      <c r="B366" s="231"/>
      <c r="C366" s="231"/>
      <c r="D366" s="231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30"/>
      <c r="S366" s="239"/>
      <c r="T366" s="230"/>
      <c r="U366" s="230"/>
      <c r="V366" s="230"/>
      <c r="W366" s="230"/>
      <c r="X366" s="239"/>
      <c r="Y366" s="239"/>
      <c r="Z366" s="230"/>
      <c r="AA366" s="230"/>
      <c r="AB366" s="230"/>
      <c r="AC366" s="230"/>
      <c r="AD366" s="239"/>
    </row>
    <row r="367" spans="1:30" ht="20.100000000000001" customHeight="1" x14ac:dyDescent="0.25">
      <c r="A367" s="230"/>
      <c r="B367" s="231"/>
      <c r="C367" s="231"/>
      <c r="D367" s="231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30"/>
      <c r="S367" s="239"/>
      <c r="T367" s="230"/>
      <c r="U367" s="230"/>
      <c r="V367" s="230"/>
      <c r="W367" s="230"/>
      <c r="X367" s="239"/>
      <c r="Y367" s="239"/>
      <c r="Z367" s="230"/>
      <c r="AA367" s="230"/>
      <c r="AB367" s="230"/>
      <c r="AC367" s="230"/>
      <c r="AD367" s="239"/>
    </row>
    <row r="368" spans="1:30" ht="20.100000000000001" customHeight="1" x14ac:dyDescent="0.25">
      <c r="A368" s="230"/>
      <c r="B368" s="231"/>
      <c r="C368" s="231"/>
      <c r="D368" s="231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30"/>
      <c r="S368" s="239"/>
      <c r="T368" s="230"/>
      <c r="U368" s="230"/>
      <c r="V368" s="230"/>
      <c r="W368" s="230"/>
      <c r="X368" s="239"/>
      <c r="Y368" s="239"/>
      <c r="Z368" s="230"/>
      <c r="AA368" s="230"/>
      <c r="AB368" s="230"/>
      <c r="AC368" s="230"/>
      <c r="AD368" s="239"/>
    </row>
    <row r="369" spans="1:30" ht="20.100000000000001" customHeight="1" x14ac:dyDescent="0.25">
      <c r="A369" s="230"/>
      <c r="B369" s="231"/>
      <c r="C369" s="231"/>
      <c r="D369" s="231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30"/>
      <c r="S369" s="239"/>
      <c r="T369" s="230"/>
      <c r="U369" s="230"/>
      <c r="V369" s="230"/>
      <c r="W369" s="230"/>
      <c r="X369" s="239"/>
      <c r="Y369" s="239"/>
      <c r="Z369" s="230"/>
      <c r="AA369" s="230"/>
      <c r="AB369" s="230"/>
      <c r="AC369" s="230"/>
      <c r="AD369" s="239"/>
    </row>
    <row r="370" spans="1:30" ht="20.100000000000001" customHeight="1" x14ac:dyDescent="0.25">
      <c r="A370" s="230"/>
      <c r="B370" s="231"/>
      <c r="C370" s="231"/>
      <c r="D370" s="231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30"/>
      <c r="S370" s="239"/>
      <c r="T370" s="230"/>
      <c r="U370" s="230"/>
      <c r="V370" s="230"/>
      <c r="W370" s="230"/>
      <c r="X370" s="239"/>
      <c r="Y370" s="239"/>
      <c r="Z370" s="230"/>
      <c r="AA370" s="230"/>
      <c r="AB370" s="230"/>
      <c r="AC370" s="230"/>
      <c r="AD370" s="239"/>
    </row>
    <row r="371" spans="1:30" ht="20.100000000000001" customHeight="1" x14ac:dyDescent="0.25">
      <c r="A371" s="230"/>
      <c r="B371" s="231"/>
      <c r="C371" s="231"/>
      <c r="D371" s="231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30"/>
      <c r="S371" s="239"/>
      <c r="T371" s="230"/>
      <c r="U371" s="230"/>
      <c r="V371" s="230"/>
      <c r="W371" s="230"/>
      <c r="X371" s="239"/>
      <c r="Y371" s="239"/>
      <c r="Z371" s="230"/>
      <c r="AA371" s="230"/>
      <c r="AB371" s="230"/>
      <c r="AC371" s="230"/>
      <c r="AD371" s="239"/>
    </row>
    <row r="372" spans="1:30" ht="20.100000000000001" customHeight="1" x14ac:dyDescent="0.25">
      <c r="A372" s="230"/>
      <c r="B372" s="231"/>
      <c r="C372" s="231"/>
      <c r="D372" s="231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30"/>
      <c r="S372" s="239"/>
      <c r="T372" s="230"/>
      <c r="U372" s="230"/>
      <c r="V372" s="230"/>
      <c r="W372" s="230"/>
      <c r="X372" s="239"/>
      <c r="Y372" s="239"/>
      <c r="Z372" s="230"/>
      <c r="AA372" s="230"/>
      <c r="AB372" s="230"/>
      <c r="AC372" s="230"/>
      <c r="AD372" s="239"/>
    </row>
    <row r="373" spans="1:30" ht="20.100000000000001" customHeight="1" x14ac:dyDescent="0.25">
      <c r="A373" s="230"/>
      <c r="B373" s="231"/>
      <c r="C373" s="231"/>
      <c r="D373" s="231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30"/>
      <c r="S373" s="239"/>
      <c r="T373" s="230"/>
      <c r="U373" s="230"/>
      <c r="V373" s="230"/>
      <c r="W373" s="230"/>
      <c r="X373" s="239"/>
      <c r="Y373" s="239"/>
      <c r="Z373" s="230"/>
      <c r="AA373" s="230"/>
      <c r="AB373" s="230"/>
      <c r="AC373" s="230"/>
      <c r="AD373" s="239"/>
    </row>
    <row r="374" spans="1:30" ht="20.100000000000001" customHeight="1" x14ac:dyDescent="0.25">
      <c r="A374" s="230"/>
      <c r="B374" s="231"/>
      <c r="C374" s="231"/>
      <c r="D374" s="231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30"/>
      <c r="S374" s="239"/>
      <c r="T374" s="230"/>
      <c r="U374" s="230"/>
      <c r="V374" s="230"/>
      <c r="W374" s="230"/>
      <c r="X374" s="239"/>
      <c r="Y374" s="239"/>
      <c r="Z374" s="230"/>
      <c r="AA374" s="230"/>
      <c r="AB374" s="230"/>
      <c r="AC374" s="230"/>
      <c r="AD374" s="239"/>
    </row>
    <row r="375" spans="1:30" ht="20.100000000000001" customHeight="1" x14ac:dyDescent="0.25">
      <c r="A375" s="230"/>
      <c r="B375" s="231"/>
      <c r="C375" s="231"/>
      <c r="D375" s="231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30"/>
      <c r="S375" s="239"/>
      <c r="T375" s="230"/>
      <c r="U375" s="230"/>
      <c r="V375" s="230"/>
      <c r="W375" s="230"/>
      <c r="X375" s="239"/>
      <c r="Y375" s="239"/>
      <c r="Z375" s="230"/>
      <c r="AA375" s="230"/>
      <c r="AB375" s="230"/>
      <c r="AC375" s="230"/>
      <c r="AD375" s="239"/>
    </row>
    <row r="376" spans="1:30" ht="20.100000000000001" customHeight="1" x14ac:dyDescent="0.25">
      <c r="A376" s="230"/>
      <c r="B376" s="231"/>
      <c r="C376" s="231"/>
      <c r="D376" s="231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30"/>
      <c r="S376" s="239"/>
      <c r="T376" s="230"/>
      <c r="U376" s="230"/>
      <c r="V376" s="230"/>
      <c r="W376" s="230"/>
      <c r="X376" s="239"/>
      <c r="Y376" s="239"/>
      <c r="Z376" s="230"/>
      <c r="AA376" s="230"/>
      <c r="AB376" s="230"/>
      <c r="AC376" s="230"/>
      <c r="AD376" s="239"/>
    </row>
    <row r="377" spans="1:30" ht="20.100000000000001" customHeight="1" x14ac:dyDescent="0.25">
      <c r="A377" s="230"/>
      <c r="B377" s="231"/>
      <c r="C377" s="231"/>
      <c r="D377" s="231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30"/>
      <c r="S377" s="239"/>
      <c r="T377" s="230"/>
      <c r="U377" s="230"/>
      <c r="V377" s="230"/>
      <c r="W377" s="230"/>
      <c r="X377" s="239"/>
      <c r="Y377" s="239"/>
      <c r="Z377" s="230"/>
      <c r="AA377" s="230"/>
      <c r="AB377" s="230"/>
      <c r="AC377" s="230"/>
      <c r="AD377" s="239"/>
    </row>
    <row r="378" spans="1:30" ht="20.100000000000001" customHeight="1" x14ac:dyDescent="0.25">
      <c r="A378" s="230"/>
      <c r="B378" s="231"/>
      <c r="C378" s="231"/>
      <c r="D378" s="231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30"/>
      <c r="S378" s="239"/>
      <c r="T378" s="230"/>
      <c r="U378" s="230"/>
      <c r="V378" s="230"/>
      <c r="W378" s="230"/>
      <c r="X378" s="239"/>
      <c r="Y378" s="239"/>
      <c r="Z378" s="230"/>
      <c r="AA378" s="230"/>
      <c r="AB378" s="230"/>
      <c r="AC378" s="230"/>
      <c r="AD378" s="239"/>
    </row>
    <row r="379" spans="1:30" ht="20.100000000000001" customHeight="1" x14ac:dyDescent="0.25">
      <c r="A379" s="230"/>
      <c r="B379" s="231"/>
      <c r="C379" s="231"/>
      <c r="D379" s="231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30"/>
      <c r="S379" s="239"/>
      <c r="T379" s="230"/>
      <c r="U379" s="230"/>
      <c r="V379" s="230"/>
      <c r="W379" s="230"/>
      <c r="X379" s="239"/>
      <c r="Y379" s="239"/>
      <c r="Z379" s="230"/>
      <c r="AA379" s="230"/>
      <c r="AB379" s="230"/>
      <c r="AC379" s="230"/>
      <c r="AD379" s="239"/>
    </row>
    <row r="380" spans="1:30" ht="20.100000000000001" customHeight="1" x14ac:dyDescent="0.25">
      <c r="A380" s="230"/>
      <c r="B380" s="231"/>
      <c r="C380" s="231"/>
      <c r="D380" s="231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30"/>
      <c r="S380" s="239"/>
      <c r="T380" s="230"/>
      <c r="U380" s="230"/>
      <c r="V380" s="230"/>
      <c r="W380" s="230"/>
      <c r="X380" s="239"/>
      <c r="Y380" s="239"/>
      <c r="Z380" s="230"/>
      <c r="AA380" s="230"/>
      <c r="AB380" s="230"/>
      <c r="AC380" s="230"/>
      <c r="AD380" s="239"/>
    </row>
    <row r="381" spans="1:30" ht="20.100000000000001" customHeight="1" x14ac:dyDescent="0.25">
      <c r="A381" s="230"/>
      <c r="B381" s="231"/>
      <c r="C381" s="231"/>
      <c r="D381" s="231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30"/>
      <c r="S381" s="239"/>
      <c r="T381" s="230"/>
      <c r="U381" s="230"/>
      <c r="V381" s="230"/>
      <c r="W381" s="230"/>
      <c r="X381" s="239"/>
      <c r="Y381" s="239"/>
      <c r="Z381" s="230"/>
      <c r="AA381" s="230"/>
      <c r="AB381" s="230"/>
      <c r="AC381" s="230"/>
      <c r="AD381" s="239"/>
    </row>
    <row r="382" spans="1:30" ht="20.100000000000001" customHeight="1" x14ac:dyDescent="0.25">
      <c r="A382" s="230"/>
      <c r="B382" s="231"/>
      <c r="C382" s="231"/>
      <c r="D382" s="231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30"/>
      <c r="S382" s="239"/>
      <c r="T382" s="230"/>
      <c r="U382" s="230"/>
      <c r="V382" s="230"/>
      <c r="W382" s="230"/>
      <c r="X382" s="239"/>
      <c r="Y382" s="239"/>
      <c r="Z382" s="230"/>
      <c r="AA382" s="230"/>
      <c r="AB382" s="230"/>
      <c r="AC382" s="230"/>
      <c r="AD382" s="239"/>
    </row>
    <row r="383" spans="1:30" ht="20.100000000000001" customHeight="1" x14ac:dyDescent="0.25">
      <c r="A383" s="230"/>
      <c r="B383" s="231"/>
      <c r="C383" s="231"/>
      <c r="D383" s="231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30"/>
      <c r="S383" s="239"/>
      <c r="T383" s="230"/>
      <c r="U383" s="230"/>
      <c r="V383" s="230"/>
      <c r="W383" s="230"/>
      <c r="X383" s="239"/>
      <c r="Y383" s="239"/>
      <c r="Z383" s="230"/>
      <c r="AA383" s="230"/>
      <c r="AB383" s="230"/>
      <c r="AC383" s="230"/>
      <c r="AD383" s="239"/>
    </row>
    <row r="384" spans="1:30" ht="20.100000000000001" customHeight="1" x14ac:dyDescent="0.25">
      <c r="A384" s="230"/>
      <c r="B384" s="231"/>
      <c r="C384" s="231"/>
      <c r="D384" s="231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30"/>
      <c r="S384" s="239"/>
      <c r="T384" s="230"/>
      <c r="U384" s="230"/>
      <c r="V384" s="230"/>
      <c r="W384" s="230"/>
      <c r="X384" s="239"/>
      <c r="Y384" s="239"/>
      <c r="Z384" s="230"/>
      <c r="AA384" s="230"/>
      <c r="AB384" s="230"/>
      <c r="AC384" s="230"/>
      <c r="AD384" s="239"/>
    </row>
    <row r="385" spans="1:30" ht="20.100000000000001" customHeight="1" x14ac:dyDescent="0.25">
      <c r="A385" s="230"/>
      <c r="B385" s="231"/>
      <c r="C385" s="231"/>
      <c r="D385" s="231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30"/>
      <c r="S385" s="239"/>
      <c r="T385" s="230"/>
      <c r="U385" s="230"/>
      <c r="V385" s="230"/>
      <c r="W385" s="230"/>
      <c r="X385" s="239"/>
      <c r="Y385" s="239"/>
      <c r="Z385" s="230"/>
      <c r="AA385" s="230"/>
      <c r="AB385" s="230"/>
      <c r="AC385" s="230"/>
      <c r="AD385" s="239"/>
    </row>
    <row r="386" spans="1:30" ht="20.100000000000001" customHeight="1" x14ac:dyDescent="0.25">
      <c r="A386" s="230"/>
      <c r="B386" s="231"/>
      <c r="C386" s="231"/>
      <c r="D386" s="231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30"/>
      <c r="S386" s="239"/>
      <c r="T386" s="230"/>
      <c r="U386" s="230"/>
      <c r="V386" s="230"/>
      <c r="W386" s="230"/>
      <c r="X386" s="239"/>
      <c r="Y386" s="239"/>
      <c r="Z386" s="230"/>
      <c r="AA386" s="230"/>
      <c r="AB386" s="230"/>
      <c r="AC386" s="230"/>
      <c r="AD386" s="239"/>
    </row>
    <row r="387" spans="1:30" ht="20.100000000000001" customHeight="1" x14ac:dyDescent="0.25">
      <c r="A387" s="230"/>
      <c r="B387" s="231"/>
      <c r="C387" s="231"/>
      <c r="D387" s="231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30"/>
      <c r="S387" s="239"/>
      <c r="T387" s="230"/>
      <c r="U387" s="230"/>
      <c r="V387" s="230"/>
      <c r="W387" s="230"/>
      <c r="X387" s="239"/>
      <c r="Y387" s="239"/>
      <c r="Z387" s="230"/>
      <c r="AA387" s="230"/>
      <c r="AB387" s="230"/>
      <c r="AC387" s="230"/>
      <c r="AD387" s="239"/>
    </row>
    <row r="388" spans="1:30" ht="20.100000000000001" customHeight="1" x14ac:dyDescent="0.25">
      <c r="A388" s="230"/>
      <c r="B388" s="231"/>
      <c r="C388" s="231"/>
      <c r="D388" s="231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30"/>
      <c r="S388" s="239"/>
      <c r="T388" s="230"/>
      <c r="U388" s="230"/>
      <c r="V388" s="230"/>
      <c r="W388" s="230"/>
      <c r="X388" s="239"/>
      <c r="Y388" s="239"/>
      <c r="Z388" s="230"/>
      <c r="AA388" s="230"/>
      <c r="AB388" s="230"/>
      <c r="AC388" s="230"/>
      <c r="AD388" s="239"/>
    </row>
    <row r="389" spans="1:30" ht="20.100000000000001" customHeight="1" x14ac:dyDescent="0.25">
      <c r="A389" s="230"/>
      <c r="B389" s="231"/>
      <c r="C389" s="231"/>
      <c r="D389" s="231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30"/>
      <c r="S389" s="239"/>
      <c r="T389" s="230"/>
      <c r="U389" s="230"/>
      <c r="V389" s="230"/>
      <c r="W389" s="230"/>
      <c r="X389" s="239"/>
      <c r="Y389" s="239"/>
      <c r="Z389" s="230"/>
      <c r="AA389" s="230"/>
      <c r="AB389" s="230"/>
      <c r="AC389" s="230"/>
      <c r="AD389" s="239"/>
    </row>
    <row r="390" spans="1:30" ht="20.100000000000001" customHeight="1" x14ac:dyDescent="0.25">
      <c r="A390" s="230"/>
      <c r="B390" s="231"/>
      <c r="C390" s="231"/>
      <c r="D390" s="231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30"/>
      <c r="S390" s="239"/>
      <c r="T390" s="230"/>
      <c r="U390" s="230"/>
      <c r="V390" s="230"/>
      <c r="W390" s="230"/>
      <c r="X390" s="239"/>
      <c r="Y390" s="239"/>
      <c r="Z390" s="230"/>
      <c r="AA390" s="230"/>
      <c r="AB390" s="230"/>
      <c r="AC390" s="230"/>
      <c r="AD390" s="239"/>
    </row>
    <row r="391" spans="1:30" ht="20.100000000000001" customHeight="1" x14ac:dyDescent="0.25">
      <c r="A391" s="230"/>
      <c r="B391" s="231"/>
      <c r="C391" s="231"/>
      <c r="D391" s="231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30"/>
      <c r="S391" s="239"/>
      <c r="T391" s="230"/>
      <c r="U391" s="230"/>
      <c r="V391" s="230"/>
      <c r="W391" s="230"/>
      <c r="X391" s="239"/>
      <c r="Y391" s="239"/>
      <c r="Z391" s="230"/>
      <c r="AA391" s="230"/>
      <c r="AB391" s="230"/>
      <c r="AC391" s="230"/>
      <c r="AD391" s="239"/>
    </row>
    <row r="392" spans="1:30" ht="20.100000000000001" customHeight="1" x14ac:dyDescent="0.25">
      <c r="A392" s="230"/>
      <c r="B392" s="231"/>
      <c r="C392" s="231"/>
      <c r="D392" s="231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30"/>
      <c r="S392" s="239"/>
      <c r="T392" s="230"/>
      <c r="U392" s="230"/>
      <c r="V392" s="230"/>
      <c r="W392" s="230"/>
      <c r="X392" s="239"/>
      <c r="Y392" s="239"/>
      <c r="Z392" s="230"/>
      <c r="AA392" s="230"/>
      <c r="AB392" s="230"/>
      <c r="AC392" s="230"/>
      <c r="AD392" s="239"/>
    </row>
    <row r="393" spans="1:30" ht="20.100000000000001" customHeight="1" x14ac:dyDescent="0.25">
      <c r="A393" s="230"/>
      <c r="B393" s="231"/>
      <c r="C393" s="231"/>
      <c r="D393" s="231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30"/>
      <c r="S393" s="239"/>
      <c r="T393" s="230"/>
      <c r="U393" s="230"/>
      <c r="V393" s="230"/>
      <c r="W393" s="230"/>
      <c r="X393" s="239"/>
      <c r="Y393" s="239"/>
      <c r="Z393" s="230"/>
      <c r="AA393" s="230"/>
      <c r="AB393" s="230"/>
      <c r="AC393" s="230"/>
      <c r="AD393" s="239"/>
    </row>
    <row r="394" spans="1:30" ht="20.100000000000001" customHeight="1" x14ac:dyDescent="0.25">
      <c r="A394" s="230"/>
      <c r="B394" s="231"/>
      <c r="C394" s="231"/>
      <c r="D394" s="231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30"/>
      <c r="S394" s="239"/>
      <c r="T394" s="230"/>
      <c r="U394" s="230"/>
      <c r="V394" s="230"/>
      <c r="W394" s="230"/>
      <c r="X394" s="239"/>
      <c r="Y394" s="239"/>
      <c r="Z394" s="230"/>
      <c r="AA394" s="230"/>
      <c r="AB394" s="230"/>
      <c r="AC394" s="230"/>
      <c r="AD394" s="239"/>
    </row>
    <row r="395" spans="1:30" ht="20.100000000000001" customHeight="1" x14ac:dyDescent="0.25">
      <c r="A395" s="230"/>
      <c r="B395" s="231"/>
      <c r="C395" s="231"/>
      <c r="D395" s="231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30"/>
      <c r="S395" s="239"/>
      <c r="T395" s="230"/>
      <c r="U395" s="230"/>
      <c r="V395" s="230"/>
      <c r="W395" s="230"/>
      <c r="X395" s="239"/>
      <c r="Y395" s="239"/>
      <c r="Z395" s="230"/>
      <c r="AA395" s="230"/>
      <c r="AB395" s="230"/>
      <c r="AC395" s="230"/>
      <c r="AD395" s="239"/>
    </row>
    <row r="396" spans="1:30" ht="20.100000000000001" customHeight="1" x14ac:dyDescent="0.25">
      <c r="A396" s="230"/>
      <c r="B396" s="231"/>
      <c r="C396" s="231"/>
      <c r="D396" s="231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30"/>
      <c r="S396" s="239"/>
      <c r="T396" s="230"/>
      <c r="U396" s="230"/>
      <c r="V396" s="230"/>
      <c r="W396" s="230"/>
      <c r="X396" s="239"/>
      <c r="Y396" s="239"/>
      <c r="Z396" s="230"/>
      <c r="AA396" s="230"/>
      <c r="AB396" s="230"/>
      <c r="AC396" s="230"/>
      <c r="AD396" s="239"/>
    </row>
    <row r="397" spans="1:30" ht="20.100000000000001" customHeight="1" x14ac:dyDescent="0.25">
      <c r="A397" s="230"/>
      <c r="B397" s="231"/>
      <c r="C397" s="231"/>
      <c r="D397" s="231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30"/>
      <c r="S397" s="239"/>
      <c r="T397" s="230"/>
      <c r="U397" s="230"/>
      <c r="V397" s="230"/>
      <c r="W397" s="230"/>
      <c r="X397" s="239"/>
      <c r="Y397" s="239"/>
      <c r="Z397" s="230"/>
      <c r="AA397" s="230"/>
      <c r="AB397" s="230"/>
      <c r="AC397" s="230"/>
      <c r="AD397" s="239"/>
    </row>
    <row r="398" spans="1:30" ht="20.100000000000001" customHeight="1" x14ac:dyDescent="0.25">
      <c r="A398" s="230"/>
      <c r="B398" s="231"/>
      <c r="C398" s="231"/>
      <c r="D398" s="231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30"/>
      <c r="S398" s="239"/>
      <c r="T398" s="230"/>
      <c r="U398" s="230"/>
      <c r="V398" s="230"/>
      <c r="W398" s="230"/>
      <c r="X398" s="239"/>
      <c r="Y398" s="239"/>
      <c r="Z398" s="230"/>
      <c r="AA398" s="230"/>
      <c r="AB398" s="230"/>
      <c r="AC398" s="230"/>
      <c r="AD398" s="239"/>
    </row>
    <row r="399" spans="1:30" ht="20.100000000000001" customHeight="1" x14ac:dyDescent="0.25">
      <c r="A399" s="230"/>
      <c r="B399" s="231"/>
      <c r="C399" s="231"/>
      <c r="D399" s="231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30"/>
      <c r="S399" s="239"/>
      <c r="T399" s="230"/>
      <c r="U399" s="230"/>
      <c r="V399" s="230"/>
      <c r="W399" s="230"/>
      <c r="X399" s="239"/>
      <c r="Y399" s="239"/>
      <c r="Z399" s="230"/>
      <c r="AA399" s="230"/>
      <c r="AB399" s="230"/>
      <c r="AC399" s="230"/>
      <c r="AD399" s="239"/>
    </row>
    <row r="400" spans="1:30" ht="20.100000000000001" customHeight="1" x14ac:dyDescent="0.25">
      <c r="A400" s="230"/>
      <c r="B400" s="231"/>
      <c r="C400" s="231"/>
      <c r="D400" s="231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30"/>
      <c r="S400" s="239"/>
      <c r="T400" s="230"/>
      <c r="U400" s="230"/>
      <c r="V400" s="230"/>
      <c r="W400" s="230"/>
      <c r="X400" s="239"/>
      <c r="Y400" s="239"/>
      <c r="Z400" s="230"/>
      <c r="AA400" s="230"/>
      <c r="AB400" s="230"/>
      <c r="AC400" s="230"/>
      <c r="AD400" s="239"/>
    </row>
    <row r="401" spans="1:30" ht="20.100000000000001" customHeight="1" x14ac:dyDescent="0.25">
      <c r="A401" s="230"/>
      <c r="B401" s="231"/>
      <c r="C401" s="231"/>
      <c r="D401" s="231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30"/>
      <c r="S401" s="239"/>
      <c r="T401" s="230"/>
      <c r="U401" s="230"/>
      <c r="V401" s="230"/>
      <c r="W401" s="230"/>
      <c r="X401" s="239"/>
      <c r="Y401" s="239"/>
      <c r="Z401" s="230"/>
      <c r="AA401" s="230"/>
      <c r="AB401" s="230"/>
      <c r="AC401" s="230"/>
      <c r="AD401" s="239"/>
    </row>
    <row r="402" spans="1:30" ht="20.100000000000001" customHeight="1" x14ac:dyDescent="0.25">
      <c r="A402" s="230"/>
      <c r="B402" s="231"/>
      <c r="C402" s="231"/>
      <c r="D402" s="231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30"/>
      <c r="S402" s="239"/>
      <c r="T402" s="230"/>
      <c r="U402" s="230"/>
      <c r="V402" s="230"/>
      <c r="W402" s="230"/>
      <c r="X402" s="239"/>
      <c r="Y402" s="239"/>
      <c r="Z402" s="230"/>
      <c r="AA402" s="230"/>
      <c r="AB402" s="230"/>
      <c r="AC402" s="230"/>
      <c r="AD402" s="239"/>
    </row>
    <row r="403" spans="1:30" ht="20.100000000000001" customHeight="1" x14ac:dyDescent="0.25">
      <c r="A403" s="230"/>
      <c r="B403" s="231"/>
      <c r="C403" s="231"/>
      <c r="D403" s="231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30"/>
      <c r="S403" s="239"/>
      <c r="T403" s="230"/>
      <c r="U403" s="230"/>
      <c r="V403" s="230"/>
      <c r="W403" s="230"/>
      <c r="X403" s="239"/>
      <c r="Y403" s="239"/>
      <c r="Z403" s="230"/>
      <c r="AA403" s="230"/>
      <c r="AB403" s="230"/>
      <c r="AC403" s="230"/>
      <c r="AD403" s="239"/>
    </row>
    <row r="404" spans="1:30" ht="20.100000000000001" customHeight="1" x14ac:dyDescent="0.25">
      <c r="A404" s="230"/>
      <c r="B404" s="231"/>
      <c r="C404" s="231"/>
      <c r="D404" s="231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30"/>
      <c r="S404" s="239"/>
      <c r="T404" s="230"/>
      <c r="U404" s="230"/>
      <c r="V404" s="230"/>
      <c r="W404" s="230"/>
      <c r="X404" s="239"/>
      <c r="Y404" s="239"/>
      <c r="Z404" s="230"/>
      <c r="AA404" s="230"/>
      <c r="AB404" s="230"/>
      <c r="AC404" s="230"/>
      <c r="AD404" s="239"/>
    </row>
    <row r="405" spans="1:30" ht="20.100000000000001" customHeight="1" x14ac:dyDescent="0.25">
      <c r="A405" s="230"/>
      <c r="B405" s="231"/>
      <c r="C405" s="231"/>
      <c r="D405" s="231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30"/>
      <c r="S405" s="239"/>
      <c r="T405" s="230"/>
      <c r="U405" s="230"/>
      <c r="V405" s="230"/>
      <c r="W405" s="230"/>
      <c r="X405" s="239"/>
      <c r="Y405" s="239"/>
      <c r="Z405" s="230"/>
      <c r="AA405" s="230"/>
      <c r="AB405" s="230"/>
      <c r="AC405" s="230"/>
      <c r="AD405" s="239"/>
    </row>
    <row r="406" spans="1:30" ht="20.100000000000001" customHeight="1" x14ac:dyDescent="0.25">
      <c r="A406" s="230"/>
      <c r="B406" s="231"/>
      <c r="C406" s="231"/>
      <c r="D406" s="231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30"/>
      <c r="S406" s="239"/>
      <c r="T406" s="230"/>
      <c r="U406" s="230"/>
      <c r="V406" s="230"/>
      <c r="W406" s="230"/>
      <c r="X406" s="239"/>
      <c r="Y406" s="239"/>
      <c r="Z406" s="230"/>
      <c r="AA406" s="230"/>
      <c r="AB406" s="230"/>
      <c r="AC406" s="230"/>
      <c r="AD406" s="239"/>
    </row>
    <row r="407" spans="1:30" ht="20.100000000000001" customHeight="1" x14ac:dyDescent="0.25">
      <c r="A407" s="230"/>
      <c r="B407" s="231"/>
      <c r="C407" s="231"/>
      <c r="D407" s="231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30"/>
      <c r="S407" s="239"/>
      <c r="T407" s="230"/>
      <c r="U407" s="230"/>
      <c r="V407" s="230"/>
      <c r="W407" s="230"/>
      <c r="X407" s="239"/>
      <c r="Y407" s="239"/>
      <c r="Z407" s="230"/>
      <c r="AA407" s="230"/>
      <c r="AB407" s="230"/>
      <c r="AC407" s="230"/>
      <c r="AD407" s="239"/>
    </row>
    <row r="408" spans="1:30" ht="20.100000000000001" customHeight="1" x14ac:dyDescent="0.25">
      <c r="A408" s="230"/>
      <c r="B408" s="231"/>
      <c r="C408" s="231"/>
      <c r="D408" s="231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30"/>
      <c r="S408" s="239"/>
      <c r="T408" s="230"/>
      <c r="U408" s="230"/>
      <c r="V408" s="230"/>
      <c r="W408" s="230"/>
      <c r="X408" s="239"/>
      <c r="Y408" s="239"/>
      <c r="Z408" s="230"/>
      <c r="AA408" s="230"/>
      <c r="AB408" s="230"/>
      <c r="AC408" s="230"/>
      <c r="AD408" s="239"/>
    </row>
    <row r="409" spans="1:30" ht="20.100000000000001" customHeight="1" x14ac:dyDescent="0.25">
      <c r="A409" s="230"/>
      <c r="B409" s="231"/>
      <c r="C409" s="231"/>
      <c r="D409" s="231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30"/>
      <c r="S409" s="239"/>
      <c r="T409" s="230"/>
      <c r="U409" s="230"/>
      <c r="V409" s="230"/>
      <c r="W409" s="230"/>
      <c r="X409" s="239"/>
      <c r="Y409" s="239"/>
      <c r="Z409" s="230"/>
      <c r="AA409" s="230"/>
      <c r="AB409" s="230"/>
      <c r="AC409" s="230"/>
      <c r="AD409" s="239"/>
    </row>
    <row r="410" spans="1:30" ht="20.100000000000001" customHeight="1" x14ac:dyDescent="0.25">
      <c r="A410" s="230"/>
      <c r="B410" s="231"/>
      <c r="C410" s="231"/>
      <c r="D410" s="231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30"/>
      <c r="S410" s="239"/>
      <c r="T410" s="230"/>
      <c r="U410" s="230"/>
      <c r="V410" s="230"/>
      <c r="W410" s="230"/>
      <c r="X410" s="239"/>
      <c r="Y410" s="239"/>
      <c r="Z410" s="230"/>
      <c r="AA410" s="230"/>
      <c r="AB410" s="230"/>
      <c r="AC410" s="230"/>
      <c r="AD410" s="239"/>
    </row>
    <row r="411" spans="1:30" ht="20.100000000000001" customHeight="1" x14ac:dyDescent="0.25">
      <c r="A411" s="230"/>
      <c r="B411" s="231"/>
      <c r="C411" s="231"/>
      <c r="D411" s="231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30"/>
      <c r="S411" s="239"/>
      <c r="T411" s="230"/>
      <c r="U411" s="230"/>
      <c r="V411" s="230"/>
      <c r="W411" s="230"/>
      <c r="X411" s="239"/>
      <c r="Y411" s="239"/>
      <c r="Z411" s="230"/>
      <c r="AA411" s="230"/>
      <c r="AB411" s="230"/>
      <c r="AC411" s="230"/>
      <c r="AD411" s="239"/>
    </row>
    <row r="412" spans="1:30" ht="20.100000000000001" customHeight="1" x14ac:dyDescent="0.25">
      <c r="A412" s="230"/>
      <c r="B412" s="231"/>
      <c r="C412" s="231"/>
      <c r="D412" s="231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30"/>
      <c r="S412" s="239"/>
      <c r="T412" s="230"/>
      <c r="U412" s="230"/>
      <c r="V412" s="230"/>
      <c r="W412" s="230"/>
      <c r="X412" s="239"/>
      <c r="Y412" s="239"/>
      <c r="Z412" s="230"/>
      <c r="AA412" s="230"/>
      <c r="AB412" s="230"/>
      <c r="AC412" s="230"/>
      <c r="AD412" s="239"/>
    </row>
    <row r="413" spans="1:30" ht="20.100000000000001" customHeight="1" x14ac:dyDescent="0.25">
      <c r="A413" s="230"/>
      <c r="B413" s="231"/>
      <c r="C413" s="231"/>
      <c r="D413" s="231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30"/>
      <c r="S413" s="239"/>
      <c r="T413" s="230"/>
      <c r="U413" s="230"/>
      <c r="V413" s="230"/>
      <c r="W413" s="230"/>
      <c r="X413" s="239"/>
      <c r="Y413" s="239"/>
      <c r="Z413" s="230"/>
      <c r="AA413" s="230"/>
      <c r="AB413" s="230"/>
      <c r="AC413" s="230"/>
      <c r="AD413" s="239"/>
    </row>
    <row r="414" spans="1:30" ht="20.100000000000001" customHeight="1" x14ac:dyDescent="0.25">
      <c r="A414" s="230"/>
      <c r="B414" s="231"/>
      <c r="C414" s="231"/>
      <c r="D414" s="231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30"/>
      <c r="S414" s="239"/>
      <c r="T414" s="230"/>
      <c r="U414" s="230"/>
      <c r="V414" s="230"/>
      <c r="W414" s="230"/>
      <c r="X414" s="239"/>
      <c r="Y414" s="239"/>
      <c r="Z414" s="230"/>
      <c r="AA414" s="230"/>
      <c r="AB414" s="230"/>
      <c r="AC414" s="230"/>
      <c r="AD414" s="239"/>
    </row>
    <row r="415" spans="1:30" ht="20.100000000000001" customHeight="1" x14ac:dyDescent="0.25">
      <c r="A415" s="230"/>
      <c r="B415" s="231"/>
      <c r="C415" s="231"/>
      <c r="D415" s="231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30"/>
      <c r="S415" s="239"/>
      <c r="T415" s="230"/>
      <c r="U415" s="230"/>
      <c r="V415" s="230"/>
      <c r="W415" s="230"/>
      <c r="X415" s="239"/>
      <c r="Y415" s="239"/>
      <c r="Z415" s="230"/>
      <c r="AA415" s="230"/>
      <c r="AB415" s="230"/>
      <c r="AC415" s="230"/>
      <c r="AD415" s="239"/>
    </row>
    <row r="416" spans="1:30" ht="20.100000000000001" customHeight="1" x14ac:dyDescent="0.25">
      <c r="A416" s="230"/>
      <c r="B416" s="231"/>
      <c r="C416" s="231"/>
      <c r="D416" s="231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30"/>
      <c r="S416" s="239"/>
      <c r="T416" s="230"/>
      <c r="U416" s="230"/>
      <c r="V416" s="230"/>
      <c r="W416" s="230"/>
      <c r="X416" s="239"/>
      <c r="Y416" s="239"/>
      <c r="Z416" s="230"/>
      <c r="AA416" s="230"/>
      <c r="AB416" s="230"/>
      <c r="AC416" s="230"/>
      <c r="AD416" s="239"/>
    </row>
    <row r="417" spans="1:30" ht="20.100000000000001" customHeight="1" x14ac:dyDescent="0.25">
      <c r="A417" s="230"/>
      <c r="B417" s="231"/>
      <c r="C417" s="231"/>
      <c r="D417" s="231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30"/>
      <c r="S417" s="239"/>
      <c r="T417" s="230"/>
      <c r="U417" s="230"/>
      <c r="V417" s="230"/>
      <c r="W417" s="230"/>
      <c r="X417" s="239"/>
      <c r="Y417" s="239"/>
      <c r="Z417" s="230"/>
      <c r="AA417" s="230"/>
      <c r="AB417" s="230"/>
      <c r="AC417" s="230"/>
      <c r="AD417" s="239"/>
    </row>
    <row r="418" spans="1:30" ht="20.100000000000001" customHeight="1" x14ac:dyDescent="0.25">
      <c r="A418" s="230"/>
      <c r="B418" s="231"/>
      <c r="C418" s="231"/>
      <c r="D418" s="231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30"/>
      <c r="S418" s="239"/>
      <c r="T418" s="230"/>
      <c r="U418" s="230"/>
      <c r="V418" s="230"/>
      <c r="W418" s="230"/>
      <c r="X418" s="239"/>
      <c r="Y418" s="239"/>
      <c r="Z418" s="230"/>
      <c r="AA418" s="230"/>
      <c r="AB418" s="230"/>
      <c r="AC418" s="230"/>
      <c r="AD418" s="239"/>
    </row>
    <row r="419" spans="1:30" ht="20.100000000000001" customHeight="1" x14ac:dyDescent="0.25">
      <c r="A419" s="230"/>
      <c r="B419" s="231"/>
      <c r="C419" s="231"/>
      <c r="D419" s="231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30"/>
      <c r="S419" s="239"/>
      <c r="T419" s="230"/>
      <c r="U419" s="230"/>
      <c r="V419" s="230"/>
      <c r="W419" s="230"/>
      <c r="X419" s="239"/>
      <c r="Y419" s="239"/>
      <c r="Z419" s="230"/>
      <c r="AA419" s="230"/>
      <c r="AB419" s="230"/>
      <c r="AC419" s="230"/>
      <c r="AD419" s="239"/>
    </row>
    <row r="420" spans="1:30" ht="20.100000000000001" customHeight="1" x14ac:dyDescent="0.25">
      <c r="A420" s="230"/>
      <c r="B420" s="231"/>
      <c r="C420" s="231"/>
      <c r="D420" s="231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30"/>
      <c r="S420" s="239"/>
      <c r="T420" s="230"/>
      <c r="U420" s="230"/>
      <c r="V420" s="230"/>
      <c r="W420" s="230"/>
      <c r="X420" s="239"/>
      <c r="Y420" s="239"/>
      <c r="Z420" s="230"/>
      <c r="AA420" s="230"/>
      <c r="AB420" s="230"/>
      <c r="AC420" s="230"/>
      <c r="AD420" s="239"/>
    </row>
    <row r="421" spans="1:30" ht="20.100000000000001" customHeight="1" x14ac:dyDescent="0.25">
      <c r="A421" s="230"/>
      <c r="B421" s="231"/>
      <c r="C421" s="231"/>
      <c r="D421" s="231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30"/>
      <c r="S421" s="239"/>
      <c r="T421" s="230"/>
      <c r="U421" s="230"/>
      <c r="V421" s="230"/>
      <c r="W421" s="230"/>
      <c r="X421" s="239"/>
      <c r="Y421" s="239"/>
      <c r="Z421" s="230"/>
      <c r="AA421" s="230"/>
      <c r="AB421" s="230"/>
      <c r="AC421" s="230"/>
      <c r="AD421" s="239"/>
    </row>
    <row r="422" spans="1:30" ht="20.100000000000001" customHeight="1" x14ac:dyDescent="0.25">
      <c r="A422" s="230"/>
      <c r="B422" s="231"/>
      <c r="C422" s="231"/>
      <c r="D422" s="231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30"/>
      <c r="S422" s="239"/>
      <c r="T422" s="230"/>
      <c r="U422" s="230"/>
      <c r="V422" s="230"/>
      <c r="W422" s="230"/>
      <c r="X422" s="239"/>
      <c r="Y422" s="239"/>
      <c r="Z422" s="230"/>
      <c r="AA422" s="230"/>
      <c r="AB422" s="230"/>
      <c r="AC422" s="230"/>
      <c r="AD422" s="239"/>
    </row>
    <row r="423" spans="1:30" ht="20.100000000000001" customHeight="1" x14ac:dyDescent="0.25">
      <c r="A423" s="230"/>
      <c r="B423" s="231"/>
      <c r="C423" s="231"/>
      <c r="D423" s="231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30"/>
      <c r="S423" s="239"/>
      <c r="T423" s="230"/>
      <c r="U423" s="230"/>
      <c r="V423" s="230"/>
      <c r="W423" s="230"/>
      <c r="X423" s="239"/>
      <c r="Y423" s="239"/>
      <c r="Z423" s="230"/>
      <c r="AA423" s="230"/>
      <c r="AB423" s="230"/>
      <c r="AC423" s="230"/>
      <c r="AD423" s="239"/>
    </row>
    <row r="424" spans="1:30" ht="20.100000000000001" customHeight="1" x14ac:dyDescent="0.25">
      <c r="A424" s="230"/>
      <c r="B424" s="231"/>
      <c r="C424" s="231"/>
      <c r="D424" s="231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30"/>
      <c r="S424" s="239"/>
      <c r="T424" s="230"/>
      <c r="U424" s="230"/>
      <c r="V424" s="230"/>
      <c r="W424" s="230"/>
      <c r="X424" s="239"/>
      <c r="Y424" s="239"/>
      <c r="Z424" s="230"/>
      <c r="AA424" s="230"/>
      <c r="AB424" s="230"/>
      <c r="AC424" s="230"/>
      <c r="AD424" s="239"/>
    </row>
    <row r="425" spans="1:30" ht="20.100000000000001" customHeight="1" x14ac:dyDescent="0.25">
      <c r="A425" s="230"/>
      <c r="B425" s="231"/>
      <c r="C425" s="231"/>
      <c r="D425" s="231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30"/>
      <c r="S425" s="239"/>
      <c r="T425" s="230"/>
      <c r="U425" s="230"/>
      <c r="V425" s="230"/>
      <c r="W425" s="230"/>
      <c r="X425" s="239"/>
      <c r="Y425" s="239"/>
      <c r="Z425" s="230"/>
      <c r="AA425" s="230"/>
      <c r="AB425" s="230"/>
      <c r="AC425" s="230"/>
      <c r="AD425" s="239"/>
    </row>
    <row r="426" spans="1:30" ht="20.100000000000001" customHeight="1" x14ac:dyDescent="0.25">
      <c r="A426" s="230"/>
      <c r="B426" s="231"/>
      <c r="C426" s="231"/>
      <c r="D426" s="231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30"/>
      <c r="S426" s="239"/>
      <c r="T426" s="230"/>
      <c r="U426" s="230"/>
      <c r="V426" s="230"/>
      <c r="W426" s="230"/>
      <c r="X426" s="239"/>
      <c r="Y426" s="239"/>
      <c r="Z426" s="230"/>
      <c r="AA426" s="230"/>
      <c r="AB426" s="230"/>
      <c r="AC426" s="230"/>
      <c r="AD426" s="239"/>
    </row>
    <row r="427" spans="1:30" ht="20.100000000000001" customHeight="1" x14ac:dyDescent="0.25">
      <c r="A427" s="230"/>
      <c r="B427" s="231"/>
      <c r="C427" s="231"/>
      <c r="D427" s="231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30"/>
      <c r="S427" s="239"/>
      <c r="T427" s="230"/>
      <c r="U427" s="230"/>
      <c r="V427" s="230"/>
      <c r="W427" s="230"/>
      <c r="X427" s="239"/>
      <c r="Y427" s="239"/>
      <c r="Z427" s="230"/>
      <c r="AA427" s="230"/>
      <c r="AB427" s="230"/>
      <c r="AC427" s="230"/>
      <c r="AD427" s="239"/>
    </row>
    <row r="428" spans="1:30" ht="20.100000000000001" customHeight="1" x14ac:dyDescent="0.25">
      <c r="A428" s="230"/>
      <c r="B428" s="231"/>
      <c r="C428" s="231"/>
      <c r="D428" s="231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30"/>
      <c r="S428" s="239"/>
      <c r="T428" s="230"/>
      <c r="U428" s="230"/>
      <c r="V428" s="230"/>
      <c r="W428" s="230"/>
      <c r="X428" s="239"/>
      <c r="Y428" s="239"/>
      <c r="Z428" s="230"/>
      <c r="AA428" s="230"/>
      <c r="AB428" s="230"/>
      <c r="AC428" s="230"/>
      <c r="AD428" s="239"/>
    </row>
    <row r="429" spans="1:30" ht="20.100000000000001" customHeight="1" x14ac:dyDescent="0.25">
      <c r="A429" s="230"/>
      <c r="B429" s="231"/>
      <c r="C429" s="231"/>
      <c r="D429" s="231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30"/>
      <c r="S429" s="239"/>
      <c r="T429" s="230"/>
      <c r="U429" s="230"/>
      <c r="V429" s="230"/>
      <c r="W429" s="230"/>
      <c r="X429" s="239"/>
      <c r="Y429" s="239"/>
      <c r="Z429" s="230"/>
      <c r="AA429" s="230"/>
      <c r="AB429" s="230"/>
      <c r="AC429" s="230"/>
      <c r="AD429" s="239"/>
    </row>
    <row r="430" spans="1:30" ht="20.100000000000001" customHeight="1" x14ac:dyDescent="0.25">
      <c r="A430" s="230"/>
      <c r="B430" s="231"/>
      <c r="C430" s="231"/>
      <c r="D430" s="231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30"/>
      <c r="S430" s="239"/>
      <c r="T430" s="230"/>
      <c r="U430" s="230"/>
      <c r="V430" s="230"/>
      <c r="W430" s="230"/>
      <c r="X430" s="239"/>
      <c r="Y430" s="239"/>
      <c r="Z430" s="230"/>
      <c r="AA430" s="230"/>
      <c r="AB430" s="230"/>
      <c r="AC430" s="230"/>
      <c r="AD430" s="239"/>
    </row>
    <row r="431" spans="1:30" ht="20.100000000000001" customHeight="1" x14ac:dyDescent="0.25">
      <c r="A431" s="230"/>
      <c r="B431" s="231"/>
      <c r="C431" s="231"/>
      <c r="D431" s="231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30"/>
      <c r="S431" s="239"/>
      <c r="T431" s="230"/>
      <c r="U431" s="230"/>
      <c r="V431" s="230"/>
      <c r="W431" s="230"/>
      <c r="X431" s="239"/>
      <c r="Y431" s="239"/>
      <c r="Z431" s="230"/>
      <c r="AA431" s="230"/>
      <c r="AB431" s="230"/>
      <c r="AC431" s="230"/>
      <c r="AD431" s="239"/>
    </row>
    <row r="432" spans="1:30" ht="20.100000000000001" customHeight="1" x14ac:dyDescent="0.25">
      <c r="A432" s="230"/>
      <c r="B432" s="231"/>
      <c r="C432" s="231"/>
      <c r="D432" s="231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30"/>
      <c r="S432" s="239"/>
      <c r="T432" s="230"/>
      <c r="U432" s="230"/>
      <c r="V432" s="230"/>
      <c r="W432" s="230"/>
      <c r="X432" s="239"/>
      <c r="Y432" s="239"/>
      <c r="Z432" s="230"/>
      <c r="AA432" s="230"/>
      <c r="AB432" s="230"/>
      <c r="AC432" s="230"/>
      <c r="AD432" s="239"/>
    </row>
    <row r="433" spans="1:30" ht="20.100000000000001" customHeight="1" x14ac:dyDescent="0.25">
      <c r="A433" s="230"/>
      <c r="B433" s="231"/>
      <c r="C433" s="231"/>
      <c r="D433" s="231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30"/>
      <c r="S433" s="239"/>
      <c r="T433" s="230"/>
      <c r="U433" s="230"/>
      <c r="V433" s="230"/>
      <c r="W433" s="230"/>
      <c r="X433" s="239"/>
      <c r="Y433" s="239"/>
      <c r="Z433" s="230"/>
      <c r="AA433" s="230"/>
      <c r="AB433" s="230"/>
      <c r="AC433" s="230"/>
      <c r="AD433" s="239"/>
    </row>
    <row r="434" spans="1:30" ht="20.100000000000001" customHeight="1" x14ac:dyDescent="0.25">
      <c r="A434" s="230"/>
      <c r="B434" s="231"/>
      <c r="C434" s="231"/>
      <c r="D434" s="231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30"/>
      <c r="S434" s="239"/>
      <c r="T434" s="230"/>
      <c r="U434" s="230"/>
      <c r="V434" s="230"/>
      <c r="W434" s="230"/>
      <c r="X434" s="239"/>
      <c r="Y434" s="239"/>
      <c r="Z434" s="230"/>
      <c r="AA434" s="230"/>
      <c r="AB434" s="230"/>
      <c r="AC434" s="230"/>
      <c r="AD434" s="239"/>
    </row>
    <row r="435" spans="1:30" ht="20.100000000000001" customHeight="1" x14ac:dyDescent="0.25">
      <c r="A435" s="230"/>
      <c r="B435" s="231"/>
      <c r="C435" s="231"/>
      <c r="D435" s="231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30"/>
      <c r="S435" s="239"/>
      <c r="T435" s="230"/>
      <c r="U435" s="230"/>
      <c r="V435" s="230"/>
      <c r="W435" s="230"/>
      <c r="X435" s="239"/>
      <c r="Y435" s="239"/>
      <c r="Z435" s="230"/>
      <c r="AA435" s="230"/>
      <c r="AB435" s="230"/>
      <c r="AC435" s="230"/>
      <c r="AD435" s="239"/>
    </row>
    <row r="436" spans="1:30" ht="20.100000000000001" customHeight="1" x14ac:dyDescent="0.25">
      <c r="A436" s="230"/>
      <c r="B436" s="231"/>
      <c r="C436" s="231"/>
      <c r="D436" s="231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30"/>
      <c r="S436" s="239"/>
      <c r="T436" s="230"/>
      <c r="U436" s="230"/>
      <c r="V436" s="230"/>
      <c r="W436" s="230"/>
      <c r="X436" s="239"/>
      <c r="Y436" s="239"/>
      <c r="Z436" s="230"/>
      <c r="AA436" s="230"/>
      <c r="AB436" s="230"/>
      <c r="AC436" s="230"/>
      <c r="AD436" s="239"/>
    </row>
    <row r="437" spans="1:30" ht="20.100000000000001" customHeight="1" x14ac:dyDescent="0.25">
      <c r="A437" s="230"/>
      <c r="B437" s="231"/>
      <c r="C437" s="231"/>
      <c r="D437" s="231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30"/>
      <c r="S437" s="239"/>
      <c r="T437" s="230"/>
      <c r="U437" s="230"/>
      <c r="V437" s="230"/>
      <c r="W437" s="230"/>
      <c r="X437" s="239"/>
      <c r="Y437" s="239"/>
      <c r="Z437" s="230"/>
      <c r="AA437" s="230"/>
      <c r="AB437" s="230"/>
      <c r="AC437" s="230"/>
      <c r="AD437" s="239"/>
    </row>
    <row r="438" spans="1:30" ht="20.100000000000001" customHeight="1" x14ac:dyDescent="0.25">
      <c r="A438" s="230"/>
      <c r="B438" s="231"/>
      <c r="C438" s="231"/>
      <c r="D438" s="231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30"/>
      <c r="S438" s="239"/>
      <c r="T438" s="230"/>
      <c r="U438" s="230"/>
      <c r="V438" s="230"/>
      <c r="W438" s="230"/>
      <c r="X438" s="239"/>
      <c r="Y438" s="239"/>
      <c r="Z438" s="230"/>
      <c r="AA438" s="230"/>
      <c r="AB438" s="230"/>
      <c r="AC438" s="230"/>
      <c r="AD438" s="239"/>
    </row>
    <row r="439" spans="1:30" ht="20.100000000000001" customHeight="1" x14ac:dyDescent="0.25">
      <c r="A439" s="230"/>
      <c r="B439" s="231"/>
      <c r="C439" s="231"/>
      <c r="D439" s="231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30"/>
      <c r="S439" s="239"/>
      <c r="T439" s="230"/>
      <c r="U439" s="230"/>
      <c r="V439" s="230"/>
      <c r="W439" s="230"/>
      <c r="X439" s="239"/>
      <c r="Y439" s="239"/>
      <c r="Z439" s="230"/>
      <c r="AA439" s="230"/>
      <c r="AB439" s="230"/>
      <c r="AC439" s="230"/>
      <c r="AD439" s="239"/>
    </row>
    <row r="440" spans="1:30" ht="20.100000000000001" customHeight="1" x14ac:dyDescent="0.25">
      <c r="A440" s="230"/>
      <c r="B440" s="231"/>
      <c r="C440" s="231"/>
      <c r="D440" s="231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30"/>
      <c r="S440" s="239"/>
      <c r="T440" s="230"/>
      <c r="U440" s="230"/>
      <c r="V440" s="230"/>
      <c r="W440" s="230"/>
      <c r="X440" s="239"/>
      <c r="Y440" s="239"/>
      <c r="Z440" s="230"/>
      <c r="AA440" s="230"/>
      <c r="AB440" s="230"/>
      <c r="AC440" s="230"/>
      <c r="AD440" s="239"/>
    </row>
    <row r="441" spans="1:30" ht="20.100000000000001" customHeight="1" x14ac:dyDescent="0.25">
      <c r="A441" s="230"/>
      <c r="B441" s="231"/>
      <c r="C441" s="231"/>
      <c r="D441" s="231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30"/>
      <c r="S441" s="239"/>
      <c r="T441" s="230"/>
      <c r="U441" s="230"/>
      <c r="V441" s="230"/>
      <c r="W441" s="230"/>
      <c r="X441" s="239"/>
      <c r="Y441" s="239"/>
      <c r="Z441" s="230"/>
      <c r="AA441" s="230"/>
      <c r="AB441" s="230"/>
      <c r="AC441" s="230"/>
      <c r="AD441" s="239"/>
    </row>
    <row r="442" spans="1:30" ht="20.100000000000001" customHeight="1" x14ac:dyDescent="0.25">
      <c r="A442" s="230"/>
      <c r="B442" s="231"/>
      <c r="C442" s="231"/>
      <c r="D442" s="231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30"/>
      <c r="S442" s="239"/>
      <c r="T442" s="230"/>
      <c r="U442" s="230"/>
      <c r="V442" s="230"/>
      <c r="W442" s="230"/>
      <c r="X442" s="239"/>
      <c r="Y442" s="239"/>
      <c r="Z442" s="230"/>
      <c r="AA442" s="230"/>
      <c r="AB442" s="230"/>
      <c r="AC442" s="230"/>
      <c r="AD442" s="239"/>
    </row>
    <row r="443" spans="1:30" ht="20.100000000000001" customHeight="1" x14ac:dyDescent="0.25">
      <c r="A443" s="230"/>
      <c r="B443" s="231"/>
      <c r="C443" s="231"/>
      <c r="D443" s="231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30"/>
      <c r="S443" s="239"/>
      <c r="T443" s="230"/>
      <c r="U443" s="230"/>
      <c r="V443" s="230"/>
      <c r="W443" s="230"/>
      <c r="X443" s="239"/>
      <c r="Y443" s="239"/>
      <c r="Z443" s="230"/>
      <c r="AA443" s="230"/>
      <c r="AB443" s="230"/>
      <c r="AC443" s="230"/>
      <c r="AD443" s="239"/>
    </row>
    <row r="444" spans="1:30" ht="20.100000000000001" customHeight="1" x14ac:dyDescent="0.25">
      <c r="A444" s="230"/>
      <c r="B444" s="231"/>
      <c r="C444" s="231"/>
      <c r="D444" s="231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30"/>
      <c r="S444" s="239"/>
      <c r="T444" s="230"/>
      <c r="U444" s="230"/>
      <c r="V444" s="230"/>
      <c r="W444" s="230"/>
      <c r="X444" s="239"/>
      <c r="Y444" s="239"/>
      <c r="Z444" s="230"/>
      <c r="AA444" s="230"/>
      <c r="AB444" s="230"/>
      <c r="AC444" s="230"/>
      <c r="AD444" s="239"/>
    </row>
    <row r="445" spans="1:30" ht="20.100000000000001" customHeight="1" x14ac:dyDescent="0.25">
      <c r="A445" s="230"/>
      <c r="B445" s="231"/>
      <c r="C445" s="231"/>
      <c r="D445" s="231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30"/>
      <c r="S445" s="239"/>
      <c r="T445" s="230"/>
      <c r="U445" s="230"/>
      <c r="V445" s="230"/>
      <c r="W445" s="230"/>
      <c r="X445" s="239"/>
      <c r="Y445" s="239"/>
      <c r="Z445" s="230"/>
      <c r="AA445" s="230"/>
      <c r="AB445" s="230"/>
      <c r="AC445" s="230"/>
      <c r="AD445" s="239"/>
    </row>
    <row r="446" spans="1:30" ht="20.100000000000001" customHeight="1" x14ac:dyDescent="0.25">
      <c r="A446" s="230"/>
      <c r="B446" s="231"/>
      <c r="C446" s="231"/>
      <c r="D446" s="231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30"/>
      <c r="S446" s="239"/>
      <c r="T446" s="230"/>
      <c r="U446" s="230"/>
      <c r="V446" s="230"/>
      <c r="W446" s="230"/>
      <c r="X446" s="239"/>
      <c r="Y446" s="239"/>
      <c r="Z446" s="230"/>
      <c r="AA446" s="230"/>
      <c r="AB446" s="230"/>
      <c r="AC446" s="230"/>
      <c r="AD446" s="239"/>
    </row>
    <row r="447" spans="1:30" ht="20.100000000000001" customHeight="1" x14ac:dyDescent="0.25">
      <c r="A447" s="230"/>
      <c r="B447" s="231"/>
      <c r="C447" s="231"/>
      <c r="D447" s="231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30"/>
      <c r="S447" s="239"/>
      <c r="T447" s="230"/>
      <c r="U447" s="230"/>
      <c r="V447" s="230"/>
      <c r="W447" s="230"/>
      <c r="X447" s="239"/>
      <c r="Y447" s="239"/>
      <c r="Z447" s="230"/>
      <c r="AA447" s="230"/>
      <c r="AB447" s="230"/>
      <c r="AC447" s="230"/>
      <c r="AD447" s="239"/>
    </row>
    <row r="448" spans="1:30" ht="20.100000000000001" customHeight="1" x14ac:dyDescent="0.25">
      <c r="A448" s="230"/>
      <c r="B448" s="231"/>
      <c r="C448" s="231"/>
      <c r="D448" s="231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30"/>
      <c r="S448" s="239"/>
      <c r="T448" s="230"/>
      <c r="U448" s="230"/>
      <c r="V448" s="230"/>
      <c r="W448" s="230"/>
      <c r="X448" s="239"/>
      <c r="Y448" s="239"/>
      <c r="Z448" s="230"/>
      <c r="AA448" s="230"/>
      <c r="AB448" s="230"/>
      <c r="AC448" s="230"/>
      <c r="AD448" s="239"/>
    </row>
    <row r="449" spans="1:30" ht="20.100000000000001" customHeight="1" x14ac:dyDescent="0.25">
      <c r="A449" s="230"/>
      <c r="B449" s="231"/>
      <c r="C449" s="231"/>
      <c r="D449" s="231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30"/>
      <c r="S449" s="239"/>
      <c r="T449" s="230"/>
      <c r="U449" s="230"/>
      <c r="V449" s="230"/>
      <c r="W449" s="230"/>
      <c r="X449" s="239"/>
      <c r="Y449" s="239"/>
      <c r="Z449" s="230"/>
      <c r="AA449" s="230"/>
      <c r="AB449" s="230"/>
      <c r="AC449" s="230"/>
      <c r="AD449" s="239"/>
    </row>
    <row r="450" spans="1:30" ht="20.100000000000001" customHeight="1" x14ac:dyDescent="0.25">
      <c r="A450" s="230"/>
      <c r="B450" s="231"/>
      <c r="C450" s="231"/>
      <c r="D450" s="231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30"/>
      <c r="S450" s="239"/>
      <c r="T450" s="230"/>
      <c r="U450" s="230"/>
      <c r="V450" s="230"/>
      <c r="W450" s="230"/>
      <c r="X450" s="239"/>
      <c r="Y450" s="239"/>
      <c r="Z450" s="230"/>
      <c r="AA450" s="230"/>
      <c r="AB450" s="230"/>
      <c r="AC450" s="230"/>
      <c r="AD450" s="239"/>
    </row>
    <row r="451" spans="1:30" ht="20.100000000000001" customHeight="1" x14ac:dyDescent="0.25">
      <c r="A451" s="230"/>
      <c r="B451" s="231"/>
      <c r="C451" s="231"/>
      <c r="D451" s="231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30"/>
      <c r="S451" s="239"/>
      <c r="T451" s="230"/>
      <c r="U451" s="230"/>
      <c r="V451" s="230"/>
      <c r="W451" s="230"/>
      <c r="X451" s="239"/>
      <c r="Y451" s="239"/>
      <c r="Z451" s="230"/>
      <c r="AA451" s="230"/>
      <c r="AB451" s="230"/>
      <c r="AC451" s="230"/>
      <c r="AD451" s="239"/>
    </row>
    <row r="452" spans="1:30" ht="20.100000000000001" customHeight="1" x14ac:dyDescent="0.25">
      <c r="A452" s="230"/>
      <c r="B452" s="231"/>
      <c r="C452" s="231"/>
      <c r="D452" s="231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30"/>
      <c r="S452" s="239"/>
      <c r="T452" s="230"/>
      <c r="U452" s="230"/>
      <c r="V452" s="230"/>
      <c r="W452" s="230"/>
      <c r="X452" s="239"/>
      <c r="Y452" s="239"/>
      <c r="Z452" s="230"/>
      <c r="AA452" s="230"/>
      <c r="AB452" s="230"/>
      <c r="AC452" s="230"/>
      <c r="AD452" s="239"/>
    </row>
    <row r="453" spans="1:30" ht="20.100000000000001" customHeight="1" x14ac:dyDescent="0.25">
      <c r="A453" s="230"/>
      <c r="B453" s="231"/>
      <c r="C453" s="231"/>
      <c r="D453" s="231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30"/>
      <c r="S453" s="239"/>
      <c r="T453" s="230"/>
      <c r="U453" s="230"/>
      <c r="V453" s="230"/>
      <c r="W453" s="230"/>
      <c r="X453" s="239"/>
      <c r="Y453" s="239"/>
      <c r="Z453" s="230"/>
      <c r="AA453" s="230"/>
      <c r="AB453" s="230"/>
      <c r="AC453" s="230"/>
      <c r="AD453" s="239"/>
    </row>
    <row r="454" spans="1:30" ht="20.100000000000001" customHeight="1" x14ac:dyDescent="0.25">
      <c r="A454" s="230"/>
      <c r="B454" s="231"/>
      <c r="C454" s="231"/>
      <c r="D454" s="231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30"/>
      <c r="S454" s="239"/>
      <c r="T454" s="230"/>
      <c r="U454" s="230"/>
      <c r="V454" s="230"/>
      <c r="W454" s="230"/>
      <c r="X454" s="239"/>
      <c r="Y454" s="239"/>
      <c r="Z454" s="230"/>
      <c r="AA454" s="230"/>
      <c r="AB454" s="230"/>
      <c r="AC454" s="230"/>
      <c r="AD454" s="239"/>
    </row>
    <row r="455" spans="1:30" ht="20.100000000000001" customHeight="1" x14ac:dyDescent="0.25">
      <c r="A455" s="230"/>
      <c r="B455" s="231"/>
      <c r="C455" s="231"/>
      <c r="D455" s="231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30"/>
      <c r="S455" s="239"/>
      <c r="T455" s="230"/>
      <c r="U455" s="230"/>
      <c r="V455" s="230"/>
      <c r="W455" s="230"/>
      <c r="X455" s="239"/>
      <c r="Y455" s="239"/>
      <c r="Z455" s="230"/>
      <c r="AA455" s="230"/>
      <c r="AB455" s="230"/>
      <c r="AC455" s="230"/>
      <c r="AD455" s="239"/>
    </row>
    <row r="456" spans="1:30" ht="20.100000000000001" customHeight="1" x14ac:dyDescent="0.25">
      <c r="A456" s="230"/>
      <c r="B456" s="231"/>
      <c r="C456" s="231"/>
      <c r="D456" s="231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30"/>
      <c r="S456" s="239"/>
      <c r="T456" s="230"/>
      <c r="U456" s="230"/>
      <c r="V456" s="230"/>
      <c r="W456" s="230"/>
      <c r="X456" s="239"/>
      <c r="Y456" s="239"/>
      <c r="Z456" s="230"/>
      <c r="AA456" s="230"/>
      <c r="AB456" s="230"/>
      <c r="AC456" s="230"/>
      <c r="AD456" s="239"/>
    </row>
    <row r="457" spans="1:30" ht="20.100000000000001" customHeight="1" x14ac:dyDescent="0.25">
      <c r="A457" s="230"/>
      <c r="B457" s="231"/>
      <c r="C457" s="231"/>
      <c r="D457" s="231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30"/>
      <c r="S457" s="239"/>
      <c r="T457" s="230"/>
      <c r="U457" s="230"/>
      <c r="V457" s="230"/>
      <c r="W457" s="230"/>
      <c r="X457" s="239"/>
      <c r="Y457" s="239"/>
      <c r="Z457" s="230"/>
      <c r="AA457" s="230"/>
      <c r="AB457" s="230"/>
      <c r="AC457" s="230"/>
      <c r="AD457" s="239"/>
    </row>
    <row r="458" spans="1:30" ht="20.100000000000001" customHeight="1" x14ac:dyDescent="0.25">
      <c r="A458" s="230"/>
      <c r="B458" s="231"/>
      <c r="C458" s="231"/>
      <c r="D458" s="231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30"/>
      <c r="S458" s="239"/>
      <c r="T458" s="230"/>
      <c r="U458" s="230"/>
      <c r="V458" s="230"/>
      <c r="W458" s="230"/>
      <c r="X458" s="239"/>
      <c r="Y458" s="239"/>
      <c r="Z458" s="230"/>
      <c r="AA458" s="230"/>
      <c r="AB458" s="230"/>
      <c r="AC458" s="230"/>
      <c r="AD458" s="239"/>
    </row>
    <row r="459" spans="1:30" ht="20.100000000000001" customHeight="1" x14ac:dyDescent="0.25">
      <c r="A459" s="230"/>
      <c r="B459" s="231"/>
      <c r="C459" s="231"/>
      <c r="D459" s="231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30"/>
      <c r="S459" s="239"/>
      <c r="T459" s="230"/>
      <c r="U459" s="230"/>
      <c r="V459" s="230"/>
      <c r="W459" s="230"/>
      <c r="X459" s="239"/>
      <c r="Y459" s="239"/>
      <c r="Z459" s="230"/>
      <c r="AA459" s="230"/>
      <c r="AB459" s="230"/>
      <c r="AC459" s="230"/>
      <c r="AD459" s="239"/>
    </row>
    <row r="460" spans="1:30" ht="20.100000000000001" customHeight="1" x14ac:dyDescent="0.25">
      <c r="A460" s="230"/>
      <c r="B460" s="231"/>
      <c r="C460" s="231"/>
      <c r="D460" s="231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30"/>
      <c r="S460" s="239"/>
      <c r="T460" s="230"/>
      <c r="U460" s="230"/>
      <c r="V460" s="230"/>
      <c r="W460" s="230"/>
      <c r="X460" s="239"/>
      <c r="Y460" s="239"/>
      <c r="Z460" s="230"/>
      <c r="AA460" s="230"/>
      <c r="AB460" s="230"/>
      <c r="AC460" s="230"/>
      <c r="AD460" s="239"/>
    </row>
    <row r="461" spans="1:30" ht="20.100000000000001" customHeight="1" x14ac:dyDescent="0.25">
      <c r="A461" s="230"/>
      <c r="B461" s="231"/>
      <c r="C461" s="231"/>
      <c r="D461" s="231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30"/>
      <c r="S461" s="239"/>
      <c r="T461" s="230"/>
      <c r="U461" s="230"/>
      <c r="V461" s="230"/>
      <c r="W461" s="230"/>
      <c r="X461" s="239"/>
      <c r="Y461" s="239"/>
      <c r="Z461" s="230"/>
      <c r="AA461" s="230"/>
      <c r="AB461" s="230"/>
      <c r="AC461" s="230"/>
      <c r="AD461" s="239"/>
    </row>
    <row r="462" spans="1:30" ht="20.100000000000001" customHeight="1" x14ac:dyDescent="0.25">
      <c r="A462" s="230"/>
      <c r="B462" s="231"/>
      <c r="C462" s="231"/>
      <c r="D462" s="231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30"/>
      <c r="S462" s="239"/>
      <c r="T462" s="230"/>
      <c r="U462" s="230"/>
      <c r="V462" s="230"/>
      <c r="W462" s="230"/>
      <c r="X462" s="239"/>
      <c r="Y462" s="239"/>
      <c r="Z462" s="230"/>
      <c r="AA462" s="230"/>
      <c r="AB462" s="230"/>
      <c r="AC462" s="230"/>
      <c r="AD462" s="239"/>
    </row>
    <row r="463" spans="1:30" ht="20.100000000000001" customHeight="1" x14ac:dyDescent="0.25">
      <c r="A463" s="230"/>
      <c r="B463" s="231"/>
      <c r="C463" s="231"/>
      <c r="D463" s="231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30"/>
      <c r="S463" s="239"/>
      <c r="T463" s="230"/>
      <c r="U463" s="230"/>
      <c r="V463" s="230"/>
      <c r="W463" s="230"/>
      <c r="X463" s="239"/>
      <c r="Y463" s="239"/>
      <c r="Z463" s="230"/>
      <c r="AA463" s="230"/>
      <c r="AB463" s="230"/>
      <c r="AC463" s="230"/>
      <c r="AD463" s="239"/>
    </row>
    <row r="464" spans="1:30" ht="20.100000000000001" customHeight="1" x14ac:dyDescent="0.25">
      <c r="A464" s="230"/>
      <c r="B464" s="231"/>
      <c r="C464" s="231"/>
      <c r="D464" s="231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30"/>
      <c r="S464" s="239"/>
      <c r="T464" s="230"/>
      <c r="U464" s="230"/>
      <c r="V464" s="230"/>
      <c r="W464" s="230"/>
      <c r="X464" s="239"/>
      <c r="Y464" s="239"/>
      <c r="Z464" s="230"/>
      <c r="AA464" s="230"/>
      <c r="AB464" s="230"/>
      <c r="AC464" s="230"/>
      <c r="AD464" s="239"/>
    </row>
    <row r="465" spans="1:30" ht="20.100000000000001" customHeight="1" x14ac:dyDescent="0.25">
      <c r="A465" s="230"/>
      <c r="B465" s="231"/>
      <c r="C465" s="231"/>
      <c r="D465" s="231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30"/>
      <c r="S465" s="239"/>
      <c r="T465" s="230"/>
      <c r="U465" s="230"/>
      <c r="V465" s="230"/>
      <c r="W465" s="230"/>
      <c r="X465" s="239"/>
      <c r="Y465" s="239"/>
      <c r="Z465" s="230"/>
      <c r="AA465" s="230"/>
      <c r="AB465" s="230"/>
      <c r="AC465" s="230"/>
      <c r="AD465" s="239"/>
    </row>
    <row r="466" spans="1:30" ht="20.100000000000001" customHeight="1" x14ac:dyDescent="0.25">
      <c r="A466" s="230"/>
      <c r="B466" s="231"/>
      <c r="C466" s="231"/>
      <c r="D466" s="231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30"/>
      <c r="S466" s="239"/>
      <c r="T466" s="230"/>
      <c r="U466" s="230"/>
      <c r="V466" s="230"/>
      <c r="W466" s="230"/>
      <c r="X466" s="239"/>
      <c r="Y466" s="239"/>
      <c r="Z466" s="230"/>
      <c r="AA466" s="230"/>
      <c r="AB466" s="230"/>
      <c r="AC466" s="230"/>
      <c r="AD466" s="239"/>
    </row>
    <row r="467" spans="1:30" ht="20.100000000000001" customHeight="1" x14ac:dyDescent="0.25">
      <c r="A467" s="230"/>
      <c r="B467" s="231"/>
      <c r="C467" s="231"/>
      <c r="D467" s="231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30"/>
      <c r="S467" s="239"/>
      <c r="T467" s="230"/>
      <c r="U467" s="230"/>
      <c r="V467" s="230"/>
      <c r="W467" s="230"/>
      <c r="X467" s="239"/>
      <c r="Y467" s="239"/>
      <c r="Z467" s="230"/>
      <c r="AA467" s="230"/>
      <c r="AB467" s="230"/>
      <c r="AC467" s="230"/>
      <c r="AD467" s="239"/>
    </row>
    <row r="468" spans="1:30" ht="20.100000000000001" customHeight="1" x14ac:dyDescent="0.25">
      <c r="A468" s="230"/>
      <c r="B468" s="231"/>
      <c r="C468" s="231"/>
      <c r="D468" s="231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30"/>
      <c r="S468" s="239"/>
      <c r="T468" s="230"/>
      <c r="U468" s="230"/>
      <c r="V468" s="230"/>
      <c r="W468" s="230"/>
      <c r="X468" s="239"/>
      <c r="Y468" s="239"/>
      <c r="Z468" s="230"/>
      <c r="AA468" s="230"/>
      <c r="AB468" s="230"/>
      <c r="AC468" s="230"/>
      <c r="AD468" s="239"/>
    </row>
    <row r="469" spans="1:30" ht="20.100000000000001" customHeight="1" x14ac:dyDescent="0.25">
      <c r="A469" s="230"/>
      <c r="B469" s="231"/>
      <c r="C469" s="231"/>
      <c r="D469" s="231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30"/>
      <c r="S469" s="239"/>
      <c r="T469" s="230"/>
      <c r="U469" s="230"/>
      <c r="V469" s="230"/>
      <c r="W469" s="230"/>
      <c r="X469" s="239"/>
      <c r="Y469" s="239"/>
      <c r="Z469" s="230"/>
      <c r="AA469" s="230"/>
      <c r="AB469" s="230"/>
      <c r="AC469" s="230"/>
      <c r="AD469" s="239"/>
    </row>
    <row r="470" spans="1:30" ht="20.100000000000001" customHeight="1" x14ac:dyDescent="0.25">
      <c r="A470" s="230"/>
      <c r="B470" s="231"/>
      <c r="C470" s="231"/>
      <c r="D470" s="231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30"/>
      <c r="S470" s="239"/>
      <c r="T470" s="230"/>
      <c r="U470" s="230"/>
      <c r="V470" s="230"/>
      <c r="W470" s="230"/>
      <c r="X470" s="239"/>
      <c r="Y470" s="239"/>
      <c r="Z470" s="230"/>
      <c r="AA470" s="230"/>
      <c r="AB470" s="230"/>
      <c r="AC470" s="230"/>
      <c r="AD470" s="239"/>
    </row>
    <row r="471" spans="1:30" ht="20.100000000000001" customHeight="1" x14ac:dyDescent="0.25">
      <c r="A471" s="230"/>
      <c r="B471" s="231"/>
      <c r="C471" s="231"/>
      <c r="D471" s="231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30"/>
      <c r="S471" s="239"/>
      <c r="T471" s="230"/>
      <c r="U471" s="230"/>
      <c r="V471" s="230"/>
      <c r="W471" s="230"/>
      <c r="X471" s="239"/>
      <c r="Y471" s="239"/>
      <c r="Z471" s="230"/>
      <c r="AA471" s="230"/>
      <c r="AB471" s="230"/>
      <c r="AC471" s="230"/>
      <c r="AD471" s="239"/>
    </row>
    <row r="472" spans="1:30" ht="20.100000000000001" customHeight="1" x14ac:dyDescent="0.25">
      <c r="A472" s="230"/>
      <c r="B472" s="231"/>
      <c r="C472" s="231"/>
      <c r="D472" s="231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30"/>
      <c r="S472" s="239"/>
      <c r="T472" s="230"/>
      <c r="U472" s="230"/>
      <c r="V472" s="230"/>
      <c r="W472" s="230"/>
      <c r="X472" s="239"/>
      <c r="Y472" s="239"/>
      <c r="Z472" s="230"/>
      <c r="AA472" s="230"/>
      <c r="AB472" s="230"/>
      <c r="AC472" s="230"/>
      <c r="AD472" s="239"/>
    </row>
    <row r="473" spans="1:30" ht="20.100000000000001" customHeight="1" x14ac:dyDescent="0.25">
      <c r="A473" s="230"/>
      <c r="B473" s="231"/>
      <c r="C473" s="231"/>
      <c r="D473" s="231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30"/>
      <c r="S473" s="239"/>
      <c r="T473" s="230"/>
      <c r="U473" s="230"/>
      <c r="V473" s="230"/>
      <c r="W473" s="230"/>
      <c r="X473" s="239"/>
      <c r="Y473" s="239"/>
      <c r="Z473" s="230"/>
      <c r="AA473" s="230"/>
      <c r="AB473" s="230"/>
      <c r="AC473" s="230"/>
      <c r="AD473" s="239"/>
    </row>
    <row r="474" spans="1:30" ht="20.100000000000001" customHeight="1" x14ac:dyDescent="0.25">
      <c r="A474" s="230"/>
      <c r="B474" s="231"/>
      <c r="C474" s="231"/>
      <c r="D474" s="231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30"/>
      <c r="S474" s="239"/>
      <c r="T474" s="230"/>
      <c r="U474" s="230"/>
      <c r="V474" s="230"/>
      <c r="W474" s="230"/>
      <c r="X474" s="239"/>
      <c r="Y474" s="239"/>
      <c r="Z474" s="230"/>
      <c r="AA474" s="230"/>
      <c r="AB474" s="230"/>
      <c r="AC474" s="230"/>
      <c r="AD474" s="239"/>
    </row>
    <row r="475" spans="1:30" ht="20.100000000000001" customHeight="1" x14ac:dyDescent="0.25">
      <c r="A475" s="230"/>
      <c r="B475" s="231"/>
      <c r="C475" s="231"/>
      <c r="D475" s="231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30"/>
      <c r="S475" s="239"/>
      <c r="T475" s="230"/>
      <c r="U475" s="230"/>
      <c r="V475" s="230"/>
      <c r="W475" s="230"/>
      <c r="X475" s="239"/>
      <c r="Y475" s="239"/>
      <c r="Z475" s="230"/>
      <c r="AA475" s="230"/>
      <c r="AB475" s="230"/>
      <c r="AC475" s="230"/>
      <c r="AD475" s="239"/>
    </row>
    <row r="476" spans="1:30" ht="20.100000000000001" customHeight="1" x14ac:dyDescent="0.25">
      <c r="A476" s="230"/>
      <c r="B476" s="231"/>
      <c r="C476" s="231"/>
      <c r="D476" s="231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30"/>
      <c r="S476" s="239"/>
      <c r="T476" s="230"/>
      <c r="U476" s="230"/>
      <c r="V476" s="230"/>
      <c r="W476" s="230"/>
      <c r="X476" s="239"/>
      <c r="Y476" s="239"/>
      <c r="Z476" s="230"/>
      <c r="AA476" s="230"/>
      <c r="AB476" s="230"/>
      <c r="AC476" s="230"/>
      <c r="AD476" s="239"/>
    </row>
    <row r="477" spans="1:30" ht="20.100000000000001" customHeight="1" x14ac:dyDescent="0.25">
      <c r="A477" s="230"/>
      <c r="B477" s="231"/>
      <c r="C477" s="231"/>
      <c r="D477" s="231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30"/>
      <c r="S477" s="239"/>
      <c r="T477" s="230"/>
      <c r="U477" s="230"/>
      <c r="V477" s="230"/>
      <c r="W477" s="230"/>
      <c r="X477" s="239"/>
      <c r="Y477" s="239"/>
      <c r="Z477" s="230"/>
      <c r="AA477" s="230"/>
      <c r="AB477" s="230"/>
      <c r="AC477" s="230"/>
      <c r="AD477" s="239"/>
    </row>
    <row r="478" spans="1:30" ht="20.100000000000001" customHeight="1" x14ac:dyDescent="0.25">
      <c r="A478" s="230"/>
      <c r="B478" s="231"/>
      <c r="C478" s="231"/>
      <c r="D478" s="231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30"/>
      <c r="S478" s="239"/>
      <c r="T478" s="230"/>
      <c r="U478" s="230"/>
      <c r="V478" s="230"/>
      <c r="W478" s="230"/>
      <c r="X478" s="239"/>
      <c r="Y478" s="239"/>
      <c r="Z478" s="230"/>
      <c r="AA478" s="230"/>
      <c r="AB478" s="230"/>
      <c r="AC478" s="230"/>
      <c r="AD478" s="239"/>
    </row>
    <row r="479" spans="1:30" ht="20.100000000000001" customHeight="1" x14ac:dyDescent="0.25">
      <c r="A479" s="230"/>
      <c r="B479" s="231"/>
      <c r="C479" s="231"/>
      <c r="D479" s="231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30"/>
      <c r="S479" s="239"/>
      <c r="T479" s="230"/>
      <c r="U479" s="230"/>
      <c r="V479" s="230"/>
      <c r="W479" s="230"/>
      <c r="X479" s="239"/>
      <c r="Y479" s="239"/>
      <c r="Z479" s="230"/>
      <c r="AA479" s="230"/>
      <c r="AB479" s="230"/>
      <c r="AC479" s="230"/>
      <c r="AD479" s="239"/>
    </row>
    <row r="480" spans="1:30" ht="20.100000000000001" customHeight="1" x14ac:dyDescent="0.25">
      <c r="A480" s="230"/>
      <c r="B480" s="231"/>
      <c r="C480" s="231"/>
      <c r="D480" s="231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30"/>
      <c r="S480" s="239"/>
      <c r="T480" s="230"/>
      <c r="U480" s="230"/>
      <c r="V480" s="230"/>
      <c r="W480" s="230"/>
      <c r="X480" s="239"/>
      <c r="Y480" s="239"/>
      <c r="Z480" s="230"/>
      <c r="AA480" s="230"/>
      <c r="AB480" s="230"/>
      <c r="AC480" s="230"/>
      <c r="AD480" s="239"/>
    </row>
    <row r="481" spans="1:30" ht="20.100000000000001" customHeight="1" x14ac:dyDescent="0.25">
      <c r="A481" s="230"/>
      <c r="B481" s="231"/>
      <c r="C481" s="231"/>
      <c r="D481" s="231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30"/>
      <c r="S481" s="239"/>
      <c r="T481" s="230"/>
      <c r="U481" s="230"/>
      <c r="V481" s="230"/>
      <c r="W481" s="230"/>
      <c r="X481" s="239"/>
      <c r="Y481" s="239"/>
      <c r="Z481" s="230"/>
      <c r="AA481" s="230"/>
      <c r="AB481" s="230"/>
      <c r="AC481" s="230"/>
      <c r="AD481" s="239"/>
    </row>
    <row r="482" spans="1:30" ht="20.100000000000001" customHeight="1" x14ac:dyDescent="0.25">
      <c r="A482" s="230"/>
      <c r="B482" s="231"/>
      <c r="C482" s="231"/>
      <c r="D482" s="231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30"/>
      <c r="S482" s="239"/>
      <c r="T482" s="230"/>
      <c r="U482" s="230"/>
      <c r="V482" s="230"/>
      <c r="W482" s="230"/>
      <c r="X482" s="239"/>
      <c r="Y482" s="239"/>
      <c r="Z482" s="230"/>
      <c r="AA482" s="230"/>
      <c r="AB482" s="230"/>
      <c r="AC482" s="230"/>
      <c r="AD482" s="239"/>
    </row>
    <row r="483" spans="1:30" ht="20.100000000000001" customHeight="1" x14ac:dyDescent="0.25">
      <c r="A483" s="230"/>
      <c r="B483" s="231"/>
      <c r="C483" s="231"/>
      <c r="D483" s="231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30"/>
      <c r="S483" s="239"/>
      <c r="T483" s="230"/>
      <c r="U483" s="230"/>
      <c r="V483" s="230"/>
      <c r="W483" s="230"/>
      <c r="X483" s="239"/>
      <c r="Y483" s="239"/>
      <c r="Z483" s="230"/>
      <c r="AA483" s="230"/>
      <c r="AB483" s="230"/>
      <c r="AC483" s="230"/>
      <c r="AD483" s="239"/>
    </row>
    <row r="484" spans="1:30" ht="20.100000000000001" customHeight="1" x14ac:dyDescent="0.25">
      <c r="A484" s="230"/>
      <c r="B484" s="231"/>
      <c r="C484" s="231"/>
      <c r="D484" s="231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30"/>
      <c r="S484" s="239"/>
      <c r="T484" s="230"/>
      <c r="U484" s="230"/>
      <c r="V484" s="230"/>
      <c r="W484" s="230"/>
      <c r="X484" s="239"/>
      <c r="Y484" s="239"/>
      <c r="Z484" s="230"/>
      <c r="AA484" s="230"/>
      <c r="AB484" s="230"/>
      <c r="AC484" s="230"/>
      <c r="AD484" s="239"/>
    </row>
    <row r="485" spans="1:30" ht="20.100000000000001" customHeight="1" x14ac:dyDescent="0.25">
      <c r="A485" s="230"/>
      <c r="B485" s="231"/>
      <c r="C485" s="231"/>
      <c r="D485" s="231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30"/>
      <c r="S485" s="239"/>
      <c r="T485" s="230"/>
      <c r="U485" s="230"/>
      <c r="V485" s="230"/>
      <c r="W485" s="230"/>
      <c r="X485" s="239"/>
      <c r="Y485" s="239"/>
      <c r="Z485" s="230"/>
      <c r="AA485" s="230"/>
      <c r="AB485" s="230"/>
      <c r="AC485" s="230"/>
      <c r="AD485" s="239"/>
    </row>
    <row r="486" spans="1:30" ht="20.100000000000001" customHeight="1" x14ac:dyDescent="0.25">
      <c r="A486" s="230"/>
      <c r="B486" s="231"/>
      <c r="C486" s="231"/>
      <c r="D486" s="231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30"/>
      <c r="S486" s="239"/>
      <c r="T486" s="230"/>
      <c r="U486" s="230"/>
      <c r="V486" s="230"/>
      <c r="W486" s="230"/>
      <c r="X486" s="239"/>
      <c r="Y486" s="239"/>
      <c r="Z486" s="230"/>
      <c r="AA486" s="230"/>
      <c r="AB486" s="230"/>
      <c r="AC486" s="230"/>
      <c r="AD486" s="239"/>
    </row>
    <row r="487" spans="1:30" ht="20.100000000000001" customHeight="1" x14ac:dyDescent="0.25">
      <c r="A487" s="230"/>
      <c r="B487" s="231"/>
      <c r="C487" s="231"/>
      <c r="D487" s="231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30"/>
      <c r="S487" s="239"/>
      <c r="T487" s="230"/>
      <c r="U487" s="230"/>
      <c r="V487" s="230"/>
      <c r="W487" s="230"/>
      <c r="X487" s="239"/>
      <c r="Y487" s="239"/>
      <c r="Z487" s="230"/>
      <c r="AA487" s="230"/>
      <c r="AB487" s="230"/>
      <c r="AC487" s="230"/>
      <c r="AD487" s="239"/>
    </row>
    <row r="488" spans="1:30" ht="20.100000000000001" customHeight="1" x14ac:dyDescent="0.25">
      <c r="A488" s="230"/>
      <c r="B488" s="231"/>
      <c r="C488" s="231"/>
      <c r="D488" s="231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30"/>
      <c r="S488" s="239"/>
      <c r="T488" s="230"/>
      <c r="U488" s="230"/>
      <c r="V488" s="230"/>
      <c r="W488" s="230"/>
      <c r="X488" s="239"/>
      <c r="Y488" s="239"/>
      <c r="Z488" s="230"/>
      <c r="AA488" s="230"/>
      <c r="AB488" s="230"/>
      <c r="AC488" s="230"/>
      <c r="AD488" s="239"/>
    </row>
    <row r="489" spans="1:30" ht="20.100000000000001" customHeight="1" x14ac:dyDescent="0.25">
      <c r="A489" s="230"/>
      <c r="B489" s="231"/>
      <c r="C489" s="231"/>
      <c r="D489" s="231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30"/>
      <c r="S489" s="239"/>
      <c r="T489" s="230"/>
      <c r="U489" s="230"/>
      <c r="V489" s="230"/>
      <c r="W489" s="230"/>
      <c r="X489" s="239"/>
      <c r="Y489" s="239"/>
      <c r="Z489" s="230"/>
      <c r="AA489" s="230"/>
      <c r="AB489" s="230"/>
      <c r="AC489" s="230"/>
      <c r="AD489" s="239"/>
    </row>
    <row r="490" spans="1:30" ht="20.100000000000001" customHeight="1" x14ac:dyDescent="0.25">
      <c r="A490" s="230"/>
      <c r="B490" s="231"/>
      <c r="C490" s="231"/>
      <c r="D490" s="231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30"/>
      <c r="S490" s="239"/>
      <c r="T490" s="230"/>
      <c r="U490" s="230"/>
      <c r="V490" s="230"/>
      <c r="W490" s="230"/>
      <c r="X490" s="239"/>
      <c r="Y490" s="239"/>
      <c r="Z490" s="230"/>
      <c r="AA490" s="230"/>
      <c r="AB490" s="230"/>
      <c r="AC490" s="230"/>
      <c r="AD490" s="239"/>
    </row>
    <row r="491" spans="1:30" ht="20.100000000000001" customHeight="1" x14ac:dyDescent="0.25">
      <c r="A491" s="230"/>
      <c r="B491" s="231"/>
      <c r="C491" s="231"/>
      <c r="D491" s="231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30"/>
      <c r="S491" s="239"/>
      <c r="T491" s="230"/>
      <c r="U491" s="230"/>
      <c r="V491" s="230"/>
      <c r="W491" s="230"/>
      <c r="X491" s="239"/>
      <c r="Y491" s="239"/>
      <c r="Z491" s="230"/>
      <c r="AA491" s="230"/>
      <c r="AB491" s="230"/>
      <c r="AC491" s="230"/>
      <c r="AD491" s="239"/>
    </row>
    <row r="492" spans="1:30" ht="20.100000000000001" customHeight="1" x14ac:dyDescent="0.25">
      <c r="A492" s="230"/>
      <c r="B492" s="231"/>
      <c r="C492" s="231"/>
      <c r="D492" s="231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30"/>
      <c r="S492" s="239"/>
      <c r="T492" s="230"/>
      <c r="U492" s="230"/>
      <c r="V492" s="230"/>
      <c r="W492" s="230"/>
      <c r="X492" s="239"/>
      <c r="Y492" s="239"/>
      <c r="Z492" s="230"/>
      <c r="AA492" s="230"/>
      <c r="AB492" s="230"/>
      <c r="AC492" s="230"/>
      <c r="AD492" s="239"/>
    </row>
    <row r="493" spans="1:30" ht="20.100000000000001" customHeight="1" x14ac:dyDescent="0.25">
      <c r="A493" s="230"/>
      <c r="B493" s="231"/>
      <c r="C493" s="231"/>
      <c r="D493" s="231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30"/>
      <c r="S493" s="239"/>
      <c r="T493" s="230"/>
      <c r="U493" s="230"/>
      <c r="V493" s="230"/>
      <c r="W493" s="230"/>
      <c r="X493" s="239"/>
      <c r="Y493" s="239"/>
      <c r="Z493" s="230"/>
      <c r="AA493" s="230"/>
      <c r="AB493" s="230"/>
      <c r="AC493" s="230"/>
      <c r="AD493" s="239"/>
    </row>
    <row r="494" spans="1:30" ht="20.100000000000001" customHeight="1" x14ac:dyDescent="0.25">
      <c r="A494" s="230"/>
      <c r="B494" s="231"/>
      <c r="C494" s="231"/>
      <c r="D494" s="231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30"/>
      <c r="S494" s="239"/>
      <c r="T494" s="230"/>
      <c r="U494" s="230"/>
      <c r="V494" s="230"/>
      <c r="W494" s="230"/>
      <c r="X494" s="239"/>
      <c r="Y494" s="239"/>
      <c r="Z494" s="230"/>
      <c r="AA494" s="230"/>
      <c r="AB494" s="230"/>
      <c r="AC494" s="230"/>
      <c r="AD494" s="239"/>
    </row>
    <row r="495" spans="1:30" ht="20.100000000000001" customHeight="1" x14ac:dyDescent="0.25">
      <c r="A495" s="230"/>
      <c r="B495" s="231"/>
      <c r="C495" s="231"/>
      <c r="D495" s="231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30"/>
      <c r="S495" s="239"/>
      <c r="T495" s="230"/>
      <c r="U495" s="230"/>
      <c r="V495" s="230"/>
      <c r="W495" s="230"/>
      <c r="X495" s="239"/>
      <c r="Y495" s="239"/>
      <c r="Z495" s="230"/>
      <c r="AA495" s="230"/>
      <c r="AB495" s="230"/>
      <c r="AC495" s="230"/>
      <c r="AD495" s="239"/>
    </row>
    <row r="496" spans="1:30" ht="20.100000000000001" customHeight="1" x14ac:dyDescent="0.25">
      <c r="A496" s="230"/>
      <c r="B496" s="231"/>
      <c r="C496" s="231"/>
      <c r="D496" s="231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30"/>
      <c r="S496" s="239"/>
      <c r="T496" s="230"/>
      <c r="U496" s="230"/>
      <c r="V496" s="230"/>
      <c r="W496" s="230"/>
      <c r="X496" s="239"/>
      <c r="Y496" s="239"/>
      <c r="Z496" s="230"/>
      <c r="AA496" s="230"/>
      <c r="AB496" s="230"/>
      <c r="AC496" s="230"/>
      <c r="AD496" s="239"/>
    </row>
    <row r="497" spans="1:30" ht="20.100000000000001" customHeight="1" x14ac:dyDescent="0.25">
      <c r="A497" s="230"/>
      <c r="B497" s="231"/>
      <c r="C497" s="231"/>
      <c r="D497" s="231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30"/>
      <c r="S497" s="239"/>
      <c r="T497" s="230"/>
      <c r="U497" s="230"/>
      <c r="V497" s="230"/>
      <c r="W497" s="230"/>
      <c r="X497" s="239"/>
      <c r="Y497" s="239"/>
      <c r="Z497" s="230"/>
      <c r="AA497" s="230"/>
      <c r="AB497" s="230"/>
      <c r="AC497" s="230"/>
      <c r="AD497" s="239"/>
    </row>
    <row r="498" spans="1:30" ht="20.100000000000001" customHeight="1" x14ac:dyDescent="0.25">
      <c r="A498" s="230"/>
      <c r="B498" s="231"/>
      <c r="C498" s="231"/>
      <c r="D498" s="231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30"/>
      <c r="S498" s="239"/>
      <c r="T498" s="230"/>
      <c r="U498" s="230"/>
      <c r="V498" s="230"/>
      <c r="W498" s="230"/>
      <c r="X498" s="239"/>
      <c r="Y498" s="239"/>
      <c r="Z498" s="230"/>
      <c r="AA498" s="230"/>
      <c r="AB498" s="230"/>
      <c r="AC498" s="230"/>
      <c r="AD498" s="239"/>
    </row>
    <row r="499" spans="1:30" ht="20.100000000000001" customHeight="1" x14ac:dyDescent="0.25">
      <c r="A499" s="230"/>
      <c r="B499" s="231"/>
      <c r="C499" s="231"/>
      <c r="D499" s="231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30"/>
      <c r="S499" s="239"/>
      <c r="T499" s="230"/>
      <c r="U499" s="230"/>
      <c r="V499" s="230"/>
      <c r="W499" s="230"/>
      <c r="X499" s="239"/>
      <c r="Y499" s="239"/>
      <c r="Z499" s="230"/>
      <c r="AA499" s="230"/>
      <c r="AB499" s="230"/>
      <c r="AC499" s="230"/>
      <c r="AD499" s="239"/>
    </row>
    <row r="500" spans="1:30" ht="20.100000000000001" customHeight="1" x14ac:dyDescent="0.25">
      <c r="A500" s="230"/>
      <c r="B500" s="231"/>
      <c r="C500" s="231"/>
      <c r="D500" s="231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30"/>
      <c r="S500" s="239"/>
      <c r="T500" s="230"/>
      <c r="U500" s="230"/>
      <c r="V500" s="230"/>
      <c r="W500" s="230"/>
      <c r="X500" s="239"/>
      <c r="Y500" s="239"/>
      <c r="Z500" s="230"/>
      <c r="AA500" s="230"/>
      <c r="AB500" s="230"/>
      <c r="AC500" s="230"/>
      <c r="AD500" s="239"/>
    </row>
    <row r="501" spans="1:30" ht="20.100000000000001" customHeight="1" x14ac:dyDescent="0.25">
      <c r="A501" s="230"/>
      <c r="B501" s="231"/>
      <c r="C501" s="231"/>
      <c r="D501" s="231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30"/>
      <c r="S501" s="239"/>
      <c r="T501" s="230"/>
      <c r="U501" s="230"/>
      <c r="V501" s="230"/>
      <c r="W501" s="230"/>
      <c r="X501" s="239"/>
      <c r="Y501" s="239"/>
      <c r="Z501" s="230"/>
      <c r="AA501" s="230"/>
      <c r="AB501" s="230"/>
      <c r="AC501" s="230"/>
      <c r="AD501" s="239"/>
    </row>
    <row r="502" spans="1:30" ht="20.100000000000001" customHeight="1" x14ac:dyDescent="0.25">
      <c r="A502" s="230"/>
      <c r="B502" s="231"/>
      <c r="C502" s="231"/>
      <c r="D502" s="231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30"/>
      <c r="S502" s="239"/>
      <c r="T502" s="230"/>
      <c r="U502" s="230"/>
      <c r="V502" s="230"/>
      <c r="W502" s="230"/>
      <c r="X502" s="239"/>
      <c r="Y502" s="239"/>
      <c r="Z502" s="230"/>
      <c r="AA502" s="230"/>
      <c r="AB502" s="230"/>
      <c r="AC502" s="230"/>
      <c r="AD502" s="239"/>
    </row>
    <row r="503" spans="1:30" ht="20.100000000000001" customHeight="1" x14ac:dyDescent="0.25">
      <c r="A503" s="230"/>
      <c r="B503" s="231"/>
      <c r="C503" s="231"/>
      <c r="D503" s="231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30"/>
      <c r="S503" s="239"/>
      <c r="T503" s="230"/>
      <c r="U503" s="230"/>
      <c r="V503" s="230"/>
      <c r="W503" s="230"/>
      <c r="X503" s="239"/>
      <c r="Y503" s="239"/>
      <c r="Z503" s="230"/>
      <c r="AA503" s="230"/>
      <c r="AB503" s="230"/>
      <c r="AC503" s="230"/>
      <c r="AD503" s="239"/>
    </row>
    <row r="504" spans="1:30" ht="20.100000000000001" customHeight="1" x14ac:dyDescent="0.25">
      <c r="A504" s="230"/>
      <c r="B504" s="231"/>
      <c r="C504" s="231"/>
      <c r="D504" s="231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30"/>
      <c r="S504" s="239"/>
      <c r="T504" s="230"/>
      <c r="U504" s="230"/>
      <c r="V504" s="230"/>
      <c r="W504" s="230"/>
      <c r="X504" s="239"/>
      <c r="Y504" s="239"/>
      <c r="Z504" s="230"/>
      <c r="AA504" s="230"/>
      <c r="AB504" s="230"/>
      <c r="AC504" s="230"/>
      <c r="AD504" s="239"/>
    </row>
    <row r="505" spans="1:30" ht="20.100000000000001" customHeight="1" x14ac:dyDescent="0.25">
      <c r="A505" s="230"/>
      <c r="B505" s="231"/>
      <c r="C505" s="231"/>
      <c r="D505" s="231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30"/>
      <c r="S505" s="239"/>
      <c r="T505" s="230"/>
      <c r="U505" s="230"/>
      <c r="V505" s="230"/>
      <c r="W505" s="230"/>
      <c r="X505" s="239"/>
      <c r="Y505" s="239"/>
      <c r="Z505" s="230"/>
      <c r="AA505" s="230"/>
      <c r="AB505" s="230"/>
      <c r="AC505" s="230"/>
      <c r="AD505" s="239"/>
    </row>
    <row r="506" spans="1:30" ht="20.100000000000001" customHeight="1" x14ac:dyDescent="0.25">
      <c r="A506" s="230"/>
      <c r="B506" s="231"/>
      <c r="C506" s="231"/>
      <c r="D506" s="231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30"/>
      <c r="S506" s="239"/>
      <c r="T506" s="230"/>
      <c r="U506" s="230"/>
      <c r="V506" s="230"/>
      <c r="W506" s="230"/>
      <c r="X506" s="239"/>
      <c r="Y506" s="239"/>
      <c r="Z506" s="230"/>
      <c r="AA506" s="230"/>
      <c r="AB506" s="230"/>
      <c r="AC506" s="230"/>
      <c r="AD506" s="239"/>
    </row>
    <row r="507" spans="1:30" ht="20.100000000000001" customHeight="1" x14ac:dyDescent="0.25">
      <c r="A507" s="230"/>
      <c r="B507" s="231"/>
      <c r="C507" s="231"/>
      <c r="D507" s="231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30"/>
      <c r="S507" s="239"/>
      <c r="T507" s="230"/>
      <c r="U507" s="230"/>
      <c r="V507" s="230"/>
      <c r="W507" s="230"/>
      <c r="X507" s="239"/>
      <c r="Y507" s="239"/>
      <c r="Z507" s="230"/>
      <c r="AA507" s="230"/>
      <c r="AB507" s="230"/>
      <c r="AC507" s="230"/>
      <c r="AD507" s="239"/>
    </row>
    <row r="508" spans="1:30" ht="20.100000000000001" customHeight="1" x14ac:dyDescent="0.25">
      <c r="A508" s="230"/>
      <c r="B508" s="231"/>
      <c r="C508" s="231"/>
      <c r="D508" s="231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30"/>
      <c r="S508" s="239"/>
      <c r="T508" s="230"/>
      <c r="U508" s="230"/>
      <c r="V508" s="230"/>
      <c r="W508" s="230"/>
      <c r="X508" s="239"/>
      <c r="Y508" s="239"/>
      <c r="Z508" s="230"/>
      <c r="AA508" s="230"/>
      <c r="AB508" s="230"/>
      <c r="AC508" s="230"/>
      <c r="AD508" s="239"/>
    </row>
    <row r="509" spans="1:30" ht="20.100000000000001" customHeight="1" x14ac:dyDescent="0.25">
      <c r="A509" s="230"/>
      <c r="B509" s="231"/>
      <c r="C509" s="231"/>
      <c r="D509" s="231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30"/>
      <c r="S509" s="239"/>
      <c r="T509" s="230"/>
      <c r="U509" s="230"/>
      <c r="V509" s="230"/>
      <c r="W509" s="230"/>
      <c r="X509" s="239"/>
      <c r="Y509" s="239"/>
      <c r="Z509" s="230"/>
      <c r="AA509" s="230"/>
      <c r="AB509" s="230"/>
      <c r="AC509" s="230"/>
      <c r="AD509" s="239"/>
    </row>
    <row r="510" spans="1:30" ht="20.100000000000001" customHeight="1" x14ac:dyDescent="0.25">
      <c r="A510" s="230"/>
      <c r="B510" s="231"/>
      <c r="C510" s="231"/>
      <c r="D510" s="231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30"/>
      <c r="S510" s="239"/>
      <c r="T510" s="230"/>
      <c r="U510" s="230"/>
      <c r="V510" s="230"/>
      <c r="W510" s="230"/>
      <c r="X510" s="239"/>
      <c r="Y510" s="239"/>
      <c r="Z510" s="230"/>
      <c r="AA510" s="230"/>
      <c r="AB510" s="230"/>
      <c r="AC510" s="230"/>
      <c r="AD510" s="239"/>
    </row>
    <row r="511" spans="1:30" ht="20.100000000000001" customHeight="1" x14ac:dyDescent="0.25">
      <c r="A511" s="230"/>
      <c r="B511" s="231"/>
      <c r="C511" s="231"/>
      <c r="D511" s="231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30"/>
      <c r="S511" s="239"/>
      <c r="T511" s="230"/>
      <c r="U511" s="230"/>
      <c r="V511" s="230"/>
      <c r="W511" s="230"/>
      <c r="X511" s="239"/>
      <c r="Y511" s="239"/>
      <c r="Z511" s="230"/>
      <c r="AA511" s="230"/>
      <c r="AB511" s="230"/>
      <c r="AC511" s="230"/>
      <c r="AD511" s="239"/>
    </row>
    <row r="512" spans="1:30" ht="20.100000000000001" customHeight="1" x14ac:dyDescent="0.25">
      <c r="A512" s="230"/>
      <c r="B512" s="231"/>
      <c r="C512" s="231"/>
      <c r="D512" s="231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30"/>
      <c r="S512" s="239"/>
      <c r="T512" s="230"/>
      <c r="U512" s="230"/>
      <c r="V512" s="230"/>
      <c r="W512" s="230"/>
      <c r="X512" s="239"/>
      <c r="Y512" s="239"/>
      <c r="Z512" s="230"/>
      <c r="AA512" s="230"/>
      <c r="AB512" s="230"/>
      <c r="AC512" s="230"/>
      <c r="AD512" s="239"/>
    </row>
    <row r="513" spans="1:30" ht="20.100000000000001" customHeight="1" x14ac:dyDescent="0.25">
      <c r="A513" s="230"/>
      <c r="B513" s="231"/>
      <c r="C513" s="231"/>
      <c r="D513" s="231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30"/>
      <c r="S513" s="239"/>
      <c r="T513" s="230"/>
      <c r="U513" s="230"/>
      <c r="V513" s="230"/>
      <c r="W513" s="230"/>
      <c r="X513" s="239"/>
      <c r="Y513" s="239"/>
      <c r="Z513" s="230"/>
      <c r="AA513" s="230"/>
      <c r="AB513" s="230"/>
      <c r="AC513" s="230"/>
      <c r="AD513" s="239"/>
    </row>
    <row r="514" spans="1:30" ht="20.100000000000001" customHeight="1" x14ac:dyDescent="0.25">
      <c r="A514" s="230"/>
      <c r="B514" s="231"/>
      <c r="C514" s="231"/>
      <c r="D514" s="231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30"/>
      <c r="S514" s="239"/>
      <c r="T514" s="230"/>
      <c r="U514" s="230"/>
      <c r="V514" s="230"/>
      <c r="W514" s="230"/>
      <c r="X514" s="239"/>
      <c r="Y514" s="239"/>
      <c r="Z514" s="230"/>
      <c r="AA514" s="230"/>
      <c r="AB514" s="230"/>
      <c r="AC514" s="230"/>
      <c r="AD514" s="239"/>
    </row>
    <row r="515" spans="1:30" ht="20.100000000000001" customHeight="1" x14ac:dyDescent="0.25">
      <c r="A515" s="230"/>
      <c r="B515" s="231"/>
      <c r="C515" s="231"/>
      <c r="D515" s="231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30"/>
      <c r="S515" s="239"/>
      <c r="T515" s="230"/>
      <c r="U515" s="230"/>
      <c r="V515" s="230"/>
      <c r="W515" s="230"/>
      <c r="X515" s="239"/>
      <c r="Y515" s="239"/>
      <c r="Z515" s="230"/>
      <c r="AA515" s="230"/>
      <c r="AB515" s="230"/>
      <c r="AC515" s="230"/>
      <c r="AD515" s="239"/>
    </row>
    <row r="516" spans="1:30" ht="20.100000000000001" customHeight="1" x14ac:dyDescent="0.25">
      <c r="A516" s="230"/>
      <c r="B516" s="231"/>
      <c r="C516" s="231"/>
      <c r="D516" s="231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30"/>
      <c r="S516" s="239"/>
      <c r="T516" s="230"/>
      <c r="U516" s="230"/>
      <c r="V516" s="230"/>
      <c r="W516" s="230"/>
      <c r="X516" s="239"/>
      <c r="Y516" s="239"/>
      <c r="Z516" s="230"/>
      <c r="AA516" s="230"/>
      <c r="AB516" s="230"/>
      <c r="AC516" s="230"/>
      <c r="AD516" s="239"/>
    </row>
    <row r="517" spans="1:30" ht="20.100000000000001" customHeight="1" x14ac:dyDescent="0.25">
      <c r="A517" s="230"/>
      <c r="B517" s="231"/>
      <c r="C517" s="231"/>
      <c r="D517" s="231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30"/>
      <c r="S517" s="239"/>
      <c r="T517" s="230"/>
      <c r="U517" s="230"/>
      <c r="V517" s="230"/>
      <c r="W517" s="230"/>
      <c r="X517" s="239"/>
      <c r="Y517" s="239"/>
      <c r="Z517" s="230"/>
      <c r="AA517" s="230"/>
      <c r="AB517" s="230"/>
      <c r="AC517" s="230"/>
      <c r="AD517" s="239"/>
    </row>
    <row r="518" spans="1:30" ht="20.100000000000001" customHeight="1" x14ac:dyDescent="0.25">
      <c r="A518" s="230"/>
      <c r="B518" s="231"/>
      <c r="C518" s="231"/>
      <c r="D518" s="231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30"/>
      <c r="S518" s="239"/>
      <c r="T518" s="230"/>
      <c r="U518" s="230"/>
      <c r="V518" s="230"/>
      <c r="W518" s="230"/>
      <c r="X518" s="239"/>
      <c r="Y518" s="239"/>
      <c r="Z518" s="230"/>
      <c r="AA518" s="230"/>
      <c r="AB518" s="230"/>
      <c r="AC518" s="230"/>
      <c r="AD518" s="239"/>
    </row>
    <row r="519" spans="1:30" ht="20.100000000000001" customHeight="1" x14ac:dyDescent="0.25">
      <c r="A519" s="230"/>
      <c r="B519" s="231"/>
      <c r="C519" s="231"/>
      <c r="D519" s="231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30"/>
      <c r="S519" s="239"/>
      <c r="T519" s="230"/>
      <c r="U519" s="230"/>
      <c r="V519" s="230"/>
      <c r="W519" s="230"/>
      <c r="X519" s="239"/>
      <c r="Y519" s="239"/>
      <c r="Z519" s="230"/>
      <c r="AA519" s="230"/>
      <c r="AB519" s="230"/>
      <c r="AC519" s="230"/>
      <c r="AD519" s="239"/>
    </row>
    <row r="520" spans="1:30" ht="20.100000000000001" customHeight="1" x14ac:dyDescent="0.25">
      <c r="A520" s="230"/>
      <c r="B520" s="231"/>
      <c r="C520" s="231"/>
      <c r="D520" s="231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30"/>
      <c r="S520" s="239"/>
      <c r="T520" s="230"/>
      <c r="U520" s="230"/>
      <c r="V520" s="230"/>
      <c r="W520" s="230"/>
      <c r="X520" s="239"/>
      <c r="Y520" s="239"/>
      <c r="Z520" s="230"/>
      <c r="AA520" s="230"/>
      <c r="AB520" s="230"/>
      <c r="AC520" s="230"/>
      <c r="AD520" s="239"/>
    </row>
    <row r="521" spans="1:30" ht="20.100000000000001" customHeight="1" x14ac:dyDescent="0.25">
      <c r="A521" s="230"/>
      <c r="B521" s="231"/>
      <c r="C521" s="231"/>
      <c r="D521" s="231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30"/>
      <c r="S521" s="239"/>
      <c r="T521" s="230"/>
      <c r="U521" s="230"/>
      <c r="V521" s="230"/>
      <c r="W521" s="230"/>
      <c r="X521" s="239"/>
      <c r="Y521" s="239"/>
      <c r="Z521" s="230"/>
      <c r="AA521" s="230"/>
      <c r="AB521" s="230"/>
      <c r="AC521" s="230"/>
      <c r="AD521" s="239"/>
    </row>
    <row r="522" spans="1:30" ht="20.100000000000001" customHeight="1" x14ac:dyDescent="0.25">
      <c r="A522" s="230"/>
      <c r="B522" s="231"/>
      <c r="C522" s="231"/>
      <c r="D522" s="231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30"/>
      <c r="S522" s="239"/>
      <c r="T522" s="230"/>
      <c r="U522" s="230"/>
      <c r="V522" s="230"/>
      <c r="W522" s="230"/>
      <c r="X522" s="239"/>
      <c r="Y522" s="239"/>
      <c r="Z522" s="230"/>
      <c r="AA522" s="230"/>
      <c r="AB522" s="230"/>
      <c r="AC522" s="230"/>
      <c r="AD522" s="239"/>
    </row>
    <row r="523" spans="1:30" ht="20.100000000000001" customHeight="1" x14ac:dyDescent="0.25">
      <c r="A523" s="230"/>
      <c r="B523" s="231"/>
      <c r="C523" s="231"/>
      <c r="D523" s="231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30"/>
      <c r="S523" s="239"/>
      <c r="T523" s="230"/>
      <c r="U523" s="230"/>
      <c r="V523" s="230"/>
      <c r="W523" s="230"/>
      <c r="X523" s="239"/>
      <c r="Y523" s="239"/>
      <c r="Z523" s="230"/>
      <c r="AA523" s="230"/>
      <c r="AB523" s="230"/>
      <c r="AC523" s="230"/>
      <c r="AD523" s="239"/>
    </row>
    <row r="524" spans="1:30" ht="20.100000000000001" customHeight="1" x14ac:dyDescent="0.25">
      <c r="A524" s="230"/>
      <c r="B524" s="231"/>
      <c r="C524" s="231"/>
      <c r="D524" s="231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30"/>
      <c r="S524" s="239"/>
      <c r="T524" s="230"/>
      <c r="U524" s="230"/>
      <c r="V524" s="230"/>
      <c r="W524" s="230"/>
      <c r="X524" s="239"/>
      <c r="Y524" s="239"/>
      <c r="Z524" s="230"/>
      <c r="AA524" s="230"/>
      <c r="AB524" s="230"/>
      <c r="AC524" s="230"/>
      <c r="AD524" s="239"/>
    </row>
    <row r="525" spans="1:30" ht="20.100000000000001" customHeight="1" x14ac:dyDescent="0.25">
      <c r="A525" s="230"/>
      <c r="B525" s="231"/>
      <c r="C525" s="231"/>
      <c r="D525" s="231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30"/>
      <c r="S525" s="239"/>
      <c r="T525" s="230"/>
      <c r="U525" s="230"/>
      <c r="V525" s="230"/>
      <c r="W525" s="230"/>
      <c r="X525" s="239"/>
      <c r="Y525" s="239"/>
      <c r="Z525" s="230"/>
      <c r="AA525" s="230"/>
      <c r="AB525" s="230"/>
      <c r="AC525" s="230"/>
      <c r="AD525" s="239"/>
    </row>
    <row r="526" spans="1:30" ht="20.100000000000001" customHeight="1" x14ac:dyDescent="0.25">
      <c r="A526" s="230"/>
      <c r="B526" s="231"/>
      <c r="C526" s="231"/>
      <c r="D526" s="231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30"/>
      <c r="S526" s="239"/>
      <c r="T526" s="230"/>
      <c r="U526" s="230"/>
      <c r="V526" s="230"/>
      <c r="W526" s="230"/>
      <c r="X526" s="239"/>
      <c r="Y526" s="239"/>
      <c r="Z526" s="230"/>
      <c r="AA526" s="230"/>
      <c r="AB526" s="230"/>
      <c r="AC526" s="230"/>
      <c r="AD526" s="239"/>
    </row>
    <row r="527" spans="1:30" ht="20.100000000000001" customHeight="1" x14ac:dyDescent="0.25">
      <c r="A527" s="230"/>
      <c r="B527" s="231"/>
      <c r="C527" s="231"/>
      <c r="D527" s="231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30"/>
      <c r="S527" s="239"/>
      <c r="T527" s="230"/>
      <c r="U527" s="230"/>
      <c r="V527" s="230"/>
      <c r="W527" s="230"/>
      <c r="X527" s="239"/>
      <c r="Y527" s="239"/>
      <c r="Z527" s="230"/>
      <c r="AA527" s="230"/>
      <c r="AB527" s="230"/>
      <c r="AC527" s="230"/>
      <c r="AD527" s="239"/>
    </row>
    <row r="528" spans="1:30" ht="20.100000000000001" customHeight="1" x14ac:dyDescent="0.25">
      <c r="A528" s="230"/>
      <c r="B528" s="231"/>
      <c r="C528" s="231"/>
      <c r="D528" s="231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30"/>
      <c r="S528" s="239"/>
      <c r="T528" s="230"/>
      <c r="U528" s="230"/>
      <c r="V528" s="230"/>
      <c r="W528" s="230"/>
      <c r="X528" s="239"/>
      <c r="Y528" s="239"/>
      <c r="Z528" s="230"/>
      <c r="AA528" s="230"/>
      <c r="AB528" s="230"/>
      <c r="AC528" s="230"/>
      <c r="AD528" s="239"/>
    </row>
    <row r="529" spans="1:30" ht="20.100000000000001" customHeight="1" x14ac:dyDescent="0.25">
      <c r="A529" s="230"/>
      <c r="B529" s="231"/>
      <c r="C529" s="231"/>
      <c r="D529" s="231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30"/>
      <c r="S529" s="239"/>
      <c r="T529" s="230"/>
      <c r="U529" s="230"/>
      <c r="V529" s="230"/>
      <c r="W529" s="230"/>
      <c r="X529" s="239"/>
      <c r="Y529" s="239"/>
      <c r="Z529" s="230"/>
      <c r="AA529" s="230"/>
      <c r="AB529" s="230"/>
      <c r="AC529" s="230"/>
      <c r="AD529" s="239"/>
    </row>
    <row r="530" spans="1:30" ht="20.100000000000001" customHeight="1" x14ac:dyDescent="0.25">
      <c r="A530" s="230"/>
      <c r="B530" s="231"/>
      <c r="C530" s="231"/>
      <c r="D530" s="231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30"/>
      <c r="S530" s="239"/>
      <c r="T530" s="230"/>
      <c r="U530" s="230"/>
      <c r="V530" s="230"/>
      <c r="W530" s="230"/>
      <c r="X530" s="239"/>
      <c r="Y530" s="239"/>
      <c r="Z530" s="230"/>
      <c r="AA530" s="230"/>
      <c r="AB530" s="230"/>
      <c r="AC530" s="230"/>
      <c r="AD530" s="239"/>
    </row>
    <row r="531" spans="1:30" ht="20.100000000000001" customHeight="1" x14ac:dyDescent="0.25">
      <c r="A531" s="230"/>
      <c r="B531" s="231"/>
      <c r="C531" s="231"/>
      <c r="D531" s="231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30"/>
      <c r="S531" s="239"/>
      <c r="T531" s="230"/>
      <c r="U531" s="230"/>
      <c r="V531" s="230"/>
      <c r="W531" s="230"/>
      <c r="X531" s="239"/>
      <c r="Y531" s="239"/>
      <c r="Z531" s="230"/>
      <c r="AA531" s="230"/>
      <c r="AB531" s="230"/>
      <c r="AC531" s="230"/>
      <c r="AD531" s="239"/>
    </row>
    <row r="532" spans="1:30" ht="20.100000000000001" customHeight="1" x14ac:dyDescent="0.25">
      <c r="A532" s="230"/>
      <c r="B532" s="231"/>
      <c r="C532" s="231"/>
      <c r="D532" s="231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30"/>
      <c r="S532" s="239"/>
      <c r="T532" s="230"/>
      <c r="U532" s="230"/>
      <c r="V532" s="230"/>
      <c r="W532" s="230"/>
      <c r="X532" s="239"/>
      <c r="Y532" s="239"/>
      <c r="Z532" s="230"/>
      <c r="AA532" s="230"/>
      <c r="AB532" s="230"/>
      <c r="AC532" s="230"/>
      <c r="AD532" s="239"/>
    </row>
    <row r="533" spans="1:30" ht="20.100000000000001" customHeight="1" x14ac:dyDescent="0.25">
      <c r="A533" s="230"/>
      <c r="B533" s="231"/>
      <c r="C533" s="231"/>
      <c r="D533" s="231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30"/>
      <c r="S533" s="239"/>
      <c r="T533" s="230"/>
      <c r="U533" s="230"/>
      <c r="V533" s="230"/>
      <c r="W533" s="230"/>
      <c r="X533" s="239"/>
      <c r="Y533" s="239"/>
      <c r="Z533" s="230"/>
      <c r="AA533" s="230"/>
      <c r="AB533" s="230"/>
      <c r="AC533" s="230"/>
      <c r="AD533" s="239"/>
    </row>
    <row r="534" spans="1:30" ht="20.100000000000001" customHeight="1" x14ac:dyDescent="0.25">
      <c r="A534" s="230"/>
      <c r="B534" s="231"/>
      <c r="C534" s="231"/>
      <c r="D534" s="231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30"/>
      <c r="S534" s="239"/>
      <c r="T534" s="230"/>
      <c r="U534" s="230"/>
      <c r="V534" s="230"/>
      <c r="W534" s="230"/>
      <c r="X534" s="239"/>
      <c r="Y534" s="239"/>
      <c r="Z534" s="230"/>
      <c r="AA534" s="230"/>
      <c r="AB534" s="230"/>
      <c r="AC534" s="230"/>
      <c r="AD534" s="239"/>
    </row>
    <row r="535" spans="1:30" ht="20.100000000000001" customHeight="1" x14ac:dyDescent="0.25">
      <c r="A535" s="230"/>
      <c r="B535" s="231"/>
      <c r="C535" s="231"/>
      <c r="D535" s="231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30"/>
      <c r="S535" s="239"/>
      <c r="T535" s="230"/>
      <c r="U535" s="230"/>
      <c r="V535" s="230"/>
      <c r="W535" s="230"/>
      <c r="X535" s="239"/>
      <c r="Y535" s="239"/>
      <c r="Z535" s="230"/>
      <c r="AA535" s="230"/>
      <c r="AB535" s="230"/>
      <c r="AC535" s="230"/>
      <c r="AD535" s="239"/>
    </row>
    <row r="536" spans="1:30" ht="20.100000000000001" customHeight="1" x14ac:dyDescent="0.25">
      <c r="A536" s="230"/>
      <c r="B536" s="231"/>
      <c r="C536" s="231"/>
      <c r="D536" s="231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30"/>
      <c r="S536" s="239"/>
      <c r="T536" s="230"/>
      <c r="U536" s="230"/>
      <c r="V536" s="230"/>
      <c r="W536" s="230"/>
      <c r="X536" s="239"/>
      <c r="Y536" s="239"/>
      <c r="Z536" s="230"/>
      <c r="AA536" s="230"/>
      <c r="AB536" s="230"/>
      <c r="AC536" s="230"/>
      <c r="AD536" s="239"/>
    </row>
    <row r="537" spans="1:30" ht="20.100000000000001" customHeight="1" x14ac:dyDescent="0.25">
      <c r="A537" s="230"/>
      <c r="B537" s="231"/>
      <c r="C537" s="231"/>
      <c r="D537" s="231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30"/>
      <c r="S537" s="239"/>
      <c r="T537" s="230"/>
      <c r="U537" s="230"/>
      <c r="V537" s="230"/>
      <c r="W537" s="230"/>
      <c r="X537" s="239"/>
      <c r="Y537" s="239"/>
      <c r="Z537" s="230"/>
      <c r="AA537" s="230"/>
      <c r="AB537" s="230"/>
      <c r="AC537" s="230"/>
      <c r="AD537" s="239"/>
    </row>
    <row r="538" spans="1:30" ht="20.100000000000001" customHeight="1" x14ac:dyDescent="0.25">
      <c r="A538" s="230"/>
      <c r="B538" s="231"/>
      <c r="C538" s="231"/>
      <c r="D538" s="231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30"/>
      <c r="S538" s="239"/>
      <c r="T538" s="230"/>
      <c r="U538" s="230"/>
      <c r="V538" s="230"/>
      <c r="W538" s="230"/>
      <c r="X538" s="239"/>
      <c r="Y538" s="239"/>
      <c r="Z538" s="230"/>
      <c r="AA538" s="230"/>
      <c r="AB538" s="230"/>
      <c r="AC538" s="230"/>
      <c r="AD538" s="239"/>
    </row>
    <row r="539" spans="1:30" ht="20.100000000000001" customHeight="1" x14ac:dyDescent="0.25">
      <c r="A539" s="230"/>
      <c r="B539" s="231"/>
      <c r="C539" s="231"/>
      <c r="D539" s="231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30"/>
      <c r="S539" s="239"/>
      <c r="T539" s="230"/>
      <c r="U539" s="230"/>
      <c r="V539" s="230"/>
      <c r="W539" s="230"/>
      <c r="X539" s="239"/>
      <c r="Y539" s="239"/>
      <c r="Z539" s="230"/>
      <c r="AA539" s="230"/>
      <c r="AB539" s="230"/>
      <c r="AC539" s="230"/>
      <c r="AD539" s="239"/>
    </row>
    <row r="540" spans="1:30" ht="20.100000000000001" customHeight="1" x14ac:dyDescent="0.25">
      <c r="A540" s="230"/>
      <c r="B540" s="231"/>
      <c r="C540" s="231"/>
      <c r="D540" s="231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30"/>
      <c r="S540" s="239"/>
      <c r="T540" s="230"/>
      <c r="U540" s="230"/>
      <c r="V540" s="230"/>
      <c r="W540" s="230"/>
      <c r="X540" s="239"/>
      <c r="Y540" s="239"/>
      <c r="Z540" s="230"/>
      <c r="AA540" s="230"/>
      <c r="AB540" s="230"/>
      <c r="AC540" s="230"/>
      <c r="AD540" s="239"/>
    </row>
    <row r="541" spans="1:30" ht="20.100000000000001" customHeight="1" x14ac:dyDescent="0.25">
      <c r="A541" s="230"/>
      <c r="B541" s="231"/>
      <c r="C541" s="231"/>
      <c r="D541" s="231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30"/>
      <c r="S541" s="239"/>
      <c r="T541" s="230"/>
      <c r="U541" s="230"/>
      <c r="V541" s="230"/>
      <c r="W541" s="230"/>
      <c r="X541" s="239"/>
      <c r="Y541" s="239"/>
      <c r="Z541" s="230"/>
      <c r="AA541" s="230"/>
      <c r="AB541" s="230"/>
      <c r="AC541" s="230"/>
      <c r="AD541" s="239"/>
    </row>
    <row r="542" spans="1:30" ht="20.100000000000001" customHeight="1" x14ac:dyDescent="0.25">
      <c r="A542" s="230"/>
      <c r="B542" s="231"/>
      <c r="C542" s="231"/>
      <c r="D542" s="231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30"/>
      <c r="S542" s="239"/>
      <c r="T542" s="230"/>
      <c r="U542" s="230"/>
      <c r="V542" s="230"/>
      <c r="W542" s="230"/>
      <c r="X542" s="239"/>
      <c r="Y542" s="239"/>
      <c r="Z542" s="230"/>
      <c r="AA542" s="230"/>
      <c r="AB542" s="230"/>
      <c r="AC542" s="230"/>
      <c r="AD542" s="239"/>
    </row>
    <row r="543" spans="1:30" ht="20.100000000000001" customHeight="1" x14ac:dyDescent="0.25">
      <c r="A543" s="230"/>
      <c r="B543" s="231"/>
      <c r="C543" s="231"/>
      <c r="D543" s="231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30"/>
      <c r="S543" s="239"/>
      <c r="T543" s="230"/>
      <c r="U543" s="230"/>
      <c r="V543" s="230"/>
      <c r="W543" s="230"/>
      <c r="X543" s="239"/>
      <c r="Y543" s="239"/>
      <c r="Z543" s="230"/>
      <c r="AA543" s="230"/>
      <c r="AB543" s="230"/>
      <c r="AC543" s="230"/>
      <c r="AD543" s="239"/>
    </row>
    <row r="544" spans="1:30" ht="20.100000000000001" customHeight="1" x14ac:dyDescent="0.25">
      <c r="A544" s="230"/>
      <c r="B544" s="231"/>
      <c r="C544" s="231"/>
      <c r="D544" s="231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30"/>
      <c r="S544" s="239"/>
      <c r="T544" s="230"/>
      <c r="U544" s="230"/>
      <c r="V544" s="230"/>
      <c r="W544" s="230"/>
      <c r="X544" s="239"/>
      <c r="Y544" s="239"/>
      <c r="Z544" s="230"/>
      <c r="AA544" s="230"/>
      <c r="AB544" s="230"/>
      <c r="AC544" s="230"/>
      <c r="AD544" s="239"/>
    </row>
    <row r="545" spans="1:30" ht="20.100000000000001" customHeight="1" x14ac:dyDescent="0.25">
      <c r="A545" s="230"/>
      <c r="B545" s="231"/>
      <c r="C545" s="231"/>
      <c r="D545" s="231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30"/>
      <c r="S545" s="239"/>
      <c r="T545" s="230"/>
      <c r="U545" s="230"/>
      <c r="V545" s="230"/>
      <c r="W545" s="230"/>
      <c r="X545" s="239"/>
      <c r="Y545" s="239"/>
      <c r="Z545" s="230"/>
      <c r="AA545" s="230"/>
      <c r="AB545" s="230"/>
      <c r="AC545" s="230"/>
      <c r="AD545" s="239"/>
    </row>
    <row r="546" spans="1:30" ht="20.100000000000001" customHeight="1" x14ac:dyDescent="0.25">
      <c r="A546" s="230"/>
      <c r="B546" s="231"/>
      <c r="C546" s="231"/>
      <c r="D546" s="231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30"/>
      <c r="S546" s="239"/>
      <c r="T546" s="230"/>
      <c r="U546" s="230"/>
      <c r="V546" s="230"/>
      <c r="W546" s="230"/>
      <c r="X546" s="239"/>
      <c r="Y546" s="239"/>
      <c r="Z546" s="230"/>
      <c r="AA546" s="230"/>
      <c r="AB546" s="230"/>
      <c r="AC546" s="230"/>
      <c r="AD546" s="239"/>
    </row>
    <row r="547" spans="1:30" ht="20.100000000000001" customHeight="1" x14ac:dyDescent="0.25">
      <c r="A547" s="230"/>
      <c r="B547" s="231"/>
      <c r="C547" s="231"/>
      <c r="D547" s="231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30"/>
      <c r="S547" s="239"/>
      <c r="T547" s="230"/>
      <c r="U547" s="230"/>
      <c r="V547" s="230"/>
      <c r="W547" s="230"/>
      <c r="X547" s="239"/>
      <c r="Y547" s="239"/>
      <c r="Z547" s="230"/>
      <c r="AA547" s="230"/>
      <c r="AB547" s="230"/>
      <c r="AC547" s="230"/>
      <c r="AD547" s="239"/>
    </row>
    <row r="548" spans="1:30" ht="20.100000000000001" customHeight="1" x14ac:dyDescent="0.25">
      <c r="A548" s="230"/>
      <c r="B548" s="231"/>
      <c r="C548" s="231"/>
      <c r="D548" s="231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30"/>
      <c r="S548" s="239"/>
      <c r="T548" s="230"/>
      <c r="U548" s="230"/>
      <c r="V548" s="230"/>
      <c r="W548" s="230"/>
      <c r="X548" s="239"/>
      <c r="Y548" s="239"/>
      <c r="Z548" s="230"/>
      <c r="AA548" s="230"/>
      <c r="AB548" s="230"/>
      <c r="AC548" s="230"/>
      <c r="AD548" s="239"/>
    </row>
    <row r="549" spans="1:30" ht="20.100000000000001" customHeight="1" x14ac:dyDescent="0.25">
      <c r="A549" s="230"/>
      <c r="B549" s="231"/>
      <c r="C549" s="231"/>
      <c r="D549" s="231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30"/>
      <c r="S549" s="239"/>
      <c r="T549" s="230"/>
      <c r="U549" s="230"/>
      <c r="V549" s="230"/>
      <c r="W549" s="230"/>
      <c r="X549" s="239"/>
      <c r="Y549" s="239"/>
      <c r="Z549" s="230"/>
      <c r="AA549" s="230"/>
      <c r="AB549" s="230"/>
      <c r="AC549" s="230"/>
      <c r="AD549" s="239"/>
    </row>
    <row r="550" spans="1:30" ht="20.100000000000001" customHeight="1" x14ac:dyDescent="0.25">
      <c r="A550" s="230"/>
      <c r="B550" s="231"/>
      <c r="C550" s="231"/>
      <c r="D550" s="231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30"/>
      <c r="S550" s="239"/>
      <c r="T550" s="230"/>
      <c r="U550" s="230"/>
      <c r="V550" s="230"/>
      <c r="W550" s="230"/>
      <c r="X550" s="239"/>
      <c r="Y550" s="239"/>
      <c r="Z550" s="230"/>
      <c r="AA550" s="230"/>
      <c r="AB550" s="230"/>
      <c r="AC550" s="230"/>
      <c r="AD550" s="239"/>
    </row>
    <row r="551" spans="1:30" ht="20.100000000000001" customHeight="1" x14ac:dyDescent="0.25">
      <c r="A551" s="230"/>
      <c r="B551" s="231"/>
      <c r="C551" s="231"/>
      <c r="D551" s="231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30"/>
      <c r="S551" s="239"/>
      <c r="T551" s="230"/>
      <c r="U551" s="230"/>
      <c r="V551" s="230"/>
      <c r="W551" s="230"/>
      <c r="X551" s="239"/>
      <c r="Y551" s="239"/>
      <c r="Z551" s="230"/>
      <c r="AA551" s="230"/>
      <c r="AB551" s="230"/>
      <c r="AC551" s="230"/>
      <c r="AD551" s="239"/>
    </row>
    <row r="552" spans="1:30" ht="20.100000000000001" customHeight="1" x14ac:dyDescent="0.25">
      <c r="A552" s="230"/>
      <c r="B552" s="231"/>
      <c r="C552" s="231"/>
      <c r="D552" s="231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30"/>
      <c r="S552" s="239"/>
      <c r="T552" s="230"/>
      <c r="U552" s="230"/>
      <c r="V552" s="230"/>
      <c r="W552" s="230"/>
      <c r="X552" s="239"/>
      <c r="Y552" s="239"/>
      <c r="Z552" s="230"/>
      <c r="AA552" s="230"/>
      <c r="AB552" s="230"/>
      <c r="AC552" s="230"/>
      <c r="AD552" s="239"/>
    </row>
    <row r="553" spans="1:30" ht="20.100000000000001" customHeight="1" x14ac:dyDescent="0.25">
      <c r="A553" s="230"/>
      <c r="B553" s="231"/>
      <c r="C553" s="231"/>
      <c r="D553" s="231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30"/>
      <c r="S553" s="239"/>
      <c r="T553" s="230"/>
      <c r="U553" s="230"/>
      <c r="V553" s="230"/>
      <c r="W553" s="230"/>
      <c r="X553" s="239"/>
      <c r="Y553" s="239"/>
      <c r="Z553" s="230"/>
      <c r="AA553" s="230"/>
      <c r="AB553" s="230"/>
      <c r="AC553" s="230"/>
      <c r="AD553" s="239"/>
    </row>
    <row r="554" spans="1:30" ht="20.100000000000001" customHeight="1" x14ac:dyDescent="0.25">
      <c r="A554" s="230"/>
      <c r="B554" s="231"/>
      <c r="C554" s="231"/>
      <c r="D554" s="231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30"/>
      <c r="S554" s="239"/>
      <c r="T554" s="230"/>
      <c r="U554" s="230"/>
      <c r="V554" s="230"/>
      <c r="W554" s="230"/>
      <c r="X554" s="239"/>
      <c r="Y554" s="239"/>
      <c r="Z554" s="230"/>
      <c r="AA554" s="230"/>
      <c r="AB554" s="230"/>
      <c r="AC554" s="230"/>
      <c r="AD554" s="239"/>
    </row>
    <row r="555" spans="1:30" ht="20.100000000000001" customHeight="1" x14ac:dyDescent="0.25">
      <c r="A555" s="230"/>
      <c r="B555" s="231"/>
      <c r="C555" s="231"/>
      <c r="D555" s="231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30"/>
      <c r="S555" s="239"/>
      <c r="T555" s="230"/>
      <c r="U555" s="230"/>
      <c r="V555" s="230"/>
      <c r="W555" s="230"/>
      <c r="X555" s="239"/>
      <c r="Y555" s="239"/>
      <c r="Z555" s="230"/>
      <c r="AA555" s="230"/>
      <c r="AB555" s="230"/>
      <c r="AC555" s="230"/>
      <c r="AD555" s="239"/>
    </row>
    <row r="556" spans="1:30" ht="20.100000000000001" customHeight="1" x14ac:dyDescent="0.25">
      <c r="A556" s="230"/>
      <c r="B556" s="231"/>
      <c r="C556" s="231"/>
      <c r="D556" s="231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30"/>
      <c r="S556" s="239"/>
      <c r="T556" s="230"/>
      <c r="U556" s="230"/>
      <c r="V556" s="230"/>
      <c r="W556" s="230"/>
      <c r="X556" s="239"/>
      <c r="Y556" s="239"/>
      <c r="Z556" s="230"/>
      <c r="AA556" s="230"/>
      <c r="AB556" s="230"/>
      <c r="AC556" s="230"/>
      <c r="AD556" s="239"/>
    </row>
    <row r="557" spans="1:30" ht="20.100000000000001" customHeight="1" x14ac:dyDescent="0.25">
      <c r="A557" s="230"/>
      <c r="B557" s="231"/>
      <c r="C557" s="231"/>
      <c r="D557" s="231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30"/>
      <c r="S557" s="239"/>
      <c r="T557" s="230"/>
      <c r="U557" s="230"/>
      <c r="V557" s="230"/>
      <c r="W557" s="230"/>
      <c r="X557" s="239"/>
      <c r="Y557" s="239"/>
      <c r="Z557" s="230"/>
      <c r="AA557" s="230"/>
      <c r="AB557" s="230"/>
      <c r="AC557" s="230"/>
      <c r="AD557" s="239"/>
    </row>
    <row r="558" spans="1:30" ht="20.100000000000001" customHeight="1" x14ac:dyDescent="0.25">
      <c r="A558" s="230"/>
      <c r="B558" s="231"/>
      <c r="C558" s="231"/>
      <c r="D558" s="231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30"/>
      <c r="S558" s="239"/>
      <c r="T558" s="230"/>
      <c r="U558" s="230"/>
      <c r="V558" s="230"/>
      <c r="W558" s="230"/>
      <c r="X558" s="239"/>
      <c r="Y558" s="239"/>
      <c r="Z558" s="230"/>
      <c r="AA558" s="230"/>
      <c r="AB558" s="230"/>
      <c r="AC558" s="230"/>
      <c r="AD558" s="239"/>
    </row>
    <row r="559" spans="1:30" ht="20.100000000000001" customHeight="1" x14ac:dyDescent="0.25">
      <c r="A559" s="230"/>
      <c r="B559" s="231"/>
      <c r="C559" s="231"/>
      <c r="D559" s="231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30"/>
      <c r="S559" s="239"/>
      <c r="T559" s="230"/>
      <c r="U559" s="230"/>
      <c r="V559" s="230"/>
      <c r="W559" s="230"/>
      <c r="X559" s="239"/>
      <c r="Y559" s="239"/>
      <c r="Z559" s="230"/>
      <c r="AA559" s="230"/>
      <c r="AB559" s="230"/>
      <c r="AC559" s="230"/>
      <c r="AD559" s="239"/>
    </row>
    <row r="560" spans="1:30" ht="20.100000000000001" customHeight="1" x14ac:dyDescent="0.25">
      <c r="A560" s="230"/>
      <c r="B560" s="231"/>
      <c r="C560" s="231"/>
      <c r="D560" s="231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30"/>
      <c r="S560" s="239"/>
      <c r="T560" s="230"/>
      <c r="U560" s="230"/>
      <c r="V560" s="230"/>
      <c r="W560" s="230"/>
      <c r="X560" s="239"/>
      <c r="Y560" s="239"/>
      <c r="Z560" s="230"/>
      <c r="AA560" s="230"/>
      <c r="AB560" s="230"/>
      <c r="AC560" s="230"/>
      <c r="AD560" s="239"/>
    </row>
    <row r="561" spans="1:30" ht="20.100000000000001" customHeight="1" x14ac:dyDescent="0.25">
      <c r="A561" s="230"/>
      <c r="B561" s="231"/>
      <c r="C561" s="231"/>
      <c r="D561" s="231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30"/>
      <c r="S561" s="239"/>
      <c r="T561" s="230"/>
      <c r="U561" s="230"/>
      <c r="V561" s="230"/>
      <c r="W561" s="230"/>
      <c r="X561" s="239"/>
      <c r="Y561" s="239"/>
      <c r="Z561" s="230"/>
      <c r="AA561" s="230"/>
      <c r="AB561" s="230"/>
      <c r="AC561" s="230"/>
      <c r="AD561" s="239"/>
    </row>
    <row r="562" spans="1:30" ht="20.100000000000001" customHeight="1" x14ac:dyDescent="0.25">
      <c r="A562" s="230"/>
      <c r="B562" s="231"/>
      <c r="C562" s="231"/>
      <c r="D562" s="231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30"/>
      <c r="S562" s="239"/>
      <c r="T562" s="230"/>
      <c r="U562" s="230"/>
      <c r="V562" s="230"/>
      <c r="W562" s="230"/>
      <c r="X562" s="239"/>
      <c r="Y562" s="239"/>
      <c r="Z562" s="230"/>
      <c r="AA562" s="230"/>
      <c r="AB562" s="230"/>
      <c r="AC562" s="230"/>
      <c r="AD562" s="239"/>
    </row>
    <row r="563" spans="1:30" ht="20.100000000000001" customHeight="1" x14ac:dyDescent="0.25">
      <c r="A563" s="230"/>
      <c r="B563" s="231"/>
      <c r="C563" s="231"/>
      <c r="D563" s="231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30"/>
      <c r="S563" s="239"/>
      <c r="T563" s="230"/>
      <c r="U563" s="230"/>
      <c r="V563" s="230"/>
      <c r="W563" s="230"/>
      <c r="X563" s="239"/>
      <c r="Y563" s="239"/>
      <c r="Z563" s="230"/>
      <c r="AA563" s="230"/>
      <c r="AB563" s="230"/>
      <c r="AC563" s="230"/>
      <c r="AD563" s="239"/>
    </row>
    <row r="564" spans="1:30" ht="20.100000000000001" customHeight="1" x14ac:dyDescent="0.25">
      <c r="A564" s="230"/>
      <c r="B564" s="231"/>
      <c r="C564" s="231"/>
      <c r="D564" s="231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30"/>
      <c r="S564" s="239"/>
      <c r="T564" s="230"/>
      <c r="U564" s="230"/>
      <c r="V564" s="230"/>
      <c r="W564" s="230"/>
      <c r="X564" s="239"/>
      <c r="Y564" s="239"/>
      <c r="Z564" s="230"/>
      <c r="AA564" s="230"/>
      <c r="AB564" s="230"/>
      <c r="AC564" s="230"/>
      <c r="AD564" s="239"/>
    </row>
    <row r="565" spans="1:30" ht="20.100000000000001" customHeight="1" x14ac:dyDescent="0.25">
      <c r="A565" s="230"/>
      <c r="B565" s="231"/>
      <c r="C565" s="231"/>
      <c r="D565" s="231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30"/>
      <c r="S565" s="239"/>
      <c r="T565" s="230"/>
      <c r="U565" s="230"/>
      <c r="V565" s="230"/>
      <c r="W565" s="230"/>
      <c r="X565" s="239"/>
      <c r="Y565" s="239"/>
      <c r="Z565" s="230"/>
      <c r="AA565" s="230"/>
      <c r="AB565" s="230"/>
      <c r="AC565" s="230"/>
      <c r="AD565" s="239"/>
    </row>
    <row r="566" spans="1:30" ht="20.100000000000001" customHeight="1" x14ac:dyDescent="0.25">
      <c r="A566" s="230"/>
      <c r="B566" s="231"/>
      <c r="C566" s="231"/>
      <c r="D566" s="231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30"/>
      <c r="S566" s="239"/>
      <c r="T566" s="230"/>
      <c r="U566" s="230"/>
      <c r="V566" s="230"/>
      <c r="W566" s="230"/>
      <c r="X566" s="239"/>
      <c r="Y566" s="239"/>
      <c r="Z566" s="230"/>
      <c r="AA566" s="230"/>
      <c r="AB566" s="230"/>
      <c r="AC566" s="230"/>
      <c r="AD566" s="239"/>
    </row>
    <row r="567" spans="1:30" ht="20.100000000000001" customHeight="1" x14ac:dyDescent="0.25">
      <c r="A567" s="230"/>
      <c r="B567" s="231"/>
      <c r="C567" s="231"/>
      <c r="D567" s="231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30"/>
      <c r="S567" s="239"/>
      <c r="T567" s="230"/>
      <c r="U567" s="230"/>
      <c r="V567" s="230"/>
      <c r="W567" s="230"/>
      <c r="X567" s="239"/>
      <c r="Y567" s="239"/>
      <c r="Z567" s="230"/>
      <c r="AA567" s="230"/>
      <c r="AB567" s="230"/>
      <c r="AC567" s="230"/>
      <c r="AD567" s="239"/>
    </row>
    <row r="568" spans="1:30" ht="20.100000000000001" customHeight="1" x14ac:dyDescent="0.25">
      <c r="A568" s="230"/>
      <c r="B568" s="231"/>
      <c r="C568" s="231"/>
      <c r="D568" s="231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30"/>
      <c r="S568" s="239"/>
      <c r="T568" s="230"/>
      <c r="U568" s="230"/>
      <c r="V568" s="230"/>
      <c r="W568" s="230"/>
      <c r="X568" s="239"/>
      <c r="Y568" s="239"/>
      <c r="Z568" s="230"/>
      <c r="AA568" s="230"/>
      <c r="AB568" s="230"/>
      <c r="AC568" s="230"/>
      <c r="AD568" s="239"/>
    </row>
    <row r="569" spans="1:30" ht="20.100000000000001" customHeight="1" x14ac:dyDescent="0.25">
      <c r="A569" s="230"/>
      <c r="B569" s="231"/>
      <c r="C569" s="231"/>
      <c r="D569" s="231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30"/>
      <c r="S569" s="239"/>
      <c r="T569" s="230"/>
      <c r="U569" s="230"/>
      <c r="V569" s="230"/>
      <c r="W569" s="230"/>
      <c r="X569" s="239"/>
      <c r="Y569" s="239"/>
      <c r="Z569" s="230"/>
      <c r="AA569" s="230"/>
      <c r="AB569" s="230"/>
      <c r="AC569" s="230"/>
      <c r="AD569" s="239"/>
    </row>
    <row r="570" spans="1:30" ht="20.100000000000001" customHeight="1" x14ac:dyDescent="0.25">
      <c r="A570" s="230"/>
      <c r="B570" s="231"/>
      <c r="C570" s="231"/>
      <c r="D570" s="231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30"/>
      <c r="S570" s="239"/>
      <c r="T570" s="230"/>
      <c r="U570" s="230"/>
      <c r="V570" s="230"/>
      <c r="W570" s="230"/>
      <c r="X570" s="239"/>
      <c r="Y570" s="239"/>
      <c r="Z570" s="230"/>
      <c r="AA570" s="230"/>
      <c r="AB570" s="230"/>
      <c r="AC570" s="230"/>
      <c r="AD570" s="239"/>
    </row>
    <row r="571" spans="1:30" ht="20.100000000000001" customHeight="1" x14ac:dyDescent="0.25">
      <c r="A571" s="230"/>
      <c r="B571" s="231"/>
      <c r="C571" s="231"/>
      <c r="D571" s="231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30"/>
      <c r="S571" s="239"/>
      <c r="T571" s="230"/>
      <c r="U571" s="230"/>
      <c r="V571" s="230"/>
      <c r="W571" s="230"/>
      <c r="X571" s="239"/>
      <c r="Y571" s="239"/>
      <c r="Z571" s="230"/>
      <c r="AA571" s="230"/>
      <c r="AB571" s="230"/>
      <c r="AC571" s="230"/>
      <c r="AD571" s="239"/>
    </row>
    <row r="572" spans="1:30" ht="20.100000000000001" customHeight="1" x14ac:dyDescent="0.25">
      <c r="A572" s="230"/>
      <c r="B572" s="231"/>
      <c r="C572" s="231"/>
      <c r="D572" s="231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30"/>
      <c r="S572" s="239"/>
      <c r="T572" s="230"/>
      <c r="U572" s="230"/>
      <c r="V572" s="230"/>
      <c r="W572" s="230"/>
      <c r="X572" s="239"/>
      <c r="Y572" s="239"/>
      <c r="Z572" s="230"/>
      <c r="AA572" s="230"/>
      <c r="AB572" s="230"/>
      <c r="AC572" s="230"/>
      <c r="AD572" s="239"/>
    </row>
    <row r="573" spans="1:30" ht="20.100000000000001" customHeight="1" x14ac:dyDescent="0.25">
      <c r="A573" s="230"/>
      <c r="B573" s="231"/>
      <c r="C573" s="231"/>
      <c r="D573" s="231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30"/>
      <c r="S573" s="239"/>
      <c r="T573" s="230"/>
      <c r="U573" s="230"/>
      <c r="V573" s="230"/>
      <c r="W573" s="230"/>
      <c r="X573" s="239"/>
      <c r="Y573" s="239"/>
      <c r="Z573" s="230"/>
      <c r="AA573" s="230"/>
      <c r="AB573" s="230"/>
      <c r="AC573" s="230"/>
      <c r="AD573" s="239"/>
    </row>
    <row r="574" spans="1:30" ht="20.100000000000001" customHeight="1" x14ac:dyDescent="0.25">
      <c r="A574" s="230"/>
      <c r="B574" s="231"/>
      <c r="C574" s="231"/>
      <c r="D574" s="231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30"/>
      <c r="S574" s="239"/>
      <c r="T574" s="230"/>
      <c r="U574" s="230"/>
      <c r="V574" s="230"/>
      <c r="W574" s="230"/>
      <c r="X574" s="239"/>
      <c r="Y574" s="239"/>
      <c r="Z574" s="230"/>
      <c r="AA574" s="230"/>
      <c r="AB574" s="230"/>
      <c r="AC574" s="230"/>
      <c r="AD574" s="239"/>
    </row>
    <row r="575" spans="1:30" ht="20.100000000000001" customHeight="1" x14ac:dyDescent="0.25">
      <c r="A575" s="230"/>
      <c r="B575" s="231"/>
      <c r="C575" s="231"/>
      <c r="D575" s="231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30"/>
      <c r="S575" s="239"/>
      <c r="T575" s="230"/>
      <c r="U575" s="230"/>
      <c r="V575" s="230"/>
      <c r="W575" s="230"/>
      <c r="X575" s="239"/>
      <c r="Y575" s="239"/>
      <c r="Z575" s="230"/>
      <c r="AA575" s="230"/>
      <c r="AB575" s="230"/>
      <c r="AC575" s="230"/>
      <c r="AD575" s="239"/>
    </row>
    <row r="576" spans="1:30" ht="20.100000000000001" customHeight="1" x14ac:dyDescent="0.25">
      <c r="A576" s="230"/>
      <c r="B576" s="231"/>
      <c r="C576" s="231"/>
      <c r="D576" s="231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30"/>
      <c r="S576" s="239"/>
      <c r="T576" s="230"/>
      <c r="U576" s="230"/>
      <c r="V576" s="230"/>
      <c r="W576" s="230"/>
      <c r="X576" s="239"/>
      <c r="Y576" s="239"/>
      <c r="Z576" s="230"/>
      <c r="AA576" s="230"/>
      <c r="AB576" s="230"/>
      <c r="AC576" s="230"/>
      <c r="AD576" s="239"/>
    </row>
    <row r="577" spans="1:30" ht="20.100000000000001" customHeight="1" x14ac:dyDescent="0.25">
      <c r="A577" s="230"/>
      <c r="B577" s="231"/>
      <c r="C577" s="231"/>
      <c r="D577" s="231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30"/>
      <c r="S577" s="239"/>
      <c r="T577" s="230"/>
      <c r="U577" s="230"/>
      <c r="V577" s="230"/>
      <c r="W577" s="230"/>
      <c r="X577" s="239"/>
      <c r="Y577" s="239"/>
      <c r="Z577" s="230"/>
      <c r="AA577" s="230"/>
      <c r="AB577" s="230"/>
      <c r="AC577" s="230"/>
      <c r="AD577" s="239"/>
    </row>
    <row r="578" spans="1:30" ht="20.100000000000001" customHeight="1" x14ac:dyDescent="0.25">
      <c r="A578" s="230"/>
      <c r="B578" s="231"/>
      <c r="C578" s="231"/>
      <c r="D578" s="231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30"/>
      <c r="S578" s="239"/>
      <c r="T578" s="230"/>
      <c r="U578" s="230"/>
      <c r="V578" s="230"/>
      <c r="W578" s="230"/>
      <c r="X578" s="239"/>
      <c r="Y578" s="239"/>
      <c r="Z578" s="230"/>
      <c r="AA578" s="230"/>
      <c r="AB578" s="230"/>
      <c r="AC578" s="230"/>
      <c r="AD578" s="239"/>
    </row>
    <row r="579" spans="1:30" ht="20.100000000000001" customHeight="1" x14ac:dyDescent="0.25">
      <c r="A579" s="230"/>
      <c r="B579" s="231"/>
      <c r="C579" s="231"/>
      <c r="D579" s="231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30"/>
      <c r="S579" s="239"/>
      <c r="T579" s="230"/>
      <c r="U579" s="230"/>
      <c r="V579" s="230"/>
      <c r="W579" s="230"/>
      <c r="X579" s="239"/>
      <c r="Y579" s="239"/>
      <c r="Z579" s="230"/>
      <c r="AA579" s="230"/>
      <c r="AB579" s="230"/>
      <c r="AC579" s="230"/>
      <c r="AD579" s="239"/>
    </row>
    <row r="580" spans="1:30" ht="20.100000000000001" customHeight="1" x14ac:dyDescent="0.25">
      <c r="A580" s="230"/>
      <c r="B580" s="231"/>
      <c r="C580" s="231"/>
      <c r="D580" s="231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30"/>
      <c r="S580" s="239"/>
      <c r="T580" s="230"/>
      <c r="U580" s="230"/>
      <c r="V580" s="230"/>
      <c r="W580" s="230"/>
      <c r="X580" s="239"/>
      <c r="Y580" s="239"/>
      <c r="Z580" s="230"/>
      <c r="AA580" s="230"/>
      <c r="AB580" s="230"/>
      <c r="AC580" s="230"/>
      <c r="AD580" s="239"/>
    </row>
    <row r="581" spans="1:30" ht="20.100000000000001" customHeight="1" x14ac:dyDescent="0.25">
      <c r="A581" s="230"/>
      <c r="B581" s="231"/>
      <c r="C581" s="231"/>
      <c r="D581" s="231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30"/>
      <c r="S581" s="239"/>
      <c r="T581" s="230"/>
      <c r="U581" s="230"/>
      <c r="V581" s="230"/>
      <c r="W581" s="230"/>
      <c r="X581" s="239"/>
      <c r="Y581" s="239"/>
      <c r="Z581" s="230"/>
      <c r="AA581" s="230"/>
      <c r="AB581" s="230"/>
      <c r="AC581" s="230"/>
      <c r="AD581" s="239"/>
    </row>
    <row r="582" spans="1:30" ht="20.100000000000001" customHeight="1" x14ac:dyDescent="0.25">
      <c r="A582" s="230"/>
      <c r="B582" s="231"/>
      <c r="C582" s="231"/>
      <c r="D582" s="231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30"/>
      <c r="S582" s="239"/>
      <c r="T582" s="230"/>
      <c r="U582" s="230"/>
      <c r="V582" s="230"/>
      <c r="W582" s="230"/>
      <c r="X582" s="239"/>
      <c r="Y582" s="239"/>
      <c r="Z582" s="230"/>
      <c r="AA582" s="230"/>
      <c r="AB582" s="230"/>
      <c r="AC582" s="230"/>
      <c r="AD582" s="239"/>
    </row>
    <row r="583" spans="1:30" ht="20.100000000000001" customHeight="1" x14ac:dyDescent="0.25">
      <c r="A583" s="230"/>
      <c r="B583" s="231"/>
      <c r="C583" s="231"/>
      <c r="D583" s="231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30"/>
      <c r="S583" s="239"/>
      <c r="T583" s="230"/>
      <c r="U583" s="230"/>
      <c r="V583" s="230"/>
      <c r="W583" s="230"/>
      <c r="X583" s="239"/>
      <c r="Y583" s="239"/>
      <c r="Z583" s="230"/>
      <c r="AA583" s="230"/>
      <c r="AB583" s="230"/>
      <c r="AC583" s="230"/>
      <c r="AD583" s="239"/>
    </row>
    <row r="584" spans="1:30" ht="20.100000000000001" customHeight="1" x14ac:dyDescent="0.25">
      <c r="A584" s="230"/>
      <c r="B584" s="231"/>
      <c r="C584" s="231"/>
      <c r="D584" s="231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30"/>
      <c r="S584" s="239"/>
      <c r="T584" s="230"/>
      <c r="U584" s="230"/>
      <c r="V584" s="230"/>
      <c r="W584" s="230"/>
      <c r="X584" s="239"/>
      <c r="Y584" s="239"/>
      <c r="Z584" s="230"/>
      <c r="AA584" s="230"/>
      <c r="AB584" s="230"/>
      <c r="AC584" s="230"/>
      <c r="AD584" s="239"/>
    </row>
    <row r="585" spans="1:30" ht="20.100000000000001" customHeight="1" x14ac:dyDescent="0.25">
      <c r="A585" s="230"/>
      <c r="B585" s="231"/>
      <c r="C585" s="231"/>
      <c r="D585" s="231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30"/>
      <c r="S585" s="239"/>
      <c r="T585" s="230"/>
      <c r="U585" s="230"/>
      <c r="V585" s="230"/>
      <c r="W585" s="230"/>
      <c r="X585" s="239"/>
      <c r="Y585" s="239"/>
      <c r="Z585" s="230"/>
      <c r="AA585" s="230"/>
      <c r="AB585" s="230"/>
      <c r="AC585" s="230"/>
      <c r="AD585" s="239"/>
    </row>
    <row r="586" spans="1:30" ht="20.100000000000001" customHeight="1" x14ac:dyDescent="0.25">
      <c r="A586" s="230"/>
      <c r="B586" s="231"/>
      <c r="C586" s="231"/>
      <c r="D586" s="231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30"/>
      <c r="S586" s="239"/>
      <c r="T586" s="230"/>
      <c r="U586" s="230"/>
      <c r="V586" s="230"/>
      <c r="W586" s="230"/>
      <c r="X586" s="239"/>
      <c r="Y586" s="239"/>
      <c r="Z586" s="230"/>
      <c r="AA586" s="230"/>
      <c r="AB586" s="230"/>
      <c r="AC586" s="230"/>
      <c r="AD586" s="239"/>
    </row>
    <row r="587" spans="1:30" ht="20.100000000000001" customHeight="1" x14ac:dyDescent="0.25">
      <c r="A587" s="230"/>
      <c r="B587" s="231"/>
      <c r="C587" s="231"/>
      <c r="D587" s="231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30"/>
      <c r="S587" s="239"/>
      <c r="T587" s="230"/>
      <c r="U587" s="230"/>
      <c r="V587" s="230"/>
      <c r="W587" s="230"/>
      <c r="X587" s="239"/>
      <c r="Y587" s="239"/>
      <c r="Z587" s="230"/>
      <c r="AA587" s="230"/>
      <c r="AB587" s="230"/>
      <c r="AC587" s="230"/>
      <c r="AD587" s="239"/>
    </row>
    <row r="588" spans="1:30" ht="20.100000000000001" customHeight="1" x14ac:dyDescent="0.25">
      <c r="A588" s="230"/>
      <c r="B588" s="231"/>
      <c r="C588" s="231"/>
      <c r="D588" s="231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30"/>
      <c r="S588" s="239"/>
      <c r="T588" s="230"/>
      <c r="U588" s="230"/>
      <c r="V588" s="230"/>
      <c r="W588" s="230"/>
      <c r="X588" s="239"/>
      <c r="Y588" s="239"/>
      <c r="Z588" s="230"/>
      <c r="AA588" s="230"/>
      <c r="AB588" s="230"/>
      <c r="AC588" s="230"/>
      <c r="AD588" s="239"/>
    </row>
    <row r="589" spans="1:30" ht="20.100000000000001" customHeight="1" x14ac:dyDescent="0.25">
      <c r="A589" s="230"/>
      <c r="B589" s="231"/>
      <c r="C589" s="231"/>
      <c r="D589" s="231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30"/>
      <c r="S589" s="239"/>
      <c r="T589" s="230"/>
      <c r="U589" s="230"/>
      <c r="V589" s="230"/>
      <c r="W589" s="230"/>
      <c r="X589" s="239"/>
      <c r="Y589" s="239"/>
      <c r="Z589" s="230"/>
      <c r="AA589" s="230"/>
      <c r="AB589" s="230"/>
      <c r="AC589" s="230"/>
      <c r="AD589" s="239"/>
    </row>
    <row r="590" spans="1:30" ht="20.100000000000001" customHeight="1" x14ac:dyDescent="0.25">
      <c r="A590" s="230"/>
      <c r="B590" s="231"/>
      <c r="C590" s="231"/>
      <c r="D590" s="231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30"/>
      <c r="S590" s="239"/>
      <c r="T590" s="230"/>
      <c r="U590" s="230"/>
      <c r="V590" s="230"/>
      <c r="W590" s="230"/>
      <c r="X590" s="239"/>
      <c r="Y590" s="239"/>
      <c r="Z590" s="230"/>
      <c r="AA590" s="230"/>
      <c r="AB590" s="230"/>
      <c r="AC590" s="230"/>
      <c r="AD590" s="239"/>
    </row>
    <row r="591" spans="1:30" ht="20.100000000000001" customHeight="1" x14ac:dyDescent="0.25">
      <c r="A591" s="230"/>
      <c r="B591" s="231"/>
      <c r="C591" s="231"/>
      <c r="D591" s="231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30"/>
      <c r="S591" s="239"/>
      <c r="T591" s="230"/>
      <c r="U591" s="230"/>
      <c r="V591" s="230"/>
      <c r="W591" s="230"/>
      <c r="X591" s="239"/>
      <c r="Y591" s="239"/>
      <c r="Z591" s="230"/>
      <c r="AA591" s="230"/>
      <c r="AB591" s="230"/>
      <c r="AC591" s="230"/>
      <c r="AD591" s="239"/>
    </row>
    <row r="592" spans="1:30" ht="20.100000000000001" customHeight="1" x14ac:dyDescent="0.25">
      <c r="A592" s="230"/>
      <c r="B592" s="231"/>
      <c r="C592" s="231"/>
      <c r="D592" s="231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30"/>
      <c r="S592" s="239"/>
      <c r="T592" s="230"/>
      <c r="U592" s="230"/>
      <c r="V592" s="230"/>
      <c r="W592" s="230"/>
      <c r="X592" s="239"/>
      <c r="Y592" s="239"/>
      <c r="Z592" s="230"/>
      <c r="AA592" s="230"/>
      <c r="AB592" s="230"/>
      <c r="AC592" s="230"/>
      <c r="AD592" s="239"/>
    </row>
    <row r="593" spans="1:30" ht="20.100000000000001" customHeight="1" x14ac:dyDescent="0.25">
      <c r="A593" s="230"/>
      <c r="B593" s="231"/>
      <c r="C593" s="231"/>
      <c r="D593" s="231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30"/>
      <c r="S593" s="239"/>
      <c r="T593" s="230"/>
      <c r="U593" s="230"/>
      <c r="V593" s="230"/>
      <c r="W593" s="230"/>
      <c r="X593" s="239"/>
      <c r="Y593" s="239"/>
      <c r="Z593" s="230"/>
      <c r="AA593" s="230"/>
      <c r="AB593" s="230"/>
      <c r="AC593" s="230"/>
      <c r="AD593" s="239"/>
    </row>
    <row r="594" spans="1:30" ht="20.100000000000001" customHeight="1" x14ac:dyDescent="0.25">
      <c r="A594" s="230"/>
      <c r="B594" s="231"/>
      <c r="C594" s="231"/>
      <c r="D594" s="231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30"/>
      <c r="S594" s="239"/>
      <c r="T594" s="230"/>
      <c r="U594" s="230"/>
      <c r="V594" s="230"/>
      <c r="W594" s="230"/>
      <c r="X594" s="239"/>
      <c r="Y594" s="239"/>
      <c r="Z594" s="230"/>
      <c r="AA594" s="230"/>
      <c r="AB594" s="230"/>
      <c r="AC594" s="230"/>
      <c r="AD594" s="239"/>
    </row>
    <row r="595" spans="1:30" ht="20.100000000000001" customHeight="1" x14ac:dyDescent="0.25">
      <c r="A595" s="230"/>
      <c r="B595" s="231"/>
      <c r="C595" s="231"/>
      <c r="D595" s="231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30"/>
      <c r="S595" s="239"/>
      <c r="T595" s="230"/>
      <c r="U595" s="230"/>
      <c r="V595" s="230"/>
      <c r="W595" s="230"/>
      <c r="X595" s="239"/>
      <c r="Y595" s="239"/>
      <c r="Z595" s="230"/>
      <c r="AA595" s="230"/>
      <c r="AB595" s="230"/>
      <c r="AC595" s="230"/>
      <c r="AD595" s="239"/>
    </row>
    <row r="596" spans="1:30" ht="20.100000000000001" customHeight="1" x14ac:dyDescent="0.25">
      <c r="A596" s="230"/>
      <c r="B596" s="231"/>
      <c r="C596" s="231"/>
      <c r="D596" s="231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30"/>
      <c r="S596" s="239"/>
      <c r="T596" s="230"/>
      <c r="U596" s="230"/>
      <c r="V596" s="230"/>
      <c r="W596" s="230"/>
      <c r="X596" s="239"/>
      <c r="Y596" s="239"/>
      <c r="Z596" s="230"/>
      <c r="AA596" s="230"/>
      <c r="AB596" s="230"/>
      <c r="AC596" s="230"/>
      <c r="AD596" s="239"/>
    </row>
    <row r="597" spans="1:30" ht="20.100000000000001" customHeight="1" x14ac:dyDescent="0.25">
      <c r="A597" s="230"/>
      <c r="B597" s="231"/>
      <c r="C597" s="231"/>
      <c r="D597" s="231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30"/>
      <c r="S597" s="239"/>
      <c r="T597" s="230"/>
      <c r="U597" s="230"/>
      <c r="V597" s="230"/>
      <c r="W597" s="230"/>
      <c r="X597" s="239"/>
      <c r="Y597" s="239"/>
      <c r="Z597" s="230"/>
      <c r="AA597" s="230"/>
      <c r="AB597" s="230"/>
      <c r="AC597" s="230"/>
      <c r="AD597" s="239"/>
    </row>
    <row r="598" spans="1:30" ht="20.100000000000001" customHeight="1" x14ac:dyDescent="0.25">
      <c r="A598" s="230"/>
      <c r="B598" s="231"/>
      <c r="C598" s="231"/>
      <c r="D598" s="231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30"/>
      <c r="S598" s="239"/>
      <c r="T598" s="230"/>
      <c r="U598" s="230"/>
      <c r="V598" s="230"/>
      <c r="W598" s="230"/>
      <c r="X598" s="239"/>
      <c r="Y598" s="239"/>
      <c r="Z598" s="230"/>
      <c r="AA598" s="230"/>
      <c r="AB598" s="230"/>
      <c r="AC598" s="230"/>
      <c r="AD598" s="239"/>
    </row>
    <row r="599" spans="1:30" ht="20.100000000000001" customHeight="1" x14ac:dyDescent="0.25">
      <c r="A599" s="230"/>
      <c r="B599" s="231"/>
      <c r="C599" s="231"/>
      <c r="D599" s="231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30"/>
      <c r="S599" s="239"/>
      <c r="T599" s="230"/>
      <c r="U599" s="230"/>
      <c r="V599" s="230"/>
      <c r="W599" s="230"/>
      <c r="X599" s="239"/>
      <c r="Y599" s="239"/>
      <c r="Z599" s="230"/>
      <c r="AA599" s="230"/>
      <c r="AB599" s="230"/>
      <c r="AC599" s="230"/>
      <c r="AD599" s="239"/>
    </row>
    <row r="600" spans="1:30" ht="20.100000000000001" customHeight="1" x14ac:dyDescent="0.25">
      <c r="A600" s="230"/>
      <c r="B600" s="231"/>
      <c r="C600" s="231"/>
      <c r="D600" s="231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30"/>
      <c r="S600" s="239"/>
      <c r="T600" s="230"/>
      <c r="U600" s="230"/>
      <c r="V600" s="230"/>
      <c r="W600" s="230"/>
      <c r="X600" s="239"/>
      <c r="Y600" s="239"/>
      <c r="Z600" s="230"/>
      <c r="AA600" s="230"/>
      <c r="AB600" s="230"/>
      <c r="AC600" s="230"/>
      <c r="AD600" s="239"/>
    </row>
    <row r="601" spans="1:30" ht="20.100000000000001" customHeight="1" x14ac:dyDescent="0.25">
      <c r="A601" s="230"/>
      <c r="B601" s="231"/>
      <c r="C601" s="231"/>
      <c r="D601" s="231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30"/>
      <c r="S601" s="239"/>
      <c r="T601" s="230"/>
      <c r="U601" s="230"/>
      <c r="V601" s="230"/>
      <c r="W601" s="230"/>
      <c r="X601" s="239"/>
      <c r="Y601" s="239"/>
      <c r="Z601" s="230"/>
      <c r="AA601" s="230"/>
      <c r="AB601" s="230"/>
      <c r="AC601" s="230"/>
      <c r="AD601" s="239"/>
    </row>
    <row r="602" spans="1:30" ht="20.100000000000001" customHeight="1" x14ac:dyDescent="0.25">
      <c r="A602" s="230"/>
      <c r="B602" s="231"/>
      <c r="C602" s="231"/>
      <c r="D602" s="231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30"/>
      <c r="S602" s="239"/>
      <c r="T602" s="230"/>
      <c r="U602" s="230"/>
      <c r="V602" s="230"/>
      <c r="W602" s="230"/>
      <c r="X602" s="239"/>
      <c r="Y602" s="239"/>
      <c r="Z602" s="230"/>
      <c r="AA602" s="230"/>
      <c r="AB602" s="230"/>
      <c r="AC602" s="230"/>
      <c r="AD602" s="239"/>
    </row>
    <row r="603" spans="1:30" ht="20.100000000000001" customHeight="1" x14ac:dyDescent="0.25">
      <c r="A603" s="230"/>
      <c r="B603" s="231"/>
      <c r="C603" s="231"/>
      <c r="D603" s="231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30"/>
      <c r="S603" s="239"/>
      <c r="T603" s="230"/>
      <c r="U603" s="230"/>
      <c r="V603" s="230"/>
      <c r="W603" s="230"/>
      <c r="X603" s="239"/>
      <c r="Y603" s="239"/>
      <c r="Z603" s="230"/>
      <c r="AA603" s="230"/>
      <c r="AB603" s="230"/>
      <c r="AC603" s="230"/>
      <c r="AD603" s="239"/>
    </row>
    <row r="604" spans="1:30" ht="20.100000000000001" customHeight="1" x14ac:dyDescent="0.25">
      <c r="A604" s="230"/>
      <c r="B604" s="231"/>
      <c r="C604" s="231"/>
      <c r="D604" s="231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30"/>
      <c r="S604" s="239"/>
      <c r="T604" s="230"/>
      <c r="U604" s="230"/>
      <c r="V604" s="230"/>
      <c r="W604" s="230"/>
      <c r="X604" s="239"/>
      <c r="Y604" s="239"/>
      <c r="Z604" s="230"/>
      <c r="AA604" s="230"/>
      <c r="AB604" s="230"/>
      <c r="AC604" s="230"/>
      <c r="AD604" s="239"/>
    </row>
    <row r="605" spans="1:30" ht="20.100000000000001" customHeight="1" x14ac:dyDescent="0.25">
      <c r="A605" s="230"/>
      <c r="B605" s="231"/>
      <c r="C605" s="231"/>
      <c r="D605" s="231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30"/>
      <c r="S605" s="239"/>
      <c r="T605" s="230"/>
      <c r="U605" s="230"/>
      <c r="V605" s="230"/>
      <c r="W605" s="230"/>
      <c r="X605" s="239"/>
      <c r="Y605" s="239"/>
      <c r="Z605" s="230"/>
      <c r="AA605" s="230"/>
      <c r="AB605" s="230"/>
      <c r="AC605" s="230"/>
      <c r="AD605" s="239"/>
    </row>
    <row r="606" spans="1:30" ht="20.100000000000001" customHeight="1" x14ac:dyDescent="0.25">
      <c r="A606" s="230"/>
      <c r="B606" s="231"/>
      <c r="C606" s="231"/>
      <c r="D606" s="231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30"/>
      <c r="S606" s="239"/>
      <c r="T606" s="230"/>
      <c r="U606" s="230"/>
      <c r="V606" s="230"/>
      <c r="W606" s="230"/>
      <c r="X606" s="239"/>
      <c r="Y606" s="239"/>
      <c r="Z606" s="230"/>
      <c r="AA606" s="230"/>
      <c r="AB606" s="230"/>
      <c r="AC606" s="230"/>
      <c r="AD606" s="239"/>
    </row>
    <row r="607" spans="1:30" ht="20.100000000000001" customHeight="1" x14ac:dyDescent="0.25">
      <c r="A607" s="230"/>
      <c r="B607" s="231"/>
      <c r="C607" s="231"/>
      <c r="D607" s="231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30"/>
      <c r="S607" s="239"/>
      <c r="T607" s="230"/>
      <c r="U607" s="230"/>
      <c r="V607" s="230"/>
      <c r="W607" s="230"/>
      <c r="X607" s="239"/>
      <c r="Y607" s="239"/>
      <c r="Z607" s="230"/>
      <c r="AA607" s="230"/>
      <c r="AB607" s="230"/>
      <c r="AC607" s="230"/>
      <c r="AD607" s="239"/>
    </row>
    <row r="608" spans="1:30" ht="20.100000000000001" customHeight="1" x14ac:dyDescent="0.25">
      <c r="A608" s="230"/>
      <c r="B608" s="231"/>
      <c r="C608" s="231"/>
      <c r="D608" s="231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30"/>
      <c r="S608" s="239"/>
      <c r="T608" s="230"/>
      <c r="U608" s="230"/>
      <c r="V608" s="230"/>
      <c r="W608" s="230"/>
      <c r="X608" s="239"/>
      <c r="Y608" s="239"/>
      <c r="Z608" s="230"/>
      <c r="AA608" s="230"/>
      <c r="AB608" s="230"/>
      <c r="AC608" s="230"/>
      <c r="AD608" s="239"/>
    </row>
    <row r="609" spans="1:30" ht="20.100000000000001" customHeight="1" x14ac:dyDescent="0.25">
      <c r="A609" s="230"/>
      <c r="B609" s="231"/>
      <c r="C609" s="231"/>
      <c r="D609" s="231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30"/>
      <c r="S609" s="239"/>
      <c r="T609" s="230"/>
      <c r="U609" s="230"/>
      <c r="V609" s="230"/>
      <c r="W609" s="230"/>
      <c r="X609" s="239"/>
      <c r="Y609" s="239"/>
      <c r="Z609" s="230"/>
      <c r="AA609" s="230"/>
      <c r="AB609" s="230"/>
      <c r="AC609" s="230"/>
      <c r="AD609" s="239"/>
    </row>
    <row r="610" spans="1:30" ht="20.100000000000001" customHeight="1" x14ac:dyDescent="0.25">
      <c r="A610" s="230"/>
      <c r="B610" s="231"/>
      <c r="C610" s="231"/>
      <c r="D610" s="231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30"/>
      <c r="S610" s="239"/>
      <c r="T610" s="230"/>
      <c r="U610" s="230"/>
      <c r="V610" s="230"/>
      <c r="W610" s="230"/>
      <c r="X610" s="239"/>
      <c r="Y610" s="239"/>
      <c r="Z610" s="230"/>
      <c r="AA610" s="230"/>
      <c r="AB610" s="230"/>
      <c r="AC610" s="230"/>
      <c r="AD610" s="239"/>
    </row>
    <row r="611" spans="1:30" ht="20.100000000000001" customHeight="1" x14ac:dyDescent="0.25">
      <c r="A611" s="230"/>
      <c r="B611" s="231"/>
      <c r="C611" s="231"/>
      <c r="D611" s="231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30"/>
      <c r="S611" s="239"/>
      <c r="T611" s="230"/>
      <c r="U611" s="230"/>
      <c r="V611" s="230"/>
      <c r="W611" s="230"/>
      <c r="X611" s="239"/>
      <c r="Y611" s="239"/>
      <c r="Z611" s="230"/>
      <c r="AA611" s="230"/>
      <c r="AB611" s="230"/>
      <c r="AC611" s="230"/>
      <c r="AD611" s="239"/>
    </row>
    <row r="612" spans="1:30" ht="20.100000000000001" customHeight="1" x14ac:dyDescent="0.25">
      <c r="A612" s="230"/>
      <c r="B612" s="231"/>
      <c r="C612" s="231"/>
      <c r="D612" s="231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30"/>
      <c r="S612" s="239"/>
      <c r="T612" s="230"/>
      <c r="U612" s="230"/>
      <c r="V612" s="230"/>
      <c r="W612" s="230"/>
      <c r="X612" s="239"/>
      <c r="Y612" s="239"/>
      <c r="Z612" s="230"/>
      <c r="AA612" s="230"/>
      <c r="AB612" s="230"/>
      <c r="AC612" s="230"/>
      <c r="AD612" s="239"/>
    </row>
    <row r="613" spans="1:30" ht="20.100000000000001" customHeight="1" x14ac:dyDescent="0.25">
      <c r="A613" s="230"/>
      <c r="B613" s="231"/>
      <c r="C613" s="231"/>
      <c r="D613" s="231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30"/>
      <c r="S613" s="239"/>
      <c r="T613" s="230"/>
      <c r="U613" s="230"/>
      <c r="V613" s="230"/>
      <c r="W613" s="230"/>
      <c r="X613" s="239"/>
      <c r="Y613" s="239"/>
      <c r="Z613" s="230"/>
      <c r="AA613" s="230"/>
      <c r="AB613" s="230"/>
      <c r="AC613" s="230"/>
      <c r="AD613" s="239"/>
    </row>
    <row r="614" spans="1:30" ht="20.100000000000001" customHeight="1" x14ac:dyDescent="0.25">
      <c r="A614" s="230"/>
      <c r="B614" s="231"/>
      <c r="C614" s="231"/>
      <c r="D614" s="231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30"/>
      <c r="S614" s="239"/>
      <c r="T614" s="230"/>
      <c r="U614" s="230"/>
      <c r="V614" s="230"/>
      <c r="W614" s="230"/>
      <c r="X614" s="239"/>
      <c r="Y614" s="239"/>
      <c r="Z614" s="230"/>
      <c r="AA614" s="230"/>
      <c r="AB614" s="230"/>
      <c r="AC614" s="230"/>
      <c r="AD614" s="239"/>
    </row>
    <row r="615" spans="1:30" ht="20.100000000000001" customHeight="1" x14ac:dyDescent="0.25">
      <c r="A615" s="230"/>
      <c r="B615" s="231"/>
      <c r="C615" s="231"/>
      <c r="D615" s="231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30"/>
      <c r="S615" s="239"/>
      <c r="T615" s="230"/>
      <c r="U615" s="230"/>
      <c r="V615" s="230"/>
      <c r="W615" s="230"/>
      <c r="X615" s="239"/>
      <c r="Y615" s="239"/>
      <c r="Z615" s="230"/>
      <c r="AA615" s="230"/>
      <c r="AB615" s="230"/>
      <c r="AC615" s="230"/>
      <c r="AD615" s="239"/>
    </row>
    <row r="616" spans="1:30" ht="20.100000000000001" customHeight="1" x14ac:dyDescent="0.25">
      <c r="A616" s="230"/>
      <c r="B616" s="231"/>
      <c r="C616" s="231"/>
      <c r="D616" s="231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30"/>
      <c r="S616" s="239"/>
      <c r="T616" s="230"/>
      <c r="U616" s="230"/>
      <c r="V616" s="230"/>
      <c r="W616" s="230"/>
      <c r="X616" s="239"/>
      <c r="Y616" s="239"/>
      <c r="Z616" s="230"/>
      <c r="AA616" s="230"/>
      <c r="AB616" s="230"/>
      <c r="AC616" s="230"/>
      <c r="AD616" s="239"/>
    </row>
    <row r="617" spans="1:30" ht="20.100000000000001" customHeight="1" x14ac:dyDescent="0.25">
      <c r="A617" s="230"/>
      <c r="B617" s="231"/>
      <c r="C617" s="231"/>
      <c r="D617" s="231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30"/>
      <c r="S617" s="239"/>
      <c r="T617" s="230"/>
      <c r="U617" s="230"/>
      <c r="V617" s="230"/>
      <c r="W617" s="230"/>
      <c r="X617" s="239"/>
      <c r="Y617" s="239"/>
      <c r="Z617" s="230"/>
      <c r="AA617" s="230"/>
      <c r="AB617" s="230"/>
      <c r="AC617" s="230"/>
      <c r="AD617" s="239"/>
    </row>
    <row r="618" spans="1:30" ht="20.100000000000001" customHeight="1" x14ac:dyDescent="0.25">
      <c r="A618" s="230"/>
      <c r="B618" s="231"/>
      <c r="C618" s="231"/>
      <c r="D618" s="231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30"/>
      <c r="S618" s="239"/>
      <c r="T618" s="230"/>
      <c r="U618" s="230"/>
      <c r="V618" s="230"/>
      <c r="W618" s="230"/>
      <c r="X618" s="239"/>
      <c r="Y618" s="239"/>
      <c r="Z618" s="230"/>
      <c r="AA618" s="230"/>
      <c r="AB618" s="230"/>
      <c r="AC618" s="230"/>
      <c r="AD618" s="239"/>
    </row>
    <row r="619" spans="1:30" ht="20.100000000000001" customHeight="1" x14ac:dyDescent="0.25">
      <c r="A619" s="230"/>
      <c r="B619" s="231"/>
      <c r="C619" s="231"/>
      <c r="D619" s="231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30"/>
      <c r="S619" s="239"/>
      <c r="T619" s="230"/>
      <c r="U619" s="230"/>
      <c r="V619" s="230"/>
      <c r="W619" s="230"/>
      <c r="X619" s="239"/>
      <c r="Y619" s="239"/>
      <c r="Z619" s="230"/>
      <c r="AA619" s="230"/>
      <c r="AB619" s="230"/>
      <c r="AC619" s="230"/>
      <c r="AD619" s="239"/>
    </row>
    <row r="620" spans="1:30" ht="20.100000000000001" customHeight="1" x14ac:dyDescent="0.25">
      <c r="A620" s="230"/>
      <c r="B620" s="231"/>
      <c r="C620" s="231"/>
      <c r="D620" s="231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30"/>
      <c r="S620" s="239"/>
      <c r="T620" s="230"/>
      <c r="U620" s="230"/>
      <c r="V620" s="230"/>
      <c r="W620" s="230"/>
      <c r="X620" s="239"/>
      <c r="Y620" s="239"/>
      <c r="Z620" s="230"/>
      <c r="AA620" s="230"/>
      <c r="AB620" s="230"/>
      <c r="AC620" s="230"/>
      <c r="AD620" s="239"/>
    </row>
    <row r="621" spans="1:30" ht="20.100000000000001" customHeight="1" x14ac:dyDescent="0.25">
      <c r="A621" s="230"/>
      <c r="B621" s="231"/>
      <c r="C621" s="231"/>
      <c r="D621" s="231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30"/>
      <c r="S621" s="239"/>
      <c r="T621" s="230"/>
      <c r="U621" s="230"/>
      <c r="V621" s="230"/>
      <c r="W621" s="230"/>
      <c r="X621" s="239"/>
      <c r="Y621" s="239"/>
      <c r="Z621" s="230"/>
      <c r="AA621" s="230"/>
      <c r="AB621" s="230"/>
      <c r="AC621" s="230"/>
      <c r="AD621" s="239"/>
    </row>
    <row r="622" spans="1:30" ht="20.100000000000001" customHeight="1" x14ac:dyDescent="0.25">
      <c r="A622" s="230"/>
      <c r="B622" s="231"/>
      <c r="C622" s="231"/>
      <c r="D622" s="231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30"/>
      <c r="S622" s="239"/>
      <c r="T622" s="230"/>
      <c r="U622" s="230"/>
      <c r="V622" s="230"/>
      <c r="W622" s="230"/>
      <c r="X622" s="239"/>
      <c r="Y622" s="239"/>
      <c r="Z622" s="230"/>
      <c r="AA622" s="230"/>
      <c r="AB622" s="230"/>
      <c r="AC622" s="230"/>
      <c r="AD622" s="239"/>
    </row>
    <row r="623" spans="1:30" ht="20.100000000000001" customHeight="1" x14ac:dyDescent="0.25">
      <c r="A623" s="230"/>
      <c r="B623" s="231"/>
      <c r="C623" s="231"/>
      <c r="D623" s="231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30"/>
      <c r="S623" s="239"/>
      <c r="T623" s="230"/>
      <c r="U623" s="230"/>
      <c r="V623" s="230"/>
      <c r="W623" s="230"/>
      <c r="X623" s="239"/>
      <c r="Y623" s="239"/>
      <c r="Z623" s="230"/>
      <c r="AA623" s="230"/>
      <c r="AB623" s="230"/>
      <c r="AC623" s="230"/>
      <c r="AD623" s="239"/>
    </row>
    <row r="624" spans="1:30" ht="20.100000000000001" customHeight="1" x14ac:dyDescent="0.25">
      <c r="A624" s="230"/>
      <c r="B624" s="231"/>
      <c r="C624" s="231"/>
      <c r="D624" s="231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30"/>
      <c r="S624" s="239"/>
      <c r="T624" s="230"/>
      <c r="U624" s="230"/>
      <c r="V624" s="230"/>
      <c r="W624" s="230"/>
      <c r="X624" s="239"/>
      <c r="Y624" s="239"/>
      <c r="Z624" s="230"/>
      <c r="AA624" s="230"/>
      <c r="AB624" s="230"/>
      <c r="AC624" s="230"/>
      <c r="AD624" s="239"/>
    </row>
    <row r="625" spans="1:30" ht="20.100000000000001" customHeight="1" x14ac:dyDescent="0.25">
      <c r="A625" s="230"/>
      <c r="B625" s="231"/>
      <c r="C625" s="231"/>
      <c r="D625" s="231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30"/>
      <c r="S625" s="239"/>
      <c r="T625" s="230"/>
      <c r="U625" s="230"/>
      <c r="V625" s="230"/>
      <c r="W625" s="230"/>
      <c r="X625" s="239"/>
      <c r="Y625" s="239"/>
      <c r="Z625" s="230"/>
      <c r="AA625" s="230"/>
      <c r="AB625" s="230"/>
      <c r="AC625" s="230"/>
      <c r="AD625" s="239"/>
    </row>
    <row r="626" spans="1:30" ht="20.100000000000001" customHeight="1" x14ac:dyDescent="0.25">
      <c r="A626" s="230"/>
      <c r="B626" s="231"/>
      <c r="C626" s="231"/>
      <c r="D626" s="231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30"/>
      <c r="S626" s="239"/>
      <c r="T626" s="230"/>
      <c r="U626" s="230"/>
      <c r="V626" s="230"/>
      <c r="W626" s="230"/>
      <c r="X626" s="239"/>
      <c r="Y626" s="239"/>
      <c r="Z626" s="230"/>
      <c r="AA626" s="230"/>
      <c r="AB626" s="230"/>
      <c r="AC626" s="230"/>
      <c r="AD626" s="239"/>
    </row>
    <row r="627" spans="1:30" ht="20.100000000000001" customHeight="1" x14ac:dyDescent="0.25">
      <c r="A627" s="230"/>
      <c r="B627" s="231"/>
      <c r="C627" s="231"/>
      <c r="D627" s="231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30"/>
      <c r="S627" s="239"/>
      <c r="T627" s="230"/>
      <c r="U627" s="230"/>
      <c r="V627" s="230"/>
      <c r="W627" s="230"/>
      <c r="X627" s="239"/>
      <c r="Y627" s="239"/>
      <c r="Z627" s="230"/>
      <c r="AA627" s="230"/>
      <c r="AB627" s="230"/>
      <c r="AC627" s="230"/>
      <c r="AD627" s="239"/>
    </row>
    <row r="628" spans="1:30" ht="20.100000000000001" customHeight="1" x14ac:dyDescent="0.25">
      <c r="A628" s="230"/>
      <c r="B628" s="231"/>
      <c r="C628" s="231"/>
      <c r="D628" s="231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30"/>
      <c r="S628" s="239"/>
      <c r="T628" s="230"/>
      <c r="U628" s="230"/>
      <c r="V628" s="230"/>
      <c r="W628" s="230"/>
      <c r="X628" s="239"/>
      <c r="Y628" s="239"/>
      <c r="Z628" s="230"/>
      <c r="AA628" s="230"/>
      <c r="AB628" s="230"/>
      <c r="AC628" s="230"/>
      <c r="AD628" s="239"/>
    </row>
    <row r="629" spans="1:30" ht="20.100000000000001" customHeight="1" x14ac:dyDescent="0.25">
      <c r="A629" s="230"/>
      <c r="B629" s="231"/>
      <c r="C629" s="231"/>
      <c r="D629" s="231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30"/>
      <c r="S629" s="239"/>
      <c r="T629" s="230"/>
      <c r="U629" s="230"/>
      <c r="V629" s="230"/>
      <c r="W629" s="230"/>
      <c r="X629" s="239"/>
      <c r="Y629" s="239"/>
      <c r="Z629" s="230"/>
      <c r="AA629" s="230"/>
      <c r="AB629" s="230"/>
      <c r="AC629" s="230"/>
      <c r="AD629" s="239"/>
    </row>
    <row r="630" spans="1:30" ht="20.100000000000001" customHeight="1" x14ac:dyDescent="0.25">
      <c r="A630" s="230"/>
      <c r="B630" s="231"/>
      <c r="C630" s="231"/>
      <c r="D630" s="231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30"/>
      <c r="S630" s="239"/>
      <c r="T630" s="230"/>
      <c r="U630" s="230"/>
      <c r="V630" s="230"/>
      <c r="W630" s="230"/>
      <c r="X630" s="239"/>
      <c r="Y630" s="239"/>
      <c r="Z630" s="230"/>
      <c r="AA630" s="230"/>
      <c r="AB630" s="230"/>
      <c r="AC630" s="230"/>
      <c r="AD630" s="239"/>
    </row>
    <row r="631" spans="1:30" ht="20.100000000000001" customHeight="1" x14ac:dyDescent="0.25">
      <c r="A631" s="230"/>
      <c r="B631" s="231"/>
      <c r="C631" s="231"/>
      <c r="D631" s="231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30"/>
      <c r="S631" s="239"/>
      <c r="T631" s="230"/>
      <c r="U631" s="230"/>
      <c r="V631" s="230"/>
      <c r="W631" s="230"/>
      <c r="X631" s="239"/>
      <c r="Y631" s="239"/>
      <c r="Z631" s="230"/>
      <c r="AA631" s="230"/>
      <c r="AB631" s="230"/>
      <c r="AC631" s="230"/>
      <c r="AD631" s="239"/>
    </row>
    <row r="632" spans="1:30" ht="20.100000000000001" customHeight="1" x14ac:dyDescent="0.25">
      <c r="A632" s="230"/>
      <c r="B632" s="231"/>
      <c r="C632" s="231"/>
      <c r="D632" s="231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30"/>
      <c r="S632" s="239"/>
      <c r="T632" s="230"/>
      <c r="U632" s="230"/>
      <c r="V632" s="230"/>
      <c r="W632" s="230"/>
      <c r="X632" s="239"/>
      <c r="Y632" s="239"/>
      <c r="Z632" s="230"/>
      <c r="AA632" s="230"/>
      <c r="AB632" s="230"/>
      <c r="AC632" s="230"/>
      <c r="AD632" s="239"/>
    </row>
    <row r="633" spans="1:30" ht="20.100000000000001" customHeight="1" x14ac:dyDescent="0.25">
      <c r="A633" s="230"/>
      <c r="B633" s="231"/>
      <c r="C633" s="231"/>
      <c r="D633" s="231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30"/>
      <c r="S633" s="239"/>
      <c r="T633" s="230"/>
      <c r="U633" s="230"/>
      <c r="V633" s="230"/>
      <c r="W633" s="230"/>
      <c r="X633" s="239"/>
      <c r="Y633" s="239"/>
      <c r="Z633" s="230"/>
      <c r="AA633" s="230"/>
      <c r="AB633" s="230"/>
      <c r="AC633" s="230"/>
      <c r="AD633" s="239"/>
    </row>
    <row r="634" spans="1:30" ht="20.100000000000001" customHeight="1" x14ac:dyDescent="0.25">
      <c r="A634" s="230"/>
      <c r="B634" s="231"/>
      <c r="C634" s="231"/>
      <c r="D634" s="231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30"/>
      <c r="S634" s="239"/>
      <c r="T634" s="230"/>
      <c r="U634" s="230"/>
      <c r="V634" s="230"/>
      <c r="W634" s="230"/>
      <c r="X634" s="239"/>
      <c r="Y634" s="239"/>
      <c r="Z634" s="230"/>
      <c r="AA634" s="230"/>
      <c r="AB634" s="230"/>
      <c r="AC634" s="230"/>
      <c r="AD634" s="239"/>
    </row>
    <row r="635" spans="1:30" ht="20.100000000000001" customHeight="1" x14ac:dyDescent="0.25">
      <c r="A635" s="230"/>
      <c r="B635" s="231"/>
      <c r="C635" s="231"/>
      <c r="D635" s="231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30"/>
      <c r="S635" s="239"/>
      <c r="T635" s="230"/>
      <c r="U635" s="230"/>
      <c r="V635" s="230"/>
      <c r="W635" s="230"/>
      <c r="X635" s="239"/>
      <c r="Y635" s="239"/>
      <c r="Z635" s="230"/>
      <c r="AA635" s="230"/>
      <c r="AB635" s="230"/>
      <c r="AC635" s="230"/>
      <c r="AD635" s="239"/>
    </row>
    <row r="636" spans="1:30" ht="20.100000000000001" customHeight="1" x14ac:dyDescent="0.25">
      <c r="A636" s="230"/>
      <c r="B636" s="231"/>
      <c r="C636" s="231"/>
      <c r="D636" s="231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30"/>
      <c r="S636" s="239"/>
      <c r="T636" s="230"/>
      <c r="U636" s="230"/>
      <c r="V636" s="230"/>
      <c r="W636" s="230"/>
      <c r="X636" s="239"/>
      <c r="Y636" s="239"/>
      <c r="Z636" s="230"/>
      <c r="AA636" s="230"/>
      <c r="AB636" s="230"/>
      <c r="AC636" s="230"/>
      <c r="AD636" s="239"/>
    </row>
    <row r="637" spans="1:30" ht="20.100000000000001" customHeight="1" x14ac:dyDescent="0.25">
      <c r="A637" s="230"/>
      <c r="B637" s="231"/>
      <c r="C637" s="231"/>
      <c r="D637" s="231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30"/>
      <c r="S637" s="239"/>
      <c r="T637" s="230"/>
      <c r="U637" s="230"/>
      <c r="V637" s="230"/>
      <c r="W637" s="230"/>
      <c r="X637" s="239"/>
      <c r="Y637" s="239"/>
      <c r="Z637" s="230"/>
      <c r="AA637" s="230"/>
      <c r="AB637" s="230"/>
      <c r="AC637" s="230"/>
      <c r="AD637" s="239"/>
    </row>
    <row r="638" spans="1:30" ht="20.100000000000001" customHeight="1" x14ac:dyDescent="0.25">
      <c r="A638" s="230"/>
      <c r="B638" s="231"/>
      <c r="C638" s="231"/>
      <c r="D638" s="231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30"/>
      <c r="S638" s="239"/>
      <c r="T638" s="230"/>
      <c r="U638" s="230"/>
      <c r="V638" s="230"/>
      <c r="W638" s="230"/>
      <c r="X638" s="239"/>
      <c r="Y638" s="239"/>
      <c r="Z638" s="230"/>
      <c r="AA638" s="230"/>
      <c r="AB638" s="230"/>
      <c r="AC638" s="230"/>
      <c r="AD638" s="239"/>
    </row>
    <row r="639" spans="1:30" ht="20.100000000000001" customHeight="1" x14ac:dyDescent="0.25">
      <c r="A639" s="230"/>
      <c r="B639" s="231"/>
      <c r="C639" s="231"/>
      <c r="D639" s="231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30"/>
      <c r="S639" s="239"/>
      <c r="T639" s="230"/>
      <c r="U639" s="230"/>
      <c r="V639" s="230"/>
      <c r="W639" s="230"/>
      <c r="X639" s="239"/>
      <c r="Y639" s="239"/>
      <c r="Z639" s="230"/>
      <c r="AA639" s="230"/>
      <c r="AB639" s="230"/>
      <c r="AC639" s="230"/>
      <c r="AD639" s="239"/>
    </row>
    <row r="640" spans="1:30" ht="20.100000000000001" customHeight="1" x14ac:dyDescent="0.25">
      <c r="A640" s="230"/>
      <c r="B640" s="231"/>
      <c r="C640" s="231"/>
      <c r="D640" s="231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30"/>
      <c r="S640" s="239"/>
      <c r="T640" s="230"/>
      <c r="U640" s="230"/>
      <c r="V640" s="230"/>
      <c r="W640" s="230"/>
      <c r="X640" s="239"/>
      <c r="Y640" s="239"/>
      <c r="Z640" s="230"/>
      <c r="AA640" s="230"/>
      <c r="AB640" s="230"/>
      <c r="AC640" s="230"/>
      <c r="AD640" s="239"/>
    </row>
    <row r="641" spans="1:30" ht="20.100000000000001" customHeight="1" x14ac:dyDescent="0.25">
      <c r="A641" s="230"/>
      <c r="B641" s="231"/>
      <c r="C641" s="231"/>
      <c r="D641" s="231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30"/>
      <c r="S641" s="239"/>
      <c r="T641" s="230"/>
      <c r="U641" s="230"/>
      <c r="V641" s="230"/>
      <c r="W641" s="230"/>
      <c r="X641" s="239"/>
      <c r="Y641" s="239"/>
      <c r="Z641" s="230"/>
      <c r="AA641" s="230"/>
      <c r="AB641" s="230"/>
      <c r="AC641" s="230"/>
      <c r="AD641" s="239"/>
    </row>
    <row r="642" spans="1:30" ht="20.100000000000001" customHeight="1" x14ac:dyDescent="0.25">
      <c r="A642" s="230"/>
      <c r="B642" s="231"/>
      <c r="C642" s="231"/>
      <c r="D642" s="231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30"/>
      <c r="S642" s="239"/>
      <c r="T642" s="230"/>
      <c r="U642" s="230"/>
      <c r="V642" s="230"/>
      <c r="W642" s="230"/>
      <c r="X642" s="239"/>
      <c r="Y642" s="239"/>
      <c r="Z642" s="230"/>
      <c r="AA642" s="230"/>
      <c r="AB642" s="230"/>
      <c r="AC642" s="230"/>
      <c r="AD642" s="239"/>
    </row>
    <row r="643" spans="1:30" ht="20.100000000000001" customHeight="1" x14ac:dyDescent="0.25">
      <c r="A643" s="230"/>
      <c r="B643" s="231"/>
      <c r="C643" s="231"/>
      <c r="D643" s="231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30"/>
      <c r="S643" s="239"/>
      <c r="T643" s="230"/>
      <c r="U643" s="230"/>
      <c r="V643" s="230"/>
      <c r="W643" s="230"/>
      <c r="X643" s="239"/>
      <c r="Y643" s="239"/>
      <c r="Z643" s="230"/>
      <c r="AA643" s="230"/>
      <c r="AB643" s="230"/>
      <c r="AC643" s="230"/>
      <c r="AD643" s="239"/>
    </row>
    <row r="644" spans="1:30" ht="20.100000000000001" customHeight="1" x14ac:dyDescent="0.25">
      <c r="A644" s="230"/>
      <c r="B644" s="231"/>
      <c r="C644" s="231"/>
      <c r="D644" s="231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30"/>
      <c r="S644" s="239"/>
      <c r="T644" s="230"/>
      <c r="U644" s="230"/>
      <c r="V644" s="230"/>
      <c r="W644" s="230"/>
      <c r="X644" s="239"/>
      <c r="Y644" s="239"/>
      <c r="Z644" s="230"/>
      <c r="AA644" s="230"/>
      <c r="AB644" s="230"/>
      <c r="AC644" s="230"/>
      <c r="AD644" s="239"/>
    </row>
    <row r="645" spans="1:30" ht="20.100000000000001" customHeight="1" x14ac:dyDescent="0.25">
      <c r="A645" s="230"/>
      <c r="B645" s="231"/>
      <c r="C645" s="231"/>
      <c r="D645" s="231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30"/>
      <c r="S645" s="239"/>
      <c r="T645" s="230"/>
      <c r="U645" s="230"/>
      <c r="V645" s="230"/>
      <c r="W645" s="230"/>
      <c r="X645" s="239"/>
      <c r="Y645" s="239"/>
      <c r="Z645" s="230"/>
      <c r="AA645" s="230"/>
      <c r="AB645" s="230"/>
      <c r="AC645" s="230"/>
      <c r="AD645" s="239"/>
    </row>
    <row r="646" spans="1:30" ht="20.100000000000001" customHeight="1" x14ac:dyDescent="0.25">
      <c r="A646" s="230"/>
      <c r="B646" s="231"/>
      <c r="C646" s="231"/>
      <c r="D646" s="231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30"/>
      <c r="S646" s="239"/>
      <c r="T646" s="230"/>
      <c r="U646" s="230"/>
      <c r="V646" s="230"/>
      <c r="W646" s="230"/>
      <c r="X646" s="239"/>
      <c r="Y646" s="239"/>
      <c r="Z646" s="230"/>
      <c r="AA646" s="230"/>
      <c r="AB646" s="230"/>
      <c r="AC646" s="230"/>
      <c r="AD646" s="239"/>
    </row>
    <row r="647" spans="1:30" ht="20.100000000000001" customHeight="1" x14ac:dyDescent="0.25">
      <c r="A647" s="230"/>
      <c r="B647" s="231"/>
      <c r="C647" s="231"/>
      <c r="D647" s="231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30"/>
      <c r="S647" s="239"/>
      <c r="T647" s="230"/>
      <c r="U647" s="230"/>
      <c r="V647" s="230"/>
      <c r="W647" s="230"/>
      <c r="X647" s="239"/>
      <c r="Y647" s="239"/>
      <c r="Z647" s="230"/>
      <c r="AA647" s="230"/>
      <c r="AB647" s="230"/>
      <c r="AC647" s="230"/>
      <c r="AD647" s="239"/>
    </row>
    <row r="648" spans="1:30" ht="20.100000000000001" customHeight="1" x14ac:dyDescent="0.25">
      <c r="A648" s="230"/>
      <c r="B648" s="231"/>
      <c r="C648" s="231"/>
      <c r="D648" s="231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30"/>
      <c r="S648" s="239"/>
      <c r="T648" s="230"/>
      <c r="U648" s="230"/>
      <c r="V648" s="230"/>
      <c r="W648" s="230"/>
      <c r="X648" s="239"/>
      <c r="Y648" s="239"/>
      <c r="Z648" s="230"/>
      <c r="AA648" s="230"/>
      <c r="AB648" s="230"/>
      <c r="AC648" s="230"/>
      <c r="AD648" s="239"/>
    </row>
    <row r="649" spans="1:30" ht="20.100000000000001" customHeight="1" x14ac:dyDescent="0.25">
      <c r="A649" s="230"/>
      <c r="B649" s="231"/>
      <c r="C649" s="231"/>
      <c r="D649" s="231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30"/>
      <c r="S649" s="239"/>
      <c r="T649" s="230"/>
      <c r="U649" s="230"/>
      <c r="V649" s="230"/>
      <c r="W649" s="230"/>
      <c r="X649" s="239"/>
      <c r="Y649" s="239"/>
      <c r="Z649" s="230"/>
      <c r="AA649" s="230"/>
      <c r="AB649" s="230"/>
      <c r="AC649" s="230"/>
      <c r="AD649" s="239"/>
    </row>
    <row r="650" spans="1:30" ht="20.100000000000001" customHeight="1" x14ac:dyDescent="0.25">
      <c r="A650" s="230"/>
      <c r="B650" s="231"/>
      <c r="C650" s="231"/>
      <c r="D650" s="231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30"/>
      <c r="S650" s="239"/>
      <c r="T650" s="230"/>
      <c r="U650" s="230"/>
      <c r="V650" s="230"/>
      <c r="W650" s="230"/>
      <c r="X650" s="239"/>
      <c r="Y650" s="239"/>
      <c r="Z650" s="230"/>
      <c r="AA650" s="230"/>
      <c r="AB650" s="230"/>
      <c r="AC650" s="230"/>
      <c r="AD650" s="239"/>
    </row>
    <row r="651" spans="1:30" ht="20.100000000000001" customHeight="1" x14ac:dyDescent="0.25">
      <c r="A651" s="230"/>
      <c r="B651" s="231"/>
      <c r="C651" s="231"/>
      <c r="D651" s="231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30"/>
      <c r="S651" s="239"/>
      <c r="T651" s="230"/>
      <c r="U651" s="230"/>
      <c r="V651" s="230"/>
      <c r="W651" s="230"/>
      <c r="X651" s="239"/>
      <c r="Y651" s="239"/>
      <c r="Z651" s="230"/>
      <c r="AA651" s="230"/>
      <c r="AB651" s="230"/>
      <c r="AC651" s="230"/>
      <c r="AD651" s="239"/>
    </row>
    <row r="652" spans="1:30" ht="20.100000000000001" customHeight="1" x14ac:dyDescent="0.25">
      <c r="A652" s="230"/>
      <c r="B652" s="231"/>
      <c r="C652" s="231"/>
      <c r="D652" s="231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30"/>
      <c r="S652" s="239"/>
      <c r="T652" s="230"/>
      <c r="U652" s="230"/>
      <c r="V652" s="230"/>
      <c r="W652" s="230"/>
      <c r="X652" s="239"/>
      <c r="Y652" s="239"/>
      <c r="Z652" s="230"/>
      <c r="AA652" s="230"/>
      <c r="AB652" s="230"/>
      <c r="AC652" s="230"/>
      <c r="AD652" s="239"/>
    </row>
    <row r="653" spans="1:30" ht="20.100000000000001" customHeight="1" x14ac:dyDescent="0.25">
      <c r="A653" s="230"/>
      <c r="B653" s="231"/>
      <c r="C653" s="231"/>
      <c r="D653" s="231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30"/>
      <c r="S653" s="239"/>
      <c r="T653" s="230"/>
      <c r="U653" s="230"/>
      <c r="V653" s="230"/>
      <c r="W653" s="230"/>
      <c r="X653" s="239"/>
      <c r="Y653" s="239"/>
      <c r="Z653" s="230"/>
      <c r="AA653" s="230"/>
      <c r="AB653" s="230"/>
      <c r="AC653" s="230"/>
      <c r="AD653" s="239"/>
    </row>
    <row r="654" spans="1:30" ht="20.100000000000001" customHeight="1" x14ac:dyDescent="0.25">
      <c r="A654" s="230"/>
      <c r="B654" s="231"/>
      <c r="C654" s="231"/>
      <c r="D654" s="231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30"/>
      <c r="S654" s="239"/>
      <c r="T654" s="230"/>
      <c r="U654" s="230"/>
      <c r="V654" s="230"/>
      <c r="W654" s="230"/>
      <c r="X654" s="239"/>
      <c r="Y654" s="239"/>
      <c r="Z654" s="230"/>
      <c r="AA654" s="230"/>
      <c r="AB654" s="230"/>
      <c r="AC654" s="230"/>
      <c r="AD654" s="239"/>
    </row>
    <row r="655" spans="1:30" ht="20.100000000000001" customHeight="1" x14ac:dyDescent="0.25">
      <c r="A655" s="230"/>
      <c r="B655" s="231"/>
      <c r="C655" s="231"/>
      <c r="D655" s="231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30"/>
      <c r="S655" s="239"/>
      <c r="T655" s="230"/>
      <c r="U655" s="230"/>
      <c r="V655" s="230"/>
      <c r="W655" s="230"/>
      <c r="X655" s="239"/>
      <c r="Y655" s="239"/>
      <c r="Z655" s="230"/>
      <c r="AA655" s="230"/>
      <c r="AB655" s="230"/>
      <c r="AC655" s="230"/>
      <c r="AD655" s="239"/>
    </row>
    <row r="656" spans="1:30" ht="20.100000000000001" customHeight="1" x14ac:dyDescent="0.25">
      <c r="A656" s="230"/>
      <c r="B656" s="231"/>
      <c r="C656" s="231"/>
      <c r="D656" s="231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30"/>
      <c r="S656" s="239"/>
      <c r="T656" s="230"/>
      <c r="U656" s="230"/>
      <c r="V656" s="230"/>
      <c r="W656" s="230"/>
      <c r="X656" s="239"/>
      <c r="Y656" s="239"/>
      <c r="Z656" s="230"/>
      <c r="AA656" s="230"/>
      <c r="AB656" s="230"/>
      <c r="AC656" s="230"/>
      <c r="AD656" s="239"/>
    </row>
    <row r="657" spans="1:30" ht="20.100000000000001" customHeight="1" x14ac:dyDescent="0.25">
      <c r="A657" s="230"/>
      <c r="B657" s="231"/>
      <c r="C657" s="231"/>
      <c r="D657" s="231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30"/>
      <c r="S657" s="239"/>
      <c r="T657" s="230"/>
      <c r="U657" s="230"/>
      <c r="V657" s="230"/>
      <c r="W657" s="230"/>
      <c r="X657" s="239"/>
      <c r="Y657" s="239"/>
      <c r="Z657" s="230"/>
      <c r="AA657" s="230"/>
      <c r="AB657" s="230"/>
      <c r="AC657" s="230"/>
      <c r="AD657" s="239"/>
    </row>
    <row r="658" spans="1:30" ht="20.100000000000001" customHeight="1" x14ac:dyDescent="0.25">
      <c r="A658" s="230"/>
      <c r="B658" s="231"/>
      <c r="C658" s="231"/>
      <c r="D658" s="231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30"/>
      <c r="S658" s="239"/>
      <c r="T658" s="230"/>
      <c r="U658" s="230"/>
      <c r="V658" s="230"/>
      <c r="W658" s="230"/>
      <c r="X658" s="239"/>
      <c r="Y658" s="239"/>
      <c r="Z658" s="230"/>
      <c r="AA658" s="230"/>
      <c r="AB658" s="230"/>
      <c r="AC658" s="230"/>
      <c r="AD658" s="239"/>
    </row>
    <row r="659" spans="1:30" ht="20.100000000000001" customHeight="1" x14ac:dyDescent="0.25">
      <c r="A659" s="230"/>
      <c r="B659" s="231"/>
      <c r="C659" s="231"/>
      <c r="D659" s="231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30"/>
      <c r="S659" s="239"/>
      <c r="T659" s="230"/>
      <c r="U659" s="230"/>
      <c r="V659" s="230"/>
      <c r="W659" s="230"/>
      <c r="X659" s="239"/>
      <c r="Y659" s="239"/>
      <c r="Z659" s="230"/>
      <c r="AA659" s="230"/>
      <c r="AB659" s="230"/>
      <c r="AC659" s="230"/>
      <c r="AD659" s="239"/>
    </row>
    <row r="660" spans="1:30" ht="20.100000000000001" customHeight="1" x14ac:dyDescent="0.25">
      <c r="A660" s="230"/>
      <c r="B660" s="231"/>
      <c r="C660" s="231"/>
      <c r="D660" s="231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30"/>
      <c r="S660" s="239"/>
      <c r="T660" s="230"/>
      <c r="U660" s="230"/>
      <c r="V660" s="230"/>
      <c r="W660" s="230"/>
      <c r="X660" s="239"/>
      <c r="Y660" s="239"/>
      <c r="Z660" s="230"/>
      <c r="AA660" s="230"/>
      <c r="AB660" s="230"/>
      <c r="AC660" s="230"/>
      <c r="AD660" s="239"/>
    </row>
    <row r="661" spans="1:30" ht="20.100000000000001" customHeight="1" x14ac:dyDescent="0.25">
      <c r="A661" s="230"/>
      <c r="B661" s="231"/>
      <c r="C661" s="231"/>
      <c r="D661" s="231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30"/>
      <c r="S661" s="239"/>
      <c r="T661" s="230"/>
      <c r="U661" s="230"/>
      <c r="V661" s="230"/>
      <c r="W661" s="230"/>
      <c r="X661" s="239"/>
      <c r="Y661" s="239"/>
      <c r="Z661" s="230"/>
      <c r="AA661" s="230"/>
      <c r="AB661" s="230"/>
      <c r="AC661" s="230"/>
      <c r="AD661" s="239"/>
    </row>
    <row r="662" spans="1:30" ht="20.100000000000001" customHeight="1" x14ac:dyDescent="0.25">
      <c r="A662" s="230"/>
      <c r="B662" s="231"/>
      <c r="C662" s="231"/>
      <c r="D662" s="231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30"/>
      <c r="S662" s="239"/>
      <c r="T662" s="230"/>
      <c r="U662" s="230"/>
      <c r="V662" s="230"/>
      <c r="W662" s="230"/>
      <c r="X662" s="239"/>
      <c r="Y662" s="239"/>
      <c r="Z662" s="230"/>
      <c r="AA662" s="230"/>
      <c r="AB662" s="230"/>
      <c r="AC662" s="230"/>
      <c r="AD662" s="239"/>
    </row>
    <row r="663" spans="1:30" ht="20.100000000000001" customHeight="1" x14ac:dyDescent="0.25">
      <c r="A663" s="230"/>
      <c r="B663" s="231"/>
      <c r="C663" s="231"/>
      <c r="D663" s="231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30"/>
      <c r="S663" s="239"/>
      <c r="T663" s="230"/>
      <c r="U663" s="230"/>
      <c r="V663" s="230"/>
      <c r="W663" s="230"/>
      <c r="X663" s="239"/>
      <c r="Y663" s="239"/>
      <c r="Z663" s="230"/>
      <c r="AA663" s="230"/>
      <c r="AB663" s="230"/>
      <c r="AC663" s="230"/>
      <c r="AD663" s="239"/>
    </row>
    <row r="664" spans="1:30" ht="20.100000000000001" customHeight="1" x14ac:dyDescent="0.25">
      <c r="A664" s="230"/>
      <c r="B664" s="231"/>
      <c r="C664" s="231"/>
      <c r="D664" s="231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30"/>
      <c r="S664" s="239"/>
      <c r="T664" s="230"/>
      <c r="U664" s="230"/>
      <c r="V664" s="230"/>
      <c r="W664" s="230"/>
      <c r="X664" s="239"/>
      <c r="Y664" s="239"/>
      <c r="Z664" s="230"/>
      <c r="AA664" s="230"/>
      <c r="AB664" s="230"/>
      <c r="AC664" s="230"/>
      <c r="AD664" s="239"/>
    </row>
    <row r="665" spans="1:30" ht="20.100000000000001" customHeight="1" x14ac:dyDescent="0.25">
      <c r="A665" s="230"/>
      <c r="B665" s="231"/>
      <c r="C665" s="231"/>
      <c r="D665" s="231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30"/>
      <c r="S665" s="239"/>
      <c r="T665" s="230"/>
      <c r="U665" s="230"/>
      <c r="V665" s="230"/>
      <c r="W665" s="230"/>
      <c r="X665" s="239"/>
      <c r="Y665" s="239"/>
      <c r="Z665" s="230"/>
      <c r="AA665" s="230"/>
      <c r="AB665" s="230"/>
      <c r="AC665" s="230"/>
      <c r="AD665" s="239"/>
    </row>
    <row r="666" spans="1:30" ht="20.100000000000001" customHeight="1" x14ac:dyDescent="0.25">
      <c r="A666" s="230"/>
      <c r="B666" s="231"/>
      <c r="C666" s="231"/>
      <c r="D666" s="231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30"/>
      <c r="S666" s="239"/>
      <c r="T666" s="230"/>
      <c r="U666" s="230"/>
      <c r="V666" s="230"/>
      <c r="W666" s="230"/>
      <c r="X666" s="239"/>
      <c r="Y666" s="239"/>
      <c r="Z666" s="230"/>
      <c r="AA666" s="230"/>
      <c r="AB666" s="230"/>
      <c r="AC666" s="230"/>
      <c r="AD666" s="239"/>
    </row>
    <row r="667" spans="1:30" ht="20.100000000000001" customHeight="1" x14ac:dyDescent="0.25">
      <c r="A667" s="230"/>
      <c r="B667" s="231"/>
      <c r="C667" s="231"/>
      <c r="D667" s="231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30"/>
      <c r="S667" s="239"/>
      <c r="T667" s="230"/>
      <c r="U667" s="230"/>
      <c r="V667" s="230"/>
      <c r="W667" s="230"/>
      <c r="X667" s="239"/>
      <c r="Y667" s="239"/>
      <c r="Z667" s="230"/>
      <c r="AA667" s="230"/>
      <c r="AB667" s="230"/>
      <c r="AC667" s="230"/>
      <c r="AD667" s="239"/>
    </row>
    <row r="668" spans="1:30" ht="20.100000000000001" customHeight="1" x14ac:dyDescent="0.25">
      <c r="A668" s="230"/>
      <c r="B668" s="231"/>
      <c r="C668" s="231"/>
      <c r="D668" s="231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30"/>
      <c r="S668" s="239"/>
      <c r="T668" s="230"/>
      <c r="U668" s="230"/>
      <c r="V668" s="230"/>
      <c r="W668" s="230"/>
      <c r="X668" s="239"/>
      <c r="Y668" s="239"/>
      <c r="Z668" s="230"/>
      <c r="AA668" s="230"/>
      <c r="AB668" s="230"/>
      <c r="AC668" s="230"/>
      <c r="AD668" s="239"/>
    </row>
    <row r="669" spans="1:30" ht="20.100000000000001" customHeight="1" x14ac:dyDescent="0.25">
      <c r="A669" s="230"/>
      <c r="B669" s="231"/>
      <c r="C669" s="231"/>
      <c r="D669" s="231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30"/>
      <c r="S669" s="239"/>
      <c r="T669" s="230"/>
      <c r="U669" s="230"/>
      <c r="V669" s="230"/>
      <c r="W669" s="230"/>
      <c r="X669" s="239"/>
      <c r="Y669" s="239"/>
      <c r="Z669" s="230"/>
      <c r="AA669" s="230"/>
      <c r="AB669" s="230"/>
      <c r="AC669" s="230"/>
      <c r="AD669" s="239"/>
    </row>
    <row r="670" spans="1:30" ht="20.100000000000001" customHeight="1" x14ac:dyDescent="0.25">
      <c r="A670" s="230"/>
      <c r="B670" s="231"/>
      <c r="C670" s="231"/>
      <c r="D670" s="231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30"/>
      <c r="S670" s="239"/>
      <c r="T670" s="230"/>
      <c r="U670" s="230"/>
      <c r="V670" s="230"/>
      <c r="W670" s="230"/>
      <c r="X670" s="239"/>
      <c r="Y670" s="239"/>
      <c r="Z670" s="230"/>
      <c r="AA670" s="230"/>
      <c r="AB670" s="230"/>
      <c r="AC670" s="230"/>
      <c r="AD670" s="239"/>
    </row>
    <row r="671" spans="1:30" ht="20.100000000000001" customHeight="1" x14ac:dyDescent="0.25">
      <c r="A671" s="230"/>
      <c r="B671" s="231"/>
      <c r="C671" s="231"/>
      <c r="D671" s="231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30"/>
      <c r="S671" s="239"/>
      <c r="T671" s="230"/>
      <c r="U671" s="230"/>
      <c r="V671" s="230"/>
      <c r="W671" s="230"/>
      <c r="X671" s="239"/>
      <c r="Y671" s="239"/>
      <c r="Z671" s="230"/>
      <c r="AA671" s="230"/>
      <c r="AB671" s="230"/>
      <c r="AC671" s="230"/>
      <c r="AD671" s="239"/>
    </row>
    <row r="672" spans="1:30" ht="20.100000000000001" customHeight="1" x14ac:dyDescent="0.25">
      <c r="A672" s="230"/>
      <c r="B672" s="231"/>
      <c r="C672" s="231"/>
      <c r="D672" s="231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30"/>
      <c r="S672" s="239"/>
      <c r="T672" s="230"/>
      <c r="U672" s="230"/>
      <c r="V672" s="230"/>
      <c r="W672" s="230"/>
      <c r="X672" s="239"/>
      <c r="Y672" s="239"/>
      <c r="Z672" s="230"/>
      <c r="AA672" s="230"/>
      <c r="AB672" s="230"/>
      <c r="AC672" s="230"/>
      <c r="AD672" s="239"/>
    </row>
    <row r="673" spans="1:30" ht="20.100000000000001" customHeight="1" x14ac:dyDescent="0.25">
      <c r="A673" s="230"/>
      <c r="B673" s="231"/>
      <c r="C673" s="231"/>
      <c r="D673" s="231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30"/>
      <c r="S673" s="239"/>
      <c r="T673" s="230"/>
      <c r="U673" s="230"/>
      <c r="V673" s="230"/>
      <c r="W673" s="230"/>
      <c r="X673" s="239"/>
      <c r="Y673" s="239"/>
      <c r="Z673" s="230"/>
      <c r="AA673" s="230"/>
      <c r="AB673" s="230"/>
      <c r="AC673" s="230"/>
      <c r="AD673" s="239"/>
    </row>
    <row r="674" spans="1:30" ht="20.100000000000001" customHeight="1" x14ac:dyDescent="0.25">
      <c r="A674" s="230"/>
      <c r="B674" s="231"/>
      <c r="C674" s="231"/>
      <c r="D674" s="231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30"/>
      <c r="S674" s="239"/>
      <c r="T674" s="230"/>
      <c r="U674" s="230"/>
      <c r="V674" s="230"/>
      <c r="W674" s="230"/>
      <c r="X674" s="239"/>
      <c r="Y674" s="239"/>
      <c r="Z674" s="230"/>
      <c r="AA674" s="230"/>
      <c r="AB674" s="230"/>
      <c r="AC674" s="230"/>
      <c r="AD674" s="239"/>
    </row>
    <row r="675" spans="1:30" ht="20.100000000000001" customHeight="1" x14ac:dyDescent="0.25">
      <c r="A675" s="230"/>
      <c r="B675" s="231"/>
      <c r="C675" s="231"/>
      <c r="D675" s="231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30"/>
      <c r="S675" s="239"/>
      <c r="T675" s="230"/>
      <c r="U675" s="230"/>
      <c r="V675" s="230"/>
      <c r="W675" s="230"/>
      <c r="X675" s="239"/>
      <c r="Y675" s="239"/>
      <c r="Z675" s="230"/>
      <c r="AA675" s="230"/>
      <c r="AB675" s="230"/>
      <c r="AC675" s="230"/>
      <c r="AD675" s="239"/>
    </row>
    <row r="676" spans="1:30" ht="20.100000000000001" customHeight="1" x14ac:dyDescent="0.25">
      <c r="A676" s="230"/>
      <c r="B676" s="231"/>
      <c r="C676" s="231"/>
      <c r="D676" s="231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30"/>
      <c r="S676" s="239"/>
      <c r="T676" s="230"/>
      <c r="U676" s="230"/>
      <c r="V676" s="230"/>
      <c r="W676" s="230"/>
      <c r="X676" s="239"/>
      <c r="Y676" s="239"/>
      <c r="Z676" s="230"/>
      <c r="AA676" s="230"/>
      <c r="AB676" s="230"/>
      <c r="AC676" s="230"/>
      <c r="AD676" s="239"/>
    </row>
    <row r="677" spans="1:30" ht="20.100000000000001" customHeight="1" x14ac:dyDescent="0.25">
      <c r="A677" s="230"/>
      <c r="B677" s="231"/>
      <c r="C677" s="231"/>
      <c r="D677" s="231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30"/>
      <c r="S677" s="239"/>
      <c r="T677" s="230"/>
      <c r="U677" s="230"/>
      <c r="V677" s="230"/>
      <c r="W677" s="230"/>
      <c r="X677" s="239"/>
      <c r="Y677" s="239"/>
      <c r="Z677" s="230"/>
      <c r="AA677" s="230"/>
      <c r="AB677" s="230"/>
      <c r="AC677" s="230"/>
      <c r="AD677" s="239"/>
    </row>
    <row r="678" spans="1:30" ht="20.100000000000001" customHeight="1" x14ac:dyDescent="0.25">
      <c r="A678" s="230"/>
      <c r="B678" s="231"/>
      <c r="C678" s="231"/>
      <c r="D678" s="231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30"/>
      <c r="S678" s="239"/>
      <c r="T678" s="230"/>
      <c r="U678" s="230"/>
      <c r="V678" s="230"/>
      <c r="W678" s="230"/>
      <c r="X678" s="239"/>
      <c r="Y678" s="239"/>
      <c r="Z678" s="230"/>
      <c r="AA678" s="230"/>
      <c r="AB678" s="230"/>
      <c r="AC678" s="230"/>
      <c r="AD678" s="239"/>
    </row>
    <row r="679" spans="1:30" ht="20.100000000000001" customHeight="1" x14ac:dyDescent="0.25">
      <c r="A679" s="230"/>
      <c r="B679" s="231"/>
      <c r="C679" s="231"/>
      <c r="D679" s="231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30"/>
      <c r="S679" s="239"/>
      <c r="T679" s="230"/>
      <c r="U679" s="230"/>
      <c r="V679" s="230"/>
      <c r="W679" s="230"/>
      <c r="X679" s="239"/>
      <c r="Y679" s="239"/>
      <c r="Z679" s="230"/>
      <c r="AA679" s="230"/>
      <c r="AB679" s="230"/>
      <c r="AC679" s="230"/>
      <c r="AD679" s="239"/>
    </row>
    <row r="680" spans="1:30" ht="20.100000000000001" customHeight="1" x14ac:dyDescent="0.25">
      <c r="A680" s="230"/>
      <c r="B680" s="231"/>
      <c r="C680" s="231"/>
      <c r="D680" s="231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30"/>
      <c r="S680" s="239"/>
      <c r="T680" s="230"/>
      <c r="U680" s="230"/>
      <c r="V680" s="230"/>
      <c r="W680" s="230"/>
      <c r="X680" s="239"/>
      <c r="Y680" s="239"/>
      <c r="Z680" s="230"/>
      <c r="AA680" s="230"/>
      <c r="AB680" s="230"/>
      <c r="AC680" s="230"/>
      <c r="AD680" s="239"/>
    </row>
    <row r="681" spans="1:30" ht="20.100000000000001" customHeight="1" x14ac:dyDescent="0.25">
      <c r="A681" s="230"/>
      <c r="B681" s="231"/>
      <c r="C681" s="231"/>
      <c r="D681" s="231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30"/>
      <c r="S681" s="239"/>
      <c r="T681" s="230"/>
      <c r="U681" s="230"/>
      <c r="V681" s="230"/>
      <c r="W681" s="230"/>
      <c r="X681" s="239"/>
      <c r="Y681" s="239"/>
      <c r="Z681" s="230"/>
      <c r="AA681" s="230"/>
      <c r="AB681" s="230"/>
      <c r="AC681" s="230"/>
      <c r="AD681" s="239"/>
    </row>
    <row r="682" spans="1:30" ht="20.100000000000001" customHeight="1" x14ac:dyDescent="0.25">
      <c r="A682" s="230"/>
      <c r="B682" s="231"/>
      <c r="C682" s="231"/>
      <c r="D682" s="231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30"/>
      <c r="S682" s="239"/>
      <c r="T682" s="230"/>
      <c r="U682" s="230"/>
      <c r="V682" s="230"/>
      <c r="W682" s="230"/>
      <c r="X682" s="239"/>
      <c r="Y682" s="239"/>
      <c r="Z682" s="230"/>
      <c r="AA682" s="230"/>
      <c r="AB682" s="230"/>
      <c r="AC682" s="230"/>
      <c r="AD682" s="239"/>
    </row>
    <row r="683" spans="1:30" ht="20.100000000000001" customHeight="1" x14ac:dyDescent="0.25">
      <c r="A683" s="230"/>
      <c r="B683" s="231"/>
      <c r="C683" s="231"/>
      <c r="D683" s="231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30"/>
      <c r="S683" s="239"/>
      <c r="T683" s="230"/>
      <c r="U683" s="230"/>
      <c r="V683" s="230"/>
      <c r="W683" s="230"/>
      <c r="X683" s="239"/>
      <c r="Y683" s="239"/>
      <c r="Z683" s="230"/>
      <c r="AA683" s="230"/>
      <c r="AB683" s="230"/>
      <c r="AC683" s="230"/>
      <c r="AD683" s="239"/>
    </row>
    <row r="684" spans="1:30" ht="20.100000000000001" customHeight="1" x14ac:dyDescent="0.25">
      <c r="A684" s="230"/>
      <c r="B684" s="231"/>
      <c r="C684" s="231"/>
      <c r="D684" s="231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30"/>
      <c r="S684" s="239"/>
      <c r="T684" s="230"/>
      <c r="U684" s="230"/>
      <c r="V684" s="230"/>
      <c r="W684" s="230"/>
      <c r="X684" s="239"/>
      <c r="Y684" s="239"/>
      <c r="Z684" s="230"/>
      <c r="AA684" s="230"/>
      <c r="AB684" s="230"/>
      <c r="AC684" s="230"/>
      <c r="AD684" s="239"/>
    </row>
    <row r="685" spans="1:30" ht="20.100000000000001" customHeight="1" x14ac:dyDescent="0.25">
      <c r="A685" s="230"/>
      <c r="B685" s="231"/>
      <c r="C685" s="231"/>
      <c r="D685" s="231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30"/>
      <c r="S685" s="239"/>
      <c r="T685" s="230"/>
      <c r="U685" s="230"/>
      <c r="V685" s="230"/>
      <c r="W685" s="230"/>
      <c r="X685" s="239"/>
      <c r="Y685" s="239"/>
      <c r="Z685" s="230"/>
      <c r="AA685" s="230"/>
      <c r="AB685" s="230"/>
      <c r="AC685" s="230"/>
      <c r="AD685" s="239"/>
    </row>
    <row r="686" spans="1:30" ht="20.100000000000001" customHeight="1" x14ac:dyDescent="0.25">
      <c r="A686" s="230"/>
      <c r="B686" s="231"/>
      <c r="C686" s="231"/>
      <c r="D686" s="231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30"/>
      <c r="S686" s="239"/>
      <c r="T686" s="230"/>
      <c r="U686" s="230"/>
      <c r="V686" s="230"/>
      <c r="W686" s="230"/>
      <c r="X686" s="239"/>
      <c r="Y686" s="239"/>
      <c r="Z686" s="230"/>
      <c r="AA686" s="230"/>
      <c r="AB686" s="230"/>
      <c r="AC686" s="230"/>
      <c r="AD686" s="239"/>
    </row>
    <row r="687" spans="1:30" ht="20.100000000000001" customHeight="1" x14ac:dyDescent="0.25">
      <c r="A687" s="230"/>
      <c r="B687" s="231"/>
      <c r="C687" s="231"/>
      <c r="D687" s="231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30"/>
      <c r="S687" s="239"/>
      <c r="T687" s="230"/>
      <c r="U687" s="230"/>
      <c r="V687" s="230"/>
      <c r="W687" s="230"/>
      <c r="X687" s="239"/>
      <c r="Y687" s="239"/>
      <c r="Z687" s="230"/>
      <c r="AA687" s="230"/>
      <c r="AB687" s="230"/>
      <c r="AC687" s="230"/>
      <c r="AD687" s="239"/>
    </row>
    <row r="688" spans="1:30" ht="20.100000000000001" customHeight="1" x14ac:dyDescent="0.25">
      <c r="A688" s="230"/>
      <c r="B688" s="231"/>
      <c r="C688" s="231"/>
      <c r="D688" s="231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30"/>
      <c r="S688" s="239"/>
      <c r="T688" s="230"/>
      <c r="U688" s="230"/>
      <c r="V688" s="230"/>
      <c r="W688" s="230"/>
      <c r="X688" s="239"/>
      <c r="Y688" s="239"/>
      <c r="Z688" s="230"/>
      <c r="AA688" s="230"/>
      <c r="AB688" s="230"/>
      <c r="AC688" s="230"/>
      <c r="AD688" s="239"/>
    </row>
    <row r="689" spans="1:30" ht="20.100000000000001" customHeight="1" x14ac:dyDescent="0.25">
      <c r="A689" s="230"/>
      <c r="B689" s="231"/>
      <c r="C689" s="231"/>
      <c r="D689" s="231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30"/>
      <c r="S689" s="239"/>
      <c r="T689" s="230"/>
      <c r="U689" s="230"/>
      <c r="V689" s="230"/>
      <c r="W689" s="230"/>
      <c r="X689" s="239"/>
      <c r="Y689" s="239"/>
      <c r="Z689" s="230"/>
      <c r="AA689" s="230"/>
      <c r="AB689" s="230"/>
      <c r="AC689" s="230"/>
      <c r="AD689" s="239"/>
    </row>
    <row r="690" spans="1:30" ht="20.100000000000001" customHeight="1" x14ac:dyDescent="0.25">
      <c r="A690" s="230"/>
      <c r="B690" s="231"/>
      <c r="C690" s="231"/>
      <c r="D690" s="231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30"/>
      <c r="S690" s="239"/>
      <c r="T690" s="230"/>
      <c r="U690" s="230"/>
      <c r="V690" s="230"/>
      <c r="W690" s="230"/>
      <c r="X690" s="239"/>
      <c r="Y690" s="239"/>
      <c r="Z690" s="230"/>
      <c r="AA690" s="230"/>
      <c r="AB690" s="230"/>
      <c r="AC690" s="230"/>
      <c r="AD690" s="239"/>
    </row>
    <row r="691" spans="1:30" ht="20.100000000000001" customHeight="1" x14ac:dyDescent="0.25">
      <c r="A691" s="230"/>
      <c r="B691" s="231"/>
      <c r="C691" s="231"/>
      <c r="D691" s="231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30"/>
      <c r="S691" s="239"/>
      <c r="T691" s="230"/>
      <c r="U691" s="230"/>
      <c r="V691" s="230"/>
      <c r="W691" s="230"/>
      <c r="X691" s="239"/>
      <c r="Y691" s="239"/>
      <c r="Z691" s="230"/>
      <c r="AA691" s="230"/>
      <c r="AB691" s="230"/>
      <c r="AC691" s="230"/>
      <c r="AD691" s="239"/>
    </row>
    <row r="692" spans="1:30" ht="20.100000000000001" customHeight="1" x14ac:dyDescent="0.25">
      <c r="A692" s="230"/>
      <c r="B692" s="231"/>
      <c r="C692" s="231"/>
      <c r="D692" s="231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30"/>
      <c r="S692" s="239"/>
      <c r="T692" s="230"/>
      <c r="U692" s="230"/>
      <c r="V692" s="230"/>
      <c r="W692" s="230"/>
      <c r="X692" s="239"/>
      <c r="Y692" s="239"/>
      <c r="Z692" s="230"/>
      <c r="AA692" s="230"/>
      <c r="AB692" s="230"/>
      <c r="AC692" s="230"/>
      <c r="AD692" s="239"/>
    </row>
    <row r="693" spans="1:30" ht="20.100000000000001" customHeight="1" x14ac:dyDescent="0.25">
      <c r="A693" s="230"/>
      <c r="B693" s="231"/>
      <c r="C693" s="231"/>
      <c r="D693" s="231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30"/>
      <c r="S693" s="239"/>
      <c r="T693" s="230"/>
      <c r="U693" s="230"/>
      <c r="V693" s="230"/>
      <c r="W693" s="230"/>
      <c r="X693" s="239"/>
      <c r="Y693" s="239"/>
      <c r="Z693" s="230"/>
      <c r="AA693" s="230"/>
      <c r="AB693" s="230"/>
      <c r="AC693" s="230"/>
      <c r="AD693" s="239"/>
    </row>
    <row r="694" spans="1:30" ht="20.100000000000001" customHeight="1" x14ac:dyDescent="0.25">
      <c r="A694" s="230"/>
      <c r="B694" s="231"/>
      <c r="C694" s="231"/>
      <c r="D694" s="231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30"/>
      <c r="S694" s="239"/>
      <c r="T694" s="230"/>
      <c r="U694" s="230"/>
      <c r="V694" s="230"/>
      <c r="W694" s="230"/>
      <c r="X694" s="239"/>
      <c r="Y694" s="239"/>
      <c r="Z694" s="230"/>
      <c r="AA694" s="230"/>
      <c r="AB694" s="230"/>
      <c r="AC694" s="230"/>
      <c r="AD694" s="239"/>
    </row>
    <row r="695" spans="1:30" ht="20.100000000000001" customHeight="1" x14ac:dyDescent="0.25">
      <c r="A695" s="230"/>
      <c r="B695" s="231"/>
      <c r="C695" s="231"/>
      <c r="D695" s="231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30"/>
      <c r="S695" s="239"/>
      <c r="T695" s="230"/>
      <c r="U695" s="230"/>
      <c r="V695" s="230"/>
      <c r="W695" s="230"/>
      <c r="X695" s="239"/>
      <c r="Y695" s="239"/>
      <c r="Z695" s="230"/>
      <c r="AA695" s="230"/>
      <c r="AB695" s="230"/>
      <c r="AC695" s="230"/>
      <c r="AD695" s="239"/>
    </row>
    <row r="696" spans="1:30" ht="20.100000000000001" customHeight="1" x14ac:dyDescent="0.25">
      <c r="A696" s="230"/>
      <c r="B696" s="231"/>
      <c r="C696" s="231"/>
      <c r="D696" s="231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30"/>
      <c r="S696" s="239"/>
      <c r="T696" s="230"/>
      <c r="U696" s="230"/>
      <c r="V696" s="230"/>
      <c r="W696" s="230"/>
      <c r="X696" s="239"/>
      <c r="Y696" s="239"/>
      <c r="Z696" s="230"/>
      <c r="AA696" s="230"/>
      <c r="AB696" s="230"/>
      <c r="AC696" s="230"/>
      <c r="AD696" s="239"/>
    </row>
    <row r="697" spans="1:30" ht="20.100000000000001" customHeight="1" x14ac:dyDescent="0.25">
      <c r="A697" s="230"/>
      <c r="B697" s="231"/>
      <c r="C697" s="231"/>
      <c r="D697" s="231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30"/>
      <c r="S697" s="239"/>
      <c r="T697" s="230"/>
      <c r="U697" s="230"/>
      <c r="V697" s="230"/>
      <c r="W697" s="230"/>
      <c r="X697" s="239"/>
      <c r="Y697" s="239"/>
      <c r="Z697" s="230"/>
      <c r="AA697" s="230"/>
      <c r="AB697" s="230"/>
      <c r="AC697" s="230"/>
      <c r="AD697" s="239"/>
    </row>
    <row r="698" spans="1:30" ht="20.100000000000001" customHeight="1" x14ac:dyDescent="0.25">
      <c r="A698" s="230"/>
      <c r="B698" s="231"/>
      <c r="C698" s="231"/>
      <c r="D698" s="231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30"/>
      <c r="S698" s="239"/>
      <c r="T698" s="230"/>
      <c r="U698" s="230"/>
      <c r="V698" s="230"/>
      <c r="W698" s="230"/>
      <c r="X698" s="239"/>
      <c r="Y698" s="239"/>
      <c r="Z698" s="230"/>
      <c r="AA698" s="230"/>
      <c r="AB698" s="230"/>
      <c r="AC698" s="230"/>
      <c r="AD698" s="239"/>
    </row>
    <row r="699" spans="1:30" ht="20.100000000000001" customHeight="1" x14ac:dyDescent="0.25">
      <c r="A699" s="230"/>
      <c r="B699" s="231"/>
      <c r="C699" s="231"/>
      <c r="D699" s="231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30"/>
      <c r="S699" s="239"/>
      <c r="T699" s="230"/>
      <c r="U699" s="230"/>
      <c r="V699" s="230"/>
      <c r="W699" s="230"/>
      <c r="X699" s="239"/>
      <c r="Y699" s="239"/>
      <c r="Z699" s="230"/>
      <c r="AA699" s="230"/>
      <c r="AB699" s="230"/>
      <c r="AC699" s="230"/>
      <c r="AD699" s="239"/>
    </row>
    <row r="700" spans="1:30" ht="20.100000000000001" customHeight="1" x14ac:dyDescent="0.25">
      <c r="A700" s="230"/>
      <c r="B700" s="231"/>
      <c r="C700" s="231"/>
      <c r="D700" s="231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30"/>
      <c r="S700" s="239"/>
      <c r="T700" s="230"/>
      <c r="U700" s="230"/>
      <c r="V700" s="230"/>
      <c r="W700" s="230"/>
      <c r="X700" s="239"/>
      <c r="Y700" s="239"/>
      <c r="Z700" s="230"/>
      <c r="AA700" s="230"/>
      <c r="AB700" s="230"/>
      <c r="AC700" s="230"/>
      <c r="AD700" s="239"/>
    </row>
    <row r="701" spans="1:30" ht="20.100000000000001" customHeight="1" x14ac:dyDescent="0.25">
      <c r="A701" s="230"/>
      <c r="B701" s="231"/>
      <c r="C701" s="231"/>
      <c r="D701" s="231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30"/>
      <c r="S701" s="239"/>
      <c r="T701" s="230"/>
      <c r="U701" s="230"/>
      <c r="V701" s="230"/>
      <c r="W701" s="230"/>
      <c r="X701" s="239"/>
      <c r="Y701" s="239"/>
      <c r="Z701" s="230"/>
      <c r="AA701" s="230"/>
      <c r="AB701" s="230"/>
      <c r="AC701" s="230"/>
      <c r="AD701" s="239"/>
    </row>
    <row r="702" spans="1:30" ht="20.100000000000001" customHeight="1" x14ac:dyDescent="0.25">
      <c r="A702" s="230"/>
      <c r="B702" s="231"/>
      <c r="C702" s="231"/>
      <c r="D702" s="231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30"/>
      <c r="S702" s="239"/>
      <c r="T702" s="230"/>
      <c r="U702" s="230"/>
      <c r="V702" s="230"/>
      <c r="W702" s="230"/>
      <c r="X702" s="239"/>
      <c r="Y702" s="239"/>
      <c r="Z702" s="230"/>
      <c r="AA702" s="230"/>
      <c r="AB702" s="230"/>
      <c r="AC702" s="230"/>
      <c r="AD702" s="239"/>
    </row>
    <row r="703" spans="1:30" ht="20.100000000000001" customHeight="1" x14ac:dyDescent="0.25">
      <c r="A703" s="230"/>
      <c r="B703" s="231"/>
      <c r="C703" s="231"/>
      <c r="D703" s="231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30"/>
      <c r="S703" s="239"/>
      <c r="T703" s="230"/>
      <c r="U703" s="230"/>
      <c r="V703" s="230"/>
      <c r="W703" s="230"/>
      <c r="X703" s="239"/>
      <c r="Y703" s="239"/>
      <c r="Z703" s="230"/>
      <c r="AA703" s="230"/>
      <c r="AB703" s="230"/>
      <c r="AC703" s="230"/>
      <c r="AD703" s="239"/>
    </row>
    <row r="704" spans="1:30" ht="20.100000000000001" customHeight="1" x14ac:dyDescent="0.25">
      <c r="A704" s="230"/>
      <c r="B704" s="231"/>
      <c r="C704" s="231"/>
      <c r="D704" s="231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30"/>
      <c r="S704" s="239"/>
      <c r="T704" s="230"/>
      <c r="U704" s="230"/>
      <c r="V704" s="230"/>
      <c r="W704" s="230"/>
      <c r="X704" s="239"/>
      <c r="Y704" s="239"/>
      <c r="Z704" s="230"/>
      <c r="AA704" s="230"/>
      <c r="AB704" s="230"/>
      <c r="AC704" s="230"/>
      <c r="AD704" s="239"/>
    </row>
    <row r="705" spans="1:30" ht="20.100000000000001" customHeight="1" x14ac:dyDescent="0.25">
      <c r="A705" s="230"/>
      <c r="B705" s="231"/>
      <c r="C705" s="231"/>
      <c r="D705" s="231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30"/>
      <c r="S705" s="239"/>
      <c r="T705" s="230"/>
      <c r="U705" s="230"/>
      <c r="V705" s="230"/>
      <c r="W705" s="230"/>
      <c r="X705" s="239"/>
      <c r="Y705" s="239"/>
      <c r="Z705" s="230"/>
      <c r="AA705" s="230"/>
      <c r="AB705" s="230"/>
      <c r="AC705" s="230"/>
      <c r="AD705" s="239"/>
    </row>
    <row r="706" spans="1:30" ht="20.100000000000001" customHeight="1" x14ac:dyDescent="0.25">
      <c r="A706" s="230"/>
      <c r="B706" s="231"/>
      <c r="C706" s="231"/>
      <c r="D706" s="231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30"/>
      <c r="S706" s="239"/>
      <c r="T706" s="230"/>
      <c r="U706" s="230"/>
      <c r="V706" s="230"/>
      <c r="W706" s="230"/>
      <c r="X706" s="239"/>
      <c r="Y706" s="239"/>
      <c r="Z706" s="230"/>
      <c r="AA706" s="230"/>
      <c r="AB706" s="230"/>
      <c r="AC706" s="230"/>
      <c r="AD706" s="239"/>
    </row>
    <row r="707" spans="1:30" ht="20.100000000000001" customHeight="1" x14ac:dyDescent="0.25">
      <c r="A707" s="230"/>
      <c r="B707" s="231"/>
      <c r="C707" s="231"/>
      <c r="D707" s="231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30"/>
      <c r="S707" s="239"/>
      <c r="T707" s="230"/>
      <c r="U707" s="230"/>
      <c r="V707" s="230"/>
      <c r="W707" s="230"/>
      <c r="X707" s="239"/>
      <c r="Y707" s="239"/>
      <c r="Z707" s="230"/>
      <c r="AA707" s="230"/>
      <c r="AB707" s="230"/>
      <c r="AC707" s="230"/>
      <c r="AD707" s="239"/>
    </row>
    <row r="708" spans="1:30" ht="20.100000000000001" customHeight="1" x14ac:dyDescent="0.25">
      <c r="A708" s="230"/>
      <c r="B708" s="231"/>
      <c r="C708" s="231"/>
      <c r="D708" s="231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30"/>
      <c r="S708" s="239"/>
      <c r="T708" s="230"/>
      <c r="U708" s="230"/>
      <c r="V708" s="230"/>
      <c r="W708" s="230"/>
      <c r="X708" s="239"/>
      <c r="Y708" s="239"/>
      <c r="Z708" s="230"/>
      <c r="AA708" s="230"/>
      <c r="AB708" s="230"/>
      <c r="AC708" s="230"/>
      <c r="AD708" s="239"/>
    </row>
    <row r="709" spans="1:30" ht="20.100000000000001" customHeight="1" x14ac:dyDescent="0.25">
      <c r="A709" s="230"/>
      <c r="B709" s="231"/>
      <c r="C709" s="231"/>
      <c r="D709" s="231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30"/>
      <c r="S709" s="239"/>
      <c r="T709" s="230"/>
      <c r="U709" s="230"/>
      <c r="V709" s="230"/>
      <c r="W709" s="230"/>
      <c r="X709" s="239"/>
      <c r="Y709" s="239"/>
      <c r="Z709" s="230"/>
      <c r="AA709" s="230"/>
      <c r="AB709" s="230"/>
      <c r="AC709" s="230"/>
      <c r="AD709" s="239"/>
    </row>
    <row r="710" spans="1:30" ht="20.100000000000001" customHeight="1" x14ac:dyDescent="0.25">
      <c r="A710" s="230"/>
      <c r="B710" s="231"/>
      <c r="C710" s="231"/>
      <c r="D710" s="231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30"/>
      <c r="S710" s="239"/>
      <c r="T710" s="230"/>
      <c r="U710" s="230"/>
      <c r="V710" s="230"/>
      <c r="W710" s="230"/>
      <c r="X710" s="239"/>
      <c r="Y710" s="239"/>
      <c r="Z710" s="230"/>
      <c r="AA710" s="230"/>
      <c r="AB710" s="230"/>
      <c r="AC710" s="230"/>
      <c r="AD710" s="239"/>
    </row>
    <row r="711" spans="1:30" ht="20.100000000000001" customHeight="1" x14ac:dyDescent="0.25">
      <c r="A711" s="230"/>
      <c r="B711" s="231"/>
      <c r="C711" s="231"/>
      <c r="D711" s="231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30"/>
      <c r="S711" s="239"/>
      <c r="T711" s="230"/>
      <c r="U711" s="230"/>
      <c r="V711" s="230"/>
      <c r="W711" s="230"/>
      <c r="X711" s="239"/>
      <c r="Y711" s="239"/>
      <c r="Z711" s="230"/>
      <c r="AA711" s="230"/>
      <c r="AB711" s="230"/>
      <c r="AC711" s="230"/>
      <c r="AD711" s="239"/>
    </row>
    <row r="712" spans="1:30" ht="20.100000000000001" customHeight="1" x14ac:dyDescent="0.25">
      <c r="A712" s="230"/>
      <c r="B712" s="231"/>
      <c r="C712" s="231"/>
      <c r="D712" s="231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30"/>
      <c r="S712" s="239"/>
      <c r="T712" s="230"/>
      <c r="U712" s="230"/>
      <c r="V712" s="230"/>
      <c r="W712" s="230"/>
      <c r="X712" s="239"/>
      <c r="Y712" s="239"/>
      <c r="Z712" s="230"/>
      <c r="AA712" s="230"/>
      <c r="AB712" s="230"/>
      <c r="AC712" s="230"/>
      <c r="AD712" s="239"/>
    </row>
    <row r="713" spans="1:30" ht="20.100000000000001" customHeight="1" x14ac:dyDescent="0.25">
      <c r="A713" s="230"/>
      <c r="B713" s="231"/>
      <c r="C713" s="231"/>
      <c r="D713" s="231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30"/>
      <c r="S713" s="239"/>
      <c r="T713" s="230"/>
      <c r="U713" s="230"/>
      <c r="V713" s="230"/>
      <c r="W713" s="230"/>
      <c r="X713" s="239"/>
      <c r="Y713" s="239"/>
      <c r="Z713" s="230"/>
      <c r="AA713" s="230"/>
      <c r="AB713" s="230"/>
      <c r="AC713" s="230"/>
      <c r="AD713" s="239"/>
    </row>
    <row r="714" spans="1:30" ht="20.100000000000001" customHeight="1" x14ac:dyDescent="0.25">
      <c r="A714" s="230"/>
      <c r="B714" s="231"/>
      <c r="C714" s="231"/>
      <c r="D714" s="231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30"/>
      <c r="S714" s="239"/>
      <c r="T714" s="230"/>
      <c r="U714" s="230"/>
      <c r="V714" s="230"/>
      <c r="W714" s="230"/>
      <c r="X714" s="239"/>
      <c r="Y714" s="239"/>
      <c r="Z714" s="230"/>
      <c r="AA714" s="230"/>
      <c r="AB714" s="230"/>
      <c r="AC714" s="230"/>
      <c r="AD714" s="239"/>
    </row>
    <row r="715" spans="1:30" ht="20.100000000000001" customHeight="1" x14ac:dyDescent="0.25">
      <c r="A715" s="230"/>
      <c r="B715" s="231"/>
      <c r="C715" s="231"/>
      <c r="D715" s="231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30"/>
      <c r="S715" s="239"/>
      <c r="T715" s="230"/>
      <c r="U715" s="230"/>
      <c r="V715" s="230"/>
      <c r="W715" s="230"/>
      <c r="X715" s="239"/>
      <c r="Y715" s="239"/>
      <c r="Z715" s="230"/>
      <c r="AA715" s="230"/>
      <c r="AB715" s="230"/>
      <c r="AC715" s="230"/>
      <c r="AD715" s="239"/>
    </row>
    <row r="716" spans="1:30" ht="20.100000000000001" customHeight="1" x14ac:dyDescent="0.25">
      <c r="A716" s="230"/>
      <c r="B716" s="231"/>
      <c r="C716" s="231"/>
      <c r="D716" s="231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30"/>
      <c r="S716" s="239"/>
      <c r="T716" s="230"/>
      <c r="U716" s="230"/>
      <c r="V716" s="230"/>
      <c r="W716" s="230"/>
      <c r="X716" s="239"/>
      <c r="Y716" s="239"/>
      <c r="Z716" s="230"/>
      <c r="AA716" s="230"/>
      <c r="AB716" s="230"/>
      <c r="AC716" s="230"/>
      <c r="AD716" s="239"/>
    </row>
    <row r="717" spans="1:30" ht="20.100000000000001" customHeight="1" x14ac:dyDescent="0.25">
      <c r="A717" s="230"/>
      <c r="B717" s="231"/>
      <c r="C717" s="231"/>
      <c r="D717" s="231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30"/>
      <c r="S717" s="239"/>
      <c r="T717" s="230"/>
      <c r="U717" s="230"/>
      <c r="V717" s="230"/>
      <c r="W717" s="230"/>
      <c r="X717" s="239"/>
      <c r="Y717" s="239"/>
      <c r="Z717" s="230"/>
      <c r="AA717" s="230"/>
      <c r="AB717" s="230"/>
      <c r="AC717" s="230"/>
      <c r="AD717" s="239"/>
    </row>
    <row r="718" spans="1:30" ht="20.100000000000001" customHeight="1" x14ac:dyDescent="0.25">
      <c r="A718" s="230"/>
      <c r="B718" s="231"/>
      <c r="C718" s="231"/>
      <c r="D718" s="231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30"/>
      <c r="S718" s="239"/>
      <c r="T718" s="230"/>
      <c r="U718" s="230"/>
      <c r="V718" s="230"/>
      <c r="W718" s="230"/>
      <c r="X718" s="239"/>
      <c r="Y718" s="239"/>
      <c r="Z718" s="230"/>
      <c r="AA718" s="230"/>
      <c r="AB718" s="230"/>
      <c r="AC718" s="230"/>
      <c r="AD718" s="239"/>
    </row>
    <row r="719" spans="1:30" ht="20.100000000000001" customHeight="1" x14ac:dyDescent="0.25">
      <c r="A719" s="230"/>
      <c r="B719" s="231"/>
      <c r="C719" s="231"/>
      <c r="D719" s="231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30"/>
      <c r="S719" s="239"/>
      <c r="T719" s="230"/>
      <c r="U719" s="230"/>
      <c r="V719" s="230"/>
      <c r="W719" s="230"/>
      <c r="X719" s="239"/>
      <c r="Y719" s="239"/>
      <c r="Z719" s="230"/>
      <c r="AA719" s="230"/>
      <c r="AB719" s="230"/>
      <c r="AC719" s="230"/>
      <c r="AD719" s="239"/>
    </row>
    <row r="720" spans="1:30" ht="20.100000000000001" customHeight="1" x14ac:dyDescent="0.25">
      <c r="A720" s="230"/>
      <c r="B720" s="231"/>
      <c r="C720" s="231"/>
      <c r="D720" s="231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30"/>
      <c r="S720" s="239"/>
      <c r="T720" s="230"/>
      <c r="U720" s="230"/>
      <c r="V720" s="230"/>
      <c r="W720" s="230"/>
      <c r="X720" s="239"/>
      <c r="Y720" s="239"/>
      <c r="Z720" s="230"/>
      <c r="AA720" s="230"/>
      <c r="AB720" s="230"/>
      <c r="AC720" s="230"/>
      <c r="AD720" s="239"/>
    </row>
    <row r="721" spans="1:30" ht="20.100000000000001" customHeight="1" x14ac:dyDescent="0.25">
      <c r="A721" s="230"/>
      <c r="B721" s="231"/>
      <c r="C721" s="231"/>
      <c r="D721" s="231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30"/>
      <c r="S721" s="239"/>
      <c r="T721" s="230"/>
      <c r="U721" s="230"/>
      <c r="V721" s="230"/>
      <c r="W721" s="230"/>
      <c r="X721" s="239"/>
      <c r="Y721" s="239"/>
      <c r="Z721" s="230"/>
      <c r="AA721" s="230"/>
      <c r="AB721" s="230"/>
      <c r="AC721" s="230"/>
      <c r="AD721" s="239"/>
    </row>
    <row r="722" spans="1:30" ht="20.100000000000001" customHeight="1" x14ac:dyDescent="0.25">
      <c r="A722" s="230"/>
      <c r="B722" s="231"/>
      <c r="C722" s="231"/>
      <c r="D722" s="231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30"/>
      <c r="S722" s="239"/>
      <c r="T722" s="230"/>
      <c r="U722" s="230"/>
      <c r="V722" s="230"/>
      <c r="W722" s="230"/>
      <c r="X722" s="239"/>
      <c r="Y722" s="239"/>
      <c r="Z722" s="230"/>
      <c r="AA722" s="230"/>
      <c r="AB722" s="230"/>
      <c r="AC722" s="230"/>
      <c r="AD722" s="239"/>
    </row>
    <row r="723" spans="1:30" ht="20.100000000000001" customHeight="1" x14ac:dyDescent="0.25">
      <c r="A723" s="230"/>
      <c r="B723" s="231"/>
      <c r="C723" s="231"/>
      <c r="D723" s="231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30"/>
      <c r="S723" s="239"/>
      <c r="T723" s="230"/>
      <c r="U723" s="230"/>
      <c r="V723" s="230"/>
      <c r="W723" s="230"/>
      <c r="X723" s="239"/>
      <c r="Y723" s="239"/>
      <c r="Z723" s="230"/>
      <c r="AA723" s="230"/>
      <c r="AB723" s="230"/>
      <c r="AC723" s="230"/>
      <c r="AD723" s="239"/>
    </row>
    <row r="724" spans="1:30" ht="20.100000000000001" customHeight="1" x14ac:dyDescent="0.25">
      <c r="A724" s="230"/>
      <c r="B724" s="231"/>
      <c r="C724" s="231"/>
      <c r="D724" s="231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30"/>
      <c r="S724" s="239"/>
      <c r="T724" s="230"/>
      <c r="U724" s="230"/>
      <c r="V724" s="230"/>
      <c r="W724" s="230"/>
      <c r="X724" s="239"/>
      <c r="Y724" s="239"/>
      <c r="Z724" s="230"/>
      <c r="AA724" s="230"/>
      <c r="AB724" s="230"/>
      <c r="AC724" s="230"/>
      <c r="AD724" s="239"/>
    </row>
    <row r="725" spans="1:30" ht="20.100000000000001" customHeight="1" x14ac:dyDescent="0.25">
      <c r="A725" s="230"/>
      <c r="B725" s="231"/>
      <c r="C725" s="231"/>
      <c r="D725" s="231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30"/>
      <c r="S725" s="239"/>
      <c r="T725" s="230"/>
      <c r="U725" s="230"/>
      <c r="V725" s="230"/>
      <c r="W725" s="230"/>
      <c r="X725" s="239"/>
      <c r="Y725" s="239"/>
      <c r="Z725" s="230"/>
      <c r="AA725" s="230"/>
      <c r="AB725" s="230"/>
      <c r="AC725" s="230"/>
      <c r="AD725" s="239"/>
    </row>
    <row r="726" spans="1:30" ht="20.100000000000001" customHeight="1" x14ac:dyDescent="0.25">
      <c r="A726" s="230"/>
      <c r="B726" s="231"/>
      <c r="C726" s="231"/>
      <c r="D726" s="231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30"/>
      <c r="S726" s="239"/>
      <c r="T726" s="230"/>
      <c r="U726" s="230"/>
      <c r="V726" s="230"/>
      <c r="W726" s="230"/>
      <c r="X726" s="239"/>
      <c r="Y726" s="239"/>
      <c r="Z726" s="230"/>
      <c r="AA726" s="230"/>
      <c r="AB726" s="230"/>
      <c r="AC726" s="230"/>
      <c r="AD726" s="239"/>
    </row>
    <row r="727" spans="1:30" ht="20.100000000000001" customHeight="1" x14ac:dyDescent="0.25">
      <c r="A727" s="230"/>
      <c r="B727" s="231"/>
      <c r="C727" s="231"/>
      <c r="D727" s="231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30"/>
      <c r="S727" s="239"/>
      <c r="T727" s="230"/>
      <c r="U727" s="230"/>
      <c r="V727" s="230"/>
      <c r="W727" s="230"/>
      <c r="X727" s="239"/>
      <c r="Y727" s="239"/>
      <c r="Z727" s="230"/>
      <c r="AA727" s="230"/>
      <c r="AB727" s="230"/>
      <c r="AC727" s="230"/>
      <c r="AD727" s="239"/>
    </row>
    <row r="728" spans="1:30" ht="20.100000000000001" customHeight="1" x14ac:dyDescent="0.25">
      <c r="A728" s="230"/>
      <c r="B728" s="231"/>
      <c r="C728" s="231"/>
      <c r="D728" s="231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30"/>
      <c r="S728" s="239"/>
      <c r="T728" s="230"/>
      <c r="U728" s="230"/>
      <c r="V728" s="230"/>
      <c r="W728" s="230"/>
      <c r="X728" s="239"/>
      <c r="Y728" s="239"/>
      <c r="Z728" s="230"/>
      <c r="AA728" s="230"/>
      <c r="AB728" s="230"/>
      <c r="AC728" s="230"/>
      <c r="AD728" s="239"/>
    </row>
    <row r="729" spans="1:30" ht="20.100000000000001" customHeight="1" x14ac:dyDescent="0.25">
      <c r="A729" s="230"/>
      <c r="B729" s="231"/>
      <c r="C729" s="231"/>
      <c r="D729" s="231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30"/>
      <c r="S729" s="239"/>
      <c r="T729" s="230"/>
      <c r="U729" s="230"/>
      <c r="V729" s="230"/>
      <c r="W729" s="230"/>
      <c r="X729" s="239"/>
      <c r="Y729" s="239"/>
      <c r="Z729" s="230"/>
      <c r="AA729" s="230"/>
      <c r="AB729" s="230"/>
      <c r="AC729" s="230"/>
      <c r="AD729" s="239"/>
    </row>
    <row r="730" spans="1:30" ht="20.100000000000001" customHeight="1" x14ac:dyDescent="0.25">
      <c r="A730" s="230"/>
      <c r="B730" s="231"/>
      <c r="C730" s="231"/>
      <c r="D730" s="231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30"/>
      <c r="S730" s="239"/>
      <c r="T730" s="230"/>
      <c r="U730" s="230"/>
      <c r="V730" s="230"/>
      <c r="W730" s="230"/>
      <c r="X730" s="239"/>
      <c r="Y730" s="239"/>
      <c r="Z730" s="230"/>
      <c r="AA730" s="230"/>
      <c r="AB730" s="230"/>
      <c r="AC730" s="230"/>
      <c r="AD730" s="239"/>
    </row>
    <row r="731" spans="1:30" ht="20.100000000000001" customHeight="1" x14ac:dyDescent="0.25">
      <c r="A731" s="230"/>
      <c r="B731" s="231"/>
      <c r="C731" s="231"/>
      <c r="D731" s="231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30"/>
      <c r="S731" s="239"/>
      <c r="T731" s="230"/>
      <c r="U731" s="230"/>
      <c r="V731" s="230"/>
      <c r="W731" s="230"/>
      <c r="X731" s="239"/>
      <c r="Y731" s="239"/>
      <c r="Z731" s="230"/>
      <c r="AA731" s="230"/>
      <c r="AB731" s="230"/>
      <c r="AC731" s="230"/>
      <c r="AD731" s="239"/>
    </row>
    <row r="732" spans="1:30" ht="20.100000000000001" customHeight="1" x14ac:dyDescent="0.25">
      <c r="A732" s="230"/>
      <c r="B732" s="231"/>
      <c r="C732" s="231"/>
      <c r="D732" s="231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30"/>
      <c r="S732" s="239"/>
      <c r="T732" s="230"/>
      <c r="U732" s="230"/>
      <c r="V732" s="230"/>
      <c r="W732" s="230"/>
      <c r="X732" s="239"/>
      <c r="Y732" s="239"/>
      <c r="Z732" s="230"/>
      <c r="AA732" s="230"/>
      <c r="AB732" s="230"/>
      <c r="AC732" s="230"/>
      <c r="AD732" s="239"/>
    </row>
    <row r="733" spans="1:30" ht="20.100000000000001" customHeight="1" x14ac:dyDescent="0.25">
      <c r="A733" s="230"/>
      <c r="B733" s="231"/>
      <c r="C733" s="231"/>
      <c r="D733" s="231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30"/>
      <c r="S733" s="239"/>
      <c r="T733" s="230"/>
      <c r="U733" s="230"/>
      <c r="V733" s="230"/>
      <c r="W733" s="230"/>
      <c r="X733" s="239"/>
      <c r="Y733" s="239"/>
      <c r="Z733" s="230"/>
      <c r="AA733" s="230"/>
      <c r="AB733" s="230"/>
      <c r="AC733" s="230"/>
      <c r="AD733" s="239"/>
    </row>
    <row r="734" spans="1:30" ht="20.100000000000001" customHeight="1" x14ac:dyDescent="0.25">
      <c r="A734" s="230"/>
      <c r="B734" s="231"/>
      <c r="C734" s="231"/>
      <c r="D734" s="231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30"/>
      <c r="S734" s="239"/>
      <c r="T734" s="230"/>
      <c r="U734" s="230"/>
      <c r="V734" s="230"/>
      <c r="W734" s="230"/>
      <c r="X734" s="239"/>
      <c r="Y734" s="239"/>
      <c r="Z734" s="230"/>
      <c r="AA734" s="230"/>
      <c r="AB734" s="230"/>
      <c r="AC734" s="230"/>
      <c r="AD734" s="239"/>
    </row>
    <row r="735" spans="1:30" ht="20.100000000000001" customHeight="1" x14ac:dyDescent="0.25">
      <c r="A735" s="230"/>
      <c r="B735" s="231"/>
      <c r="C735" s="231"/>
      <c r="D735" s="231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30"/>
      <c r="S735" s="239"/>
      <c r="T735" s="230"/>
      <c r="U735" s="230"/>
      <c r="V735" s="230"/>
      <c r="W735" s="230"/>
      <c r="X735" s="239"/>
      <c r="Y735" s="239"/>
      <c r="Z735" s="230"/>
      <c r="AA735" s="230"/>
      <c r="AB735" s="230"/>
      <c r="AC735" s="230"/>
      <c r="AD735" s="239"/>
    </row>
    <row r="736" spans="1:30" ht="20.100000000000001" customHeight="1" x14ac:dyDescent="0.25">
      <c r="A736" s="230"/>
      <c r="B736" s="231"/>
      <c r="C736" s="231"/>
      <c r="D736" s="231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30"/>
      <c r="S736" s="239"/>
      <c r="T736" s="230"/>
      <c r="U736" s="230"/>
      <c r="V736" s="230"/>
      <c r="W736" s="230"/>
      <c r="X736" s="239"/>
      <c r="Y736" s="239"/>
      <c r="Z736" s="230"/>
      <c r="AA736" s="230"/>
      <c r="AB736" s="230"/>
      <c r="AC736" s="230"/>
      <c r="AD736" s="239"/>
    </row>
    <row r="737" spans="1:30" ht="20.100000000000001" customHeight="1" x14ac:dyDescent="0.25">
      <c r="A737" s="230"/>
      <c r="B737" s="231"/>
      <c r="C737" s="231"/>
      <c r="D737" s="231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30"/>
      <c r="S737" s="239"/>
      <c r="T737" s="230"/>
      <c r="U737" s="230"/>
      <c r="V737" s="230"/>
      <c r="W737" s="230"/>
      <c r="X737" s="239"/>
      <c r="Y737" s="239"/>
      <c r="Z737" s="230"/>
      <c r="AA737" s="230"/>
      <c r="AB737" s="230"/>
      <c r="AC737" s="230"/>
      <c r="AD737" s="239"/>
    </row>
    <row r="738" spans="1:30" ht="20.100000000000001" customHeight="1" x14ac:dyDescent="0.25">
      <c r="A738" s="230"/>
      <c r="B738" s="231"/>
      <c r="C738" s="231"/>
      <c r="D738" s="231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30"/>
      <c r="S738" s="239"/>
      <c r="T738" s="230"/>
      <c r="U738" s="230"/>
      <c r="V738" s="230"/>
      <c r="W738" s="230"/>
      <c r="X738" s="239"/>
      <c r="Y738" s="239"/>
      <c r="Z738" s="230"/>
      <c r="AA738" s="230"/>
      <c r="AB738" s="230"/>
      <c r="AC738" s="230"/>
      <c r="AD738" s="239"/>
    </row>
    <row r="739" spans="1:30" ht="20.100000000000001" customHeight="1" x14ac:dyDescent="0.25">
      <c r="A739" s="230"/>
      <c r="B739" s="231"/>
      <c r="C739" s="231"/>
      <c r="D739" s="231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30"/>
      <c r="S739" s="239"/>
      <c r="T739" s="230"/>
      <c r="U739" s="230"/>
      <c r="V739" s="230"/>
      <c r="W739" s="230"/>
      <c r="X739" s="239"/>
      <c r="Y739" s="239"/>
      <c r="Z739" s="230"/>
      <c r="AA739" s="230"/>
      <c r="AB739" s="230"/>
      <c r="AC739" s="230"/>
      <c r="AD739" s="239"/>
    </row>
    <row r="740" spans="1:30" ht="20.100000000000001" customHeight="1" x14ac:dyDescent="0.25">
      <c r="A740" s="230"/>
      <c r="B740" s="231"/>
      <c r="C740" s="231"/>
      <c r="D740" s="231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30"/>
      <c r="S740" s="239"/>
      <c r="T740" s="230"/>
      <c r="U740" s="230"/>
      <c r="V740" s="230"/>
      <c r="W740" s="230"/>
      <c r="X740" s="239"/>
      <c r="Y740" s="239"/>
      <c r="Z740" s="230"/>
      <c r="AA740" s="230"/>
      <c r="AB740" s="230"/>
      <c r="AC740" s="230"/>
      <c r="AD740" s="239"/>
    </row>
    <row r="741" spans="1:30" ht="20.100000000000001" customHeight="1" x14ac:dyDescent="0.25">
      <c r="A741" s="230"/>
      <c r="B741" s="231"/>
      <c r="C741" s="231"/>
      <c r="D741" s="231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30"/>
      <c r="S741" s="239"/>
      <c r="T741" s="230"/>
      <c r="U741" s="230"/>
      <c r="V741" s="230"/>
      <c r="W741" s="230"/>
      <c r="X741" s="239"/>
      <c r="Y741" s="239"/>
      <c r="Z741" s="230"/>
      <c r="AA741" s="230"/>
      <c r="AB741" s="230"/>
      <c r="AC741" s="230"/>
      <c r="AD741" s="239"/>
    </row>
    <row r="742" spans="1:30" ht="20.100000000000001" customHeight="1" x14ac:dyDescent="0.25">
      <c r="A742" s="230"/>
      <c r="B742" s="231"/>
      <c r="C742" s="231"/>
      <c r="D742" s="231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30"/>
      <c r="S742" s="239"/>
      <c r="T742" s="230"/>
      <c r="U742" s="230"/>
      <c r="V742" s="230"/>
      <c r="W742" s="230"/>
      <c r="X742" s="239"/>
      <c r="Y742" s="239"/>
      <c r="Z742" s="230"/>
      <c r="AA742" s="230"/>
      <c r="AB742" s="230"/>
      <c r="AC742" s="230"/>
      <c r="AD742" s="239"/>
    </row>
    <row r="743" spans="1:30" ht="20.100000000000001" customHeight="1" x14ac:dyDescent="0.25">
      <c r="A743" s="230"/>
      <c r="B743" s="231"/>
      <c r="C743" s="231"/>
      <c r="D743" s="231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30"/>
      <c r="S743" s="239"/>
      <c r="T743" s="230"/>
      <c r="U743" s="230"/>
      <c r="V743" s="230"/>
      <c r="W743" s="230"/>
      <c r="X743" s="239"/>
      <c r="Y743" s="239"/>
      <c r="Z743" s="230"/>
      <c r="AA743" s="230"/>
      <c r="AB743" s="230"/>
      <c r="AC743" s="230"/>
      <c r="AD743" s="239"/>
    </row>
    <row r="744" spans="1:30" ht="20.100000000000001" customHeight="1" x14ac:dyDescent="0.25">
      <c r="A744" s="230"/>
      <c r="B744" s="231"/>
      <c r="C744" s="231"/>
      <c r="D744" s="231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30"/>
      <c r="S744" s="239"/>
      <c r="T744" s="230"/>
      <c r="U744" s="230"/>
      <c r="V744" s="230"/>
      <c r="W744" s="230"/>
      <c r="X744" s="239"/>
      <c r="Y744" s="239"/>
      <c r="Z744" s="230"/>
      <c r="AA744" s="230"/>
      <c r="AB744" s="230"/>
      <c r="AC744" s="230"/>
      <c r="AD744" s="239"/>
    </row>
    <row r="745" spans="1:30" ht="20.100000000000001" customHeight="1" x14ac:dyDescent="0.25">
      <c r="A745" s="230"/>
      <c r="B745" s="231"/>
      <c r="C745" s="231"/>
      <c r="D745" s="231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30"/>
      <c r="S745" s="239"/>
      <c r="T745" s="230"/>
      <c r="U745" s="230"/>
      <c r="V745" s="230"/>
      <c r="W745" s="230"/>
      <c r="X745" s="239"/>
      <c r="Y745" s="239"/>
      <c r="Z745" s="230"/>
      <c r="AA745" s="230"/>
      <c r="AB745" s="230"/>
      <c r="AC745" s="230"/>
      <c r="AD745" s="239"/>
    </row>
    <row r="746" spans="1:30" ht="20.100000000000001" customHeight="1" x14ac:dyDescent="0.25">
      <c r="A746" s="230"/>
      <c r="B746" s="231"/>
      <c r="C746" s="231"/>
      <c r="D746" s="231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30"/>
      <c r="S746" s="239"/>
      <c r="T746" s="230"/>
      <c r="U746" s="230"/>
      <c r="V746" s="230"/>
      <c r="W746" s="230"/>
      <c r="X746" s="239"/>
      <c r="Y746" s="239"/>
      <c r="Z746" s="230"/>
      <c r="AA746" s="230"/>
      <c r="AB746" s="230"/>
      <c r="AC746" s="230"/>
      <c r="AD746" s="239"/>
    </row>
    <row r="747" spans="1:30" ht="20.100000000000001" customHeight="1" x14ac:dyDescent="0.25">
      <c r="A747" s="230"/>
      <c r="B747" s="231"/>
      <c r="C747" s="231"/>
      <c r="D747" s="231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30"/>
      <c r="S747" s="239"/>
      <c r="T747" s="230"/>
      <c r="U747" s="230"/>
      <c r="V747" s="230"/>
      <c r="W747" s="230"/>
      <c r="X747" s="239"/>
      <c r="Y747" s="239"/>
      <c r="Z747" s="230"/>
      <c r="AA747" s="230"/>
      <c r="AB747" s="230"/>
      <c r="AC747" s="230"/>
      <c r="AD747" s="239"/>
    </row>
    <row r="748" spans="1:30" ht="20.100000000000001" customHeight="1" x14ac:dyDescent="0.25">
      <c r="A748" s="230"/>
      <c r="B748" s="231"/>
      <c r="C748" s="231"/>
      <c r="D748" s="231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30"/>
      <c r="S748" s="239"/>
      <c r="T748" s="230"/>
      <c r="U748" s="230"/>
      <c r="V748" s="230"/>
      <c r="W748" s="230"/>
      <c r="X748" s="239"/>
      <c r="Y748" s="239"/>
      <c r="Z748" s="230"/>
      <c r="AA748" s="230"/>
      <c r="AB748" s="230"/>
      <c r="AC748" s="230"/>
      <c r="AD748" s="239"/>
    </row>
    <row r="749" spans="1:30" ht="20.100000000000001" customHeight="1" x14ac:dyDescent="0.25">
      <c r="A749" s="230"/>
      <c r="B749" s="231"/>
      <c r="C749" s="231"/>
      <c r="D749" s="231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30"/>
      <c r="S749" s="239"/>
      <c r="T749" s="230"/>
      <c r="U749" s="230"/>
      <c r="V749" s="230"/>
      <c r="W749" s="230"/>
      <c r="X749" s="239"/>
      <c r="Y749" s="239"/>
      <c r="Z749" s="230"/>
      <c r="AA749" s="230"/>
      <c r="AB749" s="230"/>
      <c r="AC749" s="230"/>
      <c r="AD749" s="239"/>
    </row>
    <row r="750" spans="1:30" ht="20.100000000000001" customHeight="1" x14ac:dyDescent="0.25">
      <c r="A750" s="230"/>
      <c r="B750" s="231"/>
      <c r="C750" s="231"/>
      <c r="D750" s="231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30"/>
      <c r="S750" s="239"/>
      <c r="T750" s="230"/>
      <c r="U750" s="230"/>
      <c r="V750" s="230"/>
      <c r="W750" s="230"/>
      <c r="X750" s="239"/>
      <c r="Y750" s="239"/>
      <c r="Z750" s="230"/>
      <c r="AA750" s="230"/>
      <c r="AB750" s="230"/>
      <c r="AC750" s="230"/>
      <c r="AD750" s="239"/>
    </row>
    <row r="751" spans="1:30" ht="20.100000000000001" customHeight="1" x14ac:dyDescent="0.25">
      <c r="A751" s="230"/>
      <c r="B751" s="231"/>
      <c r="C751" s="231"/>
      <c r="D751" s="231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30"/>
      <c r="S751" s="239"/>
      <c r="T751" s="230"/>
      <c r="U751" s="230"/>
      <c r="V751" s="230"/>
      <c r="W751" s="230"/>
      <c r="X751" s="239"/>
      <c r="Y751" s="239"/>
      <c r="Z751" s="230"/>
      <c r="AA751" s="230"/>
      <c r="AB751" s="230"/>
      <c r="AC751" s="230"/>
      <c r="AD751" s="239"/>
    </row>
    <row r="752" spans="1:30" ht="20.100000000000001" customHeight="1" x14ac:dyDescent="0.25">
      <c r="A752" s="230"/>
      <c r="B752" s="231"/>
      <c r="C752" s="231"/>
      <c r="D752" s="231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30"/>
      <c r="S752" s="239"/>
      <c r="T752" s="230"/>
      <c r="U752" s="230"/>
      <c r="V752" s="230"/>
      <c r="W752" s="230"/>
      <c r="X752" s="239"/>
      <c r="Y752" s="239"/>
      <c r="Z752" s="230"/>
      <c r="AA752" s="230"/>
      <c r="AB752" s="230"/>
      <c r="AC752" s="230"/>
      <c r="AD752" s="239"/>
    </row>
    <row r="753" spans="1:30" ht="20.100000000000001" customHeight="1" x14ac:dyDescent="0.25">
      <c r="A753" s="230"/>
      <c r="B753" s="231"/>
      <c r="C753" s="231"/>
      <c r="D753" s="231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30"/>
      <c r="S753" s="239"/>
      <c r="T753" s="230"/>
      <c r="U753" s="230"/>
      <c r="V753" s="230"/>
      <c r="W753" s="230"/>
      <c r="X753" s="239"/>
      <c r="Y753" s="239"/>
      <c r="Z753" s="230"/>
      <c r="AA753" s="230"/>
      <c r="AB753" s="230"/>
      <c r="AC753" s="230"/>
      <c r="AD753" s="239"/>
    </row>
    <row r="754" spans="1:30" ht="20.100000000000001" customHeight="1" x14ac:dyDescent="0.25">
      <c r="A754" s="230"/>
      <c r="B754" s="231"/>
      <c r="C754" s="231"/>
      <c r="D754" s="231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30"/>
      <c r="S754" s="239"/>
      <c r="T754" s="230"/>
      <c r="U754" s="230"/>
      <c r="V754" s="230"/>
      <c r="W754" s="230"/>
      <c r="X754" s="239"/>
      <c r="Y754" s="239"/>
      <c r="Z754" s="230"/>
      <c r="AA754" s="230"/>
      <c r="AB754" s="230"/>
      <c r="AC754" s="230"/>
      <c r="AD754" s="239"/>
    </row>
    <row r="755" spans="1:30" ht="20.100000000000001" customHeight="1" x14ac:dyDescent="0.25">
      <c r="A755" s="230"/>
      <c r="B755" s="231"/>
      <c r="C755" s="231"/>
      <c r="D755" s="231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30"/>
      <c r="S755" s="239"/>
      <c r="T755" s="230"/>
      <c r="U755" s="230"/>
      <c r="V755" s="230"/>
      <c r="W755" s="230"/>
      <c r="X755" s="239"/>
      <c r="Y755" s="239"/>
      <c r="Z755" s="230"/>
      <c r="AA755" s="230"/>
      <c r="AB755" s="230"/>
      <c r="AC755" s="230"/>
      <c r="AD755" s="239"/>
    </row>
    <row r="756" spans="1:30" ht="20.100000000000001" customHeight="1" x14ac:dyDescent="0.25">
      <c r="A756" s="230"/>
      <c r="B756" s="231"/>
      <c r="C756" s="231"/>
      <c r="D756" s="231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30"/>
      <c r="S756" s="239"/>
      <c r="T756" s="230"/>
      <c r="U756" s="230"/>
      <c r="V756" s="230"/>
      <c r="W756" s="230"/>
      <c r="X756" s="239"/>
      <c r="Y756" s="239"/>
      <c r="Z756" s="230"/>
      <c r="AA756" s="230"/>
      <c r="AB756" s="230"/>
      <c r="AC756" s="230"/>
      <c r="AD756" s="239"/>
    </row>
    <row r="757" spans="1:30" ht="20.100000000000001" customHeight="1" x14ac:dyDescent="0.25">
      <c r="A757" s="230"/>
      <c r="B757" s="231"/>
      <c r="C757" s="231"/>
      <c r="D757" s="231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30"/>
      <c r="S757" s="239"/>
      <c r="T757" s="230"/>
      <c r="U757" s="230"/>
      <c r="V757" s="230"/>
      <c r="W757" s="230"/>
      <c r="X757" s="239"/>
      <c r="Y757" s="239"/>
      <c r="Z757" s="230"/>
      <c r="AA757" s="230"/>
      <c r="AB757" s="230"/>
      <c r="AC757" s="230"/>
      <c r="AD757" s="239"/>
    </row>
    <row r="758" spans="1:30" ht="20.100000000000001" customHeight="1" x14ac:dyDescent="0.25">
      <c r="A758" s="230"/>
      <c r="B758" s="231"/>
      <c r="C758" s="231"/>
      <c r="D758" s="231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30"/>
      <c r="S758" s="239"/>
      <c r="T758" s="230"/>
      <c r="U758" s="230"/>
      <c r="V758" s="230"/>
      <c r="W758" s="230"/>
      <c r="X758" s="239"/>
      <c r="Y758" s="239"/>
      <c r="Z758" s="230"/>
      <c r="AA758" s="230"/>
      <c r="AB758" s="230"/>
      <c r="AC758" s="230"/>
      <c r="AD758" s="239"/>
    </row>
    <row r="759" spans="1:30" ht="20.100000000000001" customHeight="1" x14ac:dyDescent="0.25">
      <c r="A759" s="230"/>
      <c r="B759" s="231"/>
      <c r="C759" s="231"/>
      <c r="D759" s="231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30"/>
      <c r="S759" s="239"/>
      <c r="T759" s="230"/>
      <c r="U759" s="230"/>
      <c r="V759" s="230"/>
      <c r="W759" s="230"/>
      <c r="X759" s="239"/>
      <c r="Y759" s="239"/>
      <c r="Z759" s="230"/>
      <c r="AA759" s="230"/>
      <c r="AB759" s="230"/>
      <c r="AC759" s="230"/>
      <c r="AD759" s="239"/>
    </row>
    <row r="760" spans="1:30" ht="20.100000000000001" customHeight="1" x14ac:dyDescent="0.25">
      <c r="A760" s="230"/>
      <c r="B760" s="231"/>
      <c r="C760" s="231"/>
      <c r="D760" s="231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30"/>
      <c r="S760" s="239"/>
      <c r="T760" s="230"/>
      <c r="U760" s="230"/>
      <c r="V760" s="230"/>
      <c r="W760" s="230"/>
      <c r="X760" s="239"/>
      <c r="Y760" s="239"/>
      <c r="Z760" s="230"/>
      <c r="AA760" s="230"/>
      <c r="AB760" s="230"/>
      <c r="AC760" s="230"/>
      <c r="AD760" s="239"/>
    </row>
    <row r="761" spans="1:30" ht="20.100000000000001" customHeight="1" x14ac:dyDescent="0.25">
      <c r="A761" s="230"/>
      <c r="B761" s="231"/>
      <c r="C761" s="231"/>
      <c r="D761" s="231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30"/>
      <c r="S761" s="239"/>
      <c r="T761" s="230"/>
      <c r="U761" s="230"/>
      <c r="V761" s="230"/>
      <c r="W761" s="230"/>
      <c r="X761" s="239"/>
      <c r="Y761" s="239"/>
      <c r="Z761" s="230"/>
      <c r="AA761" s="230"/>
      <c r="AB761" s="230"/>
      <c r="AC761" s="230"/>
      <c r="AD761" s="239"/>
    </row>
    <row r="762" spans="1:30" ht="20.100000000000001" customHeight="1" x14ac:dyDescent="0.25">
      <c r="A762" s="230"/>
      <c r="B762" s="231"/>
      <c r="C762" s="231"/>
      <c r="D762" s="231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30"/>
      <c r="S762" s="239"/>
      <c r="T762" s="230"/>
      <c r="U762" s="230"/>
      <c r="V762" s="230"/>
      <c r="W762" s="230"/>
      <c r="X762" s="239"/>
      <c r="Y762" s="239"/>
      <c r="Z762" s="230"/>
      <c r="AA762" s="230"/>
      <c r="AB762" s="230"/>
      <c r="AC762" s="230"/>
      <c r="AD762" s="239"/>
    </row>
    <row r="763" spans="1:30" ht="20.100000000000001" customHeight="1" x14ac:dyDescent="0.25">
      <c r="A763" s="230"/>
      <c r="B763" s="231"/>
      <c r="C763" s="231"/>
      <c r="D763" s="231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30"/>
      <c r="S763" s="239"/>
      <c r="T763" s="230"/>
      <c r="U763" s="230"/>
      <c r="V763" s="230"/>
      <c r="W763" s="230"/>
      <c r="X763" s="239"/>
      <c r="Y763" s="239"/>
      <c r="Z763" s="230"/>
      <c r="AA763" s="230"/>
      <c r="AB763" s="230"/>
      <c r="AC763" s="230"/>
      <c r="AD763" s="239"/>
    </row>
    <row r="764" spans="1:30" ht="20.100000000000001" customHeight="1" x14ac:dyDescent="0.25">
      <c r="A764" s="230"/>
      <c r="B764" s="231"/>
      <c r="C764" s="231"/>
      <c r="D764" s="231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30"/>
      <c r="S764" s="239"/>
      <c r="T764" s="230"/>
      <c r="U764" s="230"/>
      <c r="V764" s="230"/>
      <c r="W764" s="230"/>
      <c r="X764" s="239"/>
      <c r="Y764" s="239"/>
      <c r="Z764" s="230"/>
      <c r="AA764" s="230"/>
      <c r="AB764" s="230"/>
      <c r="AC764" s="230"/>
      <c r="AD764" s="239"/>
    </row>
    <row r="765" spans="1:30" ht="20.100000000000001" customHeight="1" x14ac:dyDescent="0.25">
      <c r="A765" s="230"/>
      <c r="B765" s="231"/>
      <c r="C765" s="231"/>
      <c r="D765" s="231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30"/>
      <c r="S765" s="239"/>
      <c r="T765" s="230"/>
      <c r="U765" s="230"/>
      <c r="V765" s="230"/>
      <c r="W765" s="230"/>
      <c r="X765" s="239"/>
      <c r="Y765" s="239"/>
      <c r="Z765" s="230"/>
      <c r="AA765" s="230"/>
      <c r="AB765" s="230"/>
      <c r="AC765" s="230"/>
      <c r="AD765" s="239"/>
    </row>
    <row r="766" spans="1:30" ht="20.100000000000001" customHeight="1" x14ac:dyDescent="0.25">
      <c r="A766" s="230"/>
      <c r="B766" s="231"/>
      <c r="C766" s="231"/>
      <c r="D766" s="231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30"/>
      <c r="S766" s="239"/>
      <c r="T766" s="230"/>
      <c r="U766" s="230"/>
      <c r="V766" s="230"/>
      <c r="W766" s="230"/>
      <c r="X766" s="239"/>
      <c r="Y766" s="239"/>
      <c r="Z766" s="230"/>
      <c r="AA766" s="230"/>
      <c r="AB766" s="230"/>
      <c r="AC766" s="230"/>
      <c r="AD766" s="239"/>
    </row>
    <row r="767" spans="1:30" ht="20.100000000000001" customHeight="1" x14ac:dyDescent="0.25">
      <c r="A767" s="230"/>
      <c r="B767" s="231"/>
      <c r="C767" s="231"/>
      <c r="D767" s="231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30"/>
      <c r="S767" s="239"/>
      <c r="T767" s="230"/>
      <c r="U767" s="230"/>
      <c r="V767" s="230"/>
      <c r="W767" s="230"/>
      <c r="X767" s="239"/>
      <c r="Y767" s="239"/>
      <c r="Z767" s="230"/>
      <c r="AA767" s="230"/>
      <c r="AB767" s="230"/>
      <c r="AC767" s="230"/>
      <c r="AD767" s="239"/>
    </row>
    <row r="768" spans="1:30" ht="20.100000000000001" customHeight="1" x14ac:dyDescent="0.25">
      <c r="A768" s="230"/>
      <c r="B768" s="231"/>
      <c r="C768" s="231"/>
      <c r="D768" s="231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30"/>
      <c r="S768" s="239"/>
      <c r="T768" s="230"/>
      <c r="U768" s="230"/>
      <c r="V768" s="230"/>
      <c r="W768" s="230"/>
      <c r="X768" s="239"/>
      <c r="Y768" s="239"/>
      <c r="Z768" s="230"/>
      <c r="AA768" s="230"/>
      <c r="AB768" s="230"/>
      <c r="AC768" s="230"/>
      <c r="AD768" s="239"/>
    </row>
    <row r="769" spans="1:30" ht="20.100000000000001" customHeight="1" x14ac:dyDescent="0.25">
      <c r="A769" s="230"/>
      <c r="B769" s="231"/>
      <c r="C769" s="231"/>
      <c r="D769" s="231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30"/>
      <c r="S769" s="239"/>
      <c r="T769" s="230"/>
      <c r="U769" s="230"/>
      <c r="V769" s="230"/>
      <c r="W769" s="230"/>
      <c r="X769" s="239"/>
      <c r="Y769" s="239"/>
      <c r="Z769" s="230"/>
      <c r="AA769" s="230"/>
      <c r="AB769" s="230"/>
      <c r="AC769" s="230"/>
      <c r="AD769" s="239"/>
    </row>
    <row r="770" spans="1:30" ht="20.100000000000001" customHeight="1" x14ac:dyDescent="0.25">
      <c r="A770" s="230"/>
      <c r="B770" s="231"/>
      <c r="C770" s="231"/>
      <c r="D770" s="231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30"/>
      <c r="S770" s="239"/>
      <c r="T770" s="230"/>
      <c r="U770" s="230"/>
      <c r="V770" s="230"/>
      <c r="W770" s="230"/>
      <c r="X770" s="239"/>
      <c r="Y770" s="239"/>
      <c r="Z770" s="230"/>
      <c r="AA770" s="230"/>
      <c r="AB770" s="230"/>
      <c r="AC770" s="230"/>
      <c r="AD770" s="239"/>
    </row>
    <row r="771" spans="1:30" ht="20.100000000000001" customHeight="1" x14ac:dyDescent="0.25">
      <c r="A771" s="230"/>
      <c r="B771" s="231"/>
      <c r="C771" s="231"/>
      <c r="D771" s="231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30"/>
      <c r="S771" s="239"/>
      <c r="T771" s="230"/>
      <c r="U771" s="230"/>
      <c r="V771" s="230"/>
      <c r="W771" s="230"/>
      <c r="X771" s="239"/>
      <c r="Y771" s="239"/>
      <c r="Z771" s="230"/>
      <c r="AA771" s="230"/>
      <c r="AB771" s="230"/>
      <c r="AC771" s="230"/>
      <c r="AD771" s="239"/>
    </row>
    <row r="772" spans="1:30" ht="20.100000000000001" customHeight="1" x14ac:dyDescent="0.25">
      <c r="A772" s="230"/>
      <c r="B772" s="231"/>
      <c r="C772" s="231"/>
      <c r="D772" s="231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30"/>
      <c r="S772" s="239"/>
      <c r="T772" s="230"/>
      <c r="U772" s="230"/>
      <c r="V772" s="230"/>
      <c r="W772" s="230"/>
      <c r="X772" s="239"/>
      <c r="Y772" s="239"/>
      <c r="Z772" s="230"/>
      <c r="AA772" s="230"/>
      <c r="AB772" s="230"/>
      <c r="AC772" s="230"/>
      <c r="AD772" s="239"/>
    </row>
    <row r="773" spans="1:30" ht="20.100000000000001" customHeight="1" x14ac:dyDescent="0.25">
      <c r="A773" s="230"/>
      <c r="B773" s="231"/>
      <c r="C773" s="231"/>
      <c r="D773" s="231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30"/>
      <c r="S773" s="239"/>
      <c r="T773" s="230"/>
      <c r="U773" s="230"/>
      <c r="V773" s="230"/>
      <c r="W773" s="230"/>
      <c r="X773" s="239"/>
      <c r="Y773" s="239"/>
      <c r="Z773" s="230"/>
      <c r="AA773" s="230"/>
      <c r="AB773" s="230"/>
      <c r="AC773" s="230"/>
      <c r="AD773" s="239"/>
    </row>
    <row r="774" spans="1:30" ht="20.100000000000001" customHeight="1" x14ac:dyDescent="0.25">
      <c r="A774" s="230"/>
      <c r="B774" s="231"/>
      <c r="C774" s="231"/>
      <c r="D774" s="231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30"/>
      <c r="S774" s="239"/>
      <c r="T774" s="230"/>
      <c r="U774" s="230"/>
      <c r="V774" s="230"/>
      <c r="W774" s="230"/>
      <c r="X774" s="239"/>
      <c r="Y774" s="239"/>
      <c r="Z774" s="230"/>
      <c r="AA774" s="230"/>
      <c r="AB774" s="230"/>
      <c r="AC774" s="230"/>
      <c r="AD774" s="239"/>
    </row>
    <row r="775" spans="1:30" ht="20.100000000000001" customHeight="1" x14ac:dyDescent="0.25">
      <c r="A775" s="230"/>
      <c r="B775" s="231"/>
      <c r="C775" s="231"/>
      <c r="D775" s="231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30"/>
      <c r="S775" s="239"/>
      <c r="T775" s="230"/>
      <c r="U775" s="230"/>
      <c r="V775" s="230"/>
      <c r="W775" s="230"/>
      <c r="X775" s="239"/>
      <c r="Y775" s="239"/>
      <c r="Z775" s="230"/>
      <c r="AA775" s="230"/>
      <c r="AB775" s="230"/>
      <c r="AC775" s="230"/>
      <c r="AD775" s="239"/>
    </row>
    <row r="776" spans="1:30" ht="20.100000000000001" customHeight="1" x14ac:dyDescent="0.25">
      <c r="A776" s="230"/>
      <c r="B776" s="231"/>
      <c r="C776" s="231"/>
      <c r="D776" s="231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30"/>
      <c r="S776" s="239"/>
      <c r="T776" s="230"/>
      <c r="U776" s="230"/>
      <c r="V776" s="230"/>
      <c r="W776" s="230"/>
      <c r="X776" s="239"/>
      <c r="Y776" s="239"/>
      <c r="Z776" s="230"/>
      <c r="AA776" s="230"/>
      <c r="AB776" s="230"/>
      <c r="AC776" s="230"/>
      <c r="AD776" s="239"/>
    </row>
    <row r="777" spans="1:30" ht="20.100000000000001" customHeight="1" x14ac:dyDescent="0.25">
      <c r="A777" s="230"/>
      <c r="B777" s="231"/>
      <c r="C777" s="231"/>
      <c r="D777" s="231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30"/>
      <c r="S777" s="239"/>
      <c r="T777" s="230"/>
      <c r="U777" s="230"/>
      <c r="V777" s="230"/>
      <c r="W777" s="230"/>
      <c r="X777" s="239"/>
      <c r="Y777" s="239"/>
      <c r="Z777" s="230"/>
      <c r="AA777" s="230"/>
      <c r="AB777" s="230"/>
      <c r="AC777" s="230"/>
      <c r="AD777" s="239"/>
    </row>
    <row r="778" spans="1:30" ht="20.100000000000001" customHeight="1" x14ac:dyDescent="0.25">
      <c r="A778" s="230"/>
      <c r="B778" s="231"/>
      <c r="C778" s="231"/>
      <c r="D778" s="231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30"/>
      <c r="S778" s="239"/>
      <c r="T778" s="230"/>
      <c r="U778" s="230"/>
      <c r="V778" s="230"/>
      <c r="W778" s="230"/>
      <c r="X778" s="239"/>
      <c r="Y778" s="239"/>
      <c r="Z778" s="230"/>
      <c r="AA778" s="230"/>
      <c r="AB778" s="230"/>
      <c r="AC778" s="230"/>
      <c r="AD778" s="239"/>
    </row>
    <row r="779" spans="1:30" ht="20.100000000000001" customHeight="1" x14ac:dyDescent="0.25">
      <c r="A779" s="230"/>
      <c r="B779" s="231"/>
      <c r="C779" s="231"/>
      <c r="D779" s="231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30"/>
      <c r="S779" s="239"/>
      <c r="T779" s="230"/>
      <c r="U779" s="230"/>
      <c r="V779" s="230"/>
      <c r="W779" s="230"/>
      <c r="X779" s="239"/>
      <c r="Y779" s="239"/>
      <c r="Z779" s="230"/>
      <c r="AA779" s="230"/>
      <c r="AB779" s="230"/>
      <c r="AC779" s="230"/>
      <c r="AD779" s="239"/>
    </row>
    <row r="780" spans="1:30" ht="20.100000000000001" customHeight="1" x14ac:dyDescent="0.25">
      <c r="A780" s="230"/>
      <c r="B780" s="231"/>
      <c r="C780" s="231"/>
      <c r="D780" s="231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30"/>
      <c r="S780" s="239"/>
      <c r="T780" s="230"/>
      <c r="U780" s="230"/>
      <c r="V780" s="230"/>
      <c r="W780" s="230"/>
      <c r="X780" s="239"/>
      <c r="Y780" s="239"/>
      <c r="Z780" s="230"/>
      <c r="AA780" s="230"/>
      <c r="AB780" s="230"/>
      <c r="AC780" s="230"/>
      <c r="AD780" s="239"/>
    </row>
    <row r="781" spans="1:30" ht="20.100000000000001" customHeight="1" x14ac:dyDescent="0.25">
      <c r="A781" s="230"/>
      <c r="B781" s="231"/>
      <c r="C781" s="231"/>
      <c r="D781" s="231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30"/>
      <c r="S781" s="239"/>
      <c r="T781" s="230"/>
      <c r="U781" s="230"/>
      <c r="V781" s="230"/>
      <c r="W781" s="230"/>
      <c r="X781" s="239"/>
      <c r="Y781" s="239"/>
      <c r="Z781" s="230"/>
      <c r="AA781" s="230"/>
      <c r="AB781" s="230"/>
      <c r="AC781" s="230"/>
      <c r="AD781" s="239"/>
    </row>
    <row r="782" spans="1:30" ht="20.100000000000001" customHeight="1" x14ac:dyDescent="0.25">
      <c r="A782" s="230"/>
      <c r="B782" s="231"/>
      <c r="C782" s="231"/>
      <c r="D782" s="231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30"/>
      <c r="S782" s="239"/>
      <c r="T782" s="230"/>
      <c r="U782" s="230"/>
      <c r="V782" s="230"/>
      <c r="W782" s="230"/>
      <c r="X782" s="239"/>
      <c r="Y782" s="239"/>
      <c r="Z782" s="230"/>
      <c r="AA782" s="230"/>
      <c r="AB782" s="230"/>
      <c r="AC782" s="230"/>
      <c r="AD782" s="239"/>
    </row>
    <row r="783" spans="1:30" ht="20.100000000000001" customHeight="1" x14ac:dyDescent="0.25">
      <c r="A783" s="230"/>
      <c r="B783" s="231"/>
      <c r="C783" s="231"/>
      <c r="D783" s="231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30"/>
      <c r="S783" s="239"/>
      <c r="T783" s="230"/>
      <c r="U783" s="230"/>
      <c r="V783" s="230"/>
      <c r="W783" s="230"/>
      <c r="X783" s="239"/>
      <c r="Y783" s="239"/>
      <c r="Z783" s="230"/>
      <c r="AA783" s="230"/>
      <c r="AB783" s="230"/>
      <c r="AC783" s="230"/>
      <c r="AD783" s="239"/>
    </row>
    <row r="784" spans="1:30" ht="20.100000000000001" customHeight="1" x14ac:dyDescent="0.25">
      <c r="A784" s="230"/>
      <c r="B784" s="231"/>
      <c r="C784" s="231"/>
      <c r="D784" s="231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30"/>
      <c r="S784" s="239"/>
      <c r="T784" s="230"/>
      <c r="U784" s="230"/>
      <c r="V784" s="230"/>
      <c r="W784" s="230"/>
      <c r="X784" s="239"/>
      <c r="Y784" s="239"/>
      <c r="Z784" s="230"/>
      <c r="AA784" s="230"/>
      <c r="AB784" s="230"/>
      <c r="AC784" s="230"/>
      <c r="AD784" s="239"/>
    </row>
    <row r="785" spans="1:30" ht="20.100000000000001" customHeight="1" x14ac:dyDescent="0.25">
      <c r="A785" s="230"/>
      <c r="B785" s="231"/>
      <c r="C785" s="231"/>
      <c r="D785" s="231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30"/>
      <c r="S785" s="239"/>
      <c r="T785" s="230"/>
      <c r="U785" s="230"/>
      <c r="V785" s="230"/>
      <c r="W785" s="230"/>
      <c r="X785" s="239"/>
      <c r="Y785" s="239"/>
      <c r="Z785" s="230"/>
      <c r="AA785" s="230"/>
      <c r="AB785" s="230"/>
      <c r="AC785" s="230"/>
      <c r="AD785" s="239"/>
    </row>
    <row r="786" spans="1:30" ht="20.100000000000001" customHeight="1" x14ac:dyDescent="0.25">
      <c r="A786" s="230"/>
      <c r="B786" s="231"/>
      <c r="C786" s="231"/>
      <c r="D786" s="231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30"/>
      <c r="S786" s="239"/>
      <c r="T786" s="230"/>
      <c r="U786" s="230"/>
      <c r="V786" s="230"/>
      <c r="W786" s="230"/>
      <c r="X786" s="239"/>
      <c r="Y786" s="239"/>
      <c r="Z786" s="230"/>
      <c r="AA786" s="230"/>
      <c r="AB786" s="230"/>
      <c r="AC786" s="230"/>
      <c r="AD786" s="239"/>
    </row>
    <row r="787" spans="1:30" ht="20.100000000000001" customHeight="1" x14ac:dyDescent="0.25">
      <c r="A787" s="230"/>
      <c r="B787" s="231"/>
      <c r="C787" s="231"/>
      <c r="D787" s="231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30"/>
      <c r="S787" s="239"/>
      <c r="T787" s="230"/>
      <c r="U787" s="230"/>
      <c r="V787" s="230"/>
      <c r="W787" s="230"/>
      <c r="X787" s="239"/>
      <c r="Y787" s="239"/>
      <c r="Z787" s="230"/>
      <c r="AA787" s="230"/>
      <c r="AB787" s="230"/>
      <c r="AC787" s="230"/>
      <c r="AD787" s="239"/>
    </row>
    <row r="788" spans="1:30" ht="20.100000000000001" customHeight="1" x14ac:dyDescent="0.25">
      <c r="A788" s="230"/>
      <c r="B788" s="231"/>
      <c r="C788" s="231"/>
      <c r="D788" s="231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30"/>
      <c r="S788" s="239"/>
      <c r="T788" s="230"/>
      <c r="U788" s="230"/>
      <c r="V788" s="230"/>
      <c r="W788" s="230"/>
      <c r="X788" s="239"/>
      <c r="Y788" s="239"/>
      <c r="Z788" s="230"/>
      <c r="AA788" s="230"/>
      <c r="AB788" s="230"/>
      <c r="AC788" s="230"/>
      <c r="AD788" s="239"/>
    </row>
    <row r="789" spans="1:30" ht="20.100000000000001" customHeight="1" x14ac:dyDescent="0.25">
      <c r="A789" s="230"/>
      <c r="B789" s="231"/>
      <c r="C789" s="231"/>
      <c r="D789" s="231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30"/>
      <c r="S789" s="239"/>
      <c r="T789" s="230"/>
      <c r="U789" s="230"/>
      <c r="V789" s="230"/>
      <c r="W789" s="230"/>
      <c r="X789" s="239"/>
      <c r="Y789" s="239"/>
      <c r="Z789" s="230"/>
      <c r="AA789" s="230"/>
      <c r="AB789" s="230"/>
      <c r="AC789" s="230"/>
      <c r="AD789" s="239"/>
    </row>
    <row r="790" spans="1:30" ht="20.100000000000001" customHeight="1" x14ac:dyDescent="0.25">
      <c r="A790" s="230"/>
      <c r="B790" s="231"/>
      <c r="C790" s="231"/>
      <c r="D790" s="231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30"/>
      <c r="S790" s="239"/>
      <c r="T790" s="230"/>
      <c r="U790" s="230"/>
      <c r="V790" s="230"/>
      <c r="W790" s="230"/>
      <c r="X790" s="239"/>
      <c r="Y790" s="239"/>
      <c r="Z790" s="230"/>
      <c r="AA790" s="230"/>
      <c r="AB790" s="230"/>
      <c r="AC790" s="230"/>
      <c r="AD790" s="239"/>
    </row>
    <row r="791" spans="1:30" ht="20.100000000000001" customHeight="1" x14ac:dyDescent="0.25">
      <c r="A791" s="230"/>
      <c r="B791" s="231"/>
      <c r="C791" s="231"/>
      <c r="D791" s="231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30"/>
      <c r="S791" s="239"/>
      <c r="T791" s="230"/>
      <c r="U791" s="230"/>
      <c r="V791" s="230"/>
      <c r="W791" s="230"/>
      <c r="X791" s="239"/>
      <c r="Y791" s="239"/>
      <c r="Z791" s="230"/>
      <c r="AA791" s="230"/>
      <c r="AB791" s="230"/>
      <c r="AC791" s="230"/>
      <c r="AD791" s="239"/>
    </row>
    <row r="792" spans="1:30" ht="20.100000000000001" customHeight="1" x14ac:dyDescent="0.25">
      <c r="A792" s="230"/>
      <c r="B792" s="231"/>
      <c r="C792" s="231"/>
      <c r="D792" s="231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30"/>
      <c r="S792" s="239"/>
      <c r="T792" s="230"/>
      <c r="U792" s="230"/>
      <c r="V792" s="230"/>
      <c r="W792" s="230"/>
      <c r="X792" s="239"/>
      <c r="Y792" s="239"/>
      <c r="Z792" s="230"/>
      <c r="AA792" s="230"/>
      <c r="AB792" s="230"/>
      <c r="AC792" s="230"/>
      <c r="AD792" s="239"/>
    </row>
    <row r="793" spans="1:30" ht="20.100000000000001" customHeight="1" x14ac:dyDescent="0.25">
      <c r="A793" s="230"/>
      <c r="B793" s="231"/>
      <c r="C793" s="231"/>
      <c r="D793" s="231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30"/>
      <c r="S793" s="239"/>
      <c r="T793" s="230"/>
      <c r="U793" s="230"/>
      <c r="V793" s="230"/>
      <c r="W793" s="230"/>
      <c r="X793" s="239"/>
      <c r="Y793" s="239"/>
      <c r="Z793" s="230"/>
      <c r="AA793" s="230"/>
      <c r="AB793" s="230"/>
      <c r="AC793" s="230"/>
      <c r="AD793" s="239"/>
    </row>
    <row r="794" spans="1:30" ht="20.100000000000001" customHeight="1" x14ac:dyDescent="0.25">
      <c r="A794" s="230"/>
      <c r="B794" s="231"/>
      <c r="C794" s="231"/>
      <c r="D794" s="231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30"/>
      <c r="S794" s="239"/>
      <c r="T794" s="230"/>
      <c r="U794" s="230"/>
      <c r="V794" s="230"/>
      <c r="W794" s="230"/>
      <c r="X794" s="239"/>
      <c r="Y794" s="239"/>
      <c r="Z794" s="230"/>
      <c r="AA794" s="230"/>
      <c r="AB794" s="230"/>
      <c r="AC794" s="230"/>
      <c r="AD794" s="239"/>
    </row>
    <row r="795" spans="1:30" ht="20.100000000000001" customHeight="1" x14ac:dyDescent="0.25">
      <c r="A795" s="230"/>
      <c r="B795" s="231"/>
      <c r="C795" s="231"/>
      <c r="D795" s="231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30"/>
      <c r="S795" s="239"/>
      <c r="T795" s="230"/>
      <c r="U795" s="230"/>
      <c r="V795" s="230"/>
      <c r="W795" s="230"/>
      <c r="X795" s="239"/>
      <c r="Y795" s="239"/>
      <c r="Z795" s="230"/>
      <c r="AA795" s="230"/>
      <c r="AB795" s="230"/>
      <c r="AC795" s="230"/>
      <c r="AD795" s="239"/>
    </row>
    <row r="796" spans="1:30" ht="20.100000000000001" customHeight="1" x14ac:dyDescent="0.25">
      <c r="A796" s="230"/>
      <c r="B796" s="231"/>
      <c r="C796" s="231"/>
      <c r="D796" s="231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30"/>
      <c r="S796" s="239"/>
      <c r="T796" s="230"/>
      <c r="U796" s="230"/>
      <c r="V796" s="230"/>
      <c r="W796" s="230"/>
      <c r="X796" s="239"/>
      <c r="Y796" s="239"/>
      <c r="Z796" s="230"/>
      <c r="AA796" s="230"/>
      <c r="AB796" s="230"/>
      <c r="AC796" s="230"/>
      <c r="AD796" s="239"/>
    </row>
    <row r="797" spans="1:30" ht="20.100000000000001" customHeight="1" x14ac:dyDescent="0.25">
      <c r="A797" s="230"/>
      <c r="B797" s="231"/>
      <c r="C797" s="231"/>
      <c r="D797" s="231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30"/>
      <c r="S797" s="239"/>
      <c r="T797" s="230"/>
      <c r="U797" s="230"/>
      <c r="V797" s="230"/>
      <c r="W797" s="230"/>
      <c r="X797" s="239"/>
      <c r="Y797" s="239"/>
      <c r="Z797" s="230"/>
      <c r="AA797" s="230"/>
      <c r="AB797" s="230"/>
      <c r="AC797" s="230"/>
      <c r="AD797" s="239"/>
    </row>
    <row r="798" spans="1:30" ht="20.100000000000001" customHeight="1" x14ac:dyDescent="0.25">
      <c r="A798" s="230"/>
      <c r="B798" s="231"/>
      <c r="C798" s="231"/>
      <c r="D798" s="231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30"/>
      <c r="S798" s="239"/>
      <c r="T798" s="230"/>
      <c r="U798" s="230"/>
      <c r="V798" s="230"/>
      <c r="W798" s="230"/>
      <c r="X798" s="239"/>
      <c r="Y798" s="239"/>
      <c r="Z798" s="230"/>
      <c r="AA798" s="230"/>
      <c r="AB798" s="230"/>
      <c r="AC798" s="230"/>
      <c r="AD798" s="239"/>
    </row>
    <row r="799" spans="1:30" ht="20.100000000000001" customHeight="1" x14ac:dyDescent="0.25">
      <c r="A799" s="230"/>
      <c r="B799" s="231"/>
      <c r="C799" s="231"/>
      <c r="D799" s="231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30"/>
      <c r="S799" s="239"/>
      <c r="T799" s="230"/>
      <c r="U799" s="230"/>
      <c r="V799" s="230"/>
      <c r="W799" s="230"/>
      <c r="X799" s="239"/>
      <c r="Y799" s="239"/>
      <c r="Z799" s="230"/>
      <c r="AA799" s="230"/>
      <c r="AB799" s="230"/>
      <c r="AC799" s="230"/>
      <c r="AD799" s="239"/>
    </row>
    <row r="800" spans="1:30" ht="20.100000000000001" customHeight="1" x14ac:dyDescent="0.25">
      <c r="A800" s="230"/>
      <c r="B800" s="231"/>
      <c r="C800" s="231"/>
      <c r="D800" s="231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30"/>
      <c r="S800" s="239"/>
      <c r="T800" s="230"/>
      <c r="U800" s="230"/>
      <c r="V800" s="230"/>
      <c r="W800" s="230"/>
      <c r="X800" s="239"/>
      <c r="Y800" s="239"/>
      <c r="Z800" s="230"/>
      <c r="AA800" s="230"/>
      <c r="AB800" s="230"/>
      <c r="AC800" s="230"/>
      <c r="AD800" s="239"/>
    </row>
    <row r="801" spans="1:30" ht="20.100000000000001" customHeight="1" x14ac:dyDescent="0.25">
      <c r="A801" s="230"/>
      <c r="B801" s="231"/>
      <c r="C801" s="231"/>
      <c r="D801" s="231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30"/>
      <c r="S801" s="239"/>
      <c r="T801" s="230"/>
      <c r="U801" s="230"/>
      <c r="V801" s="230"/>
      <c r="W801" s="230"/>
      <c r="X801" s="239"/>
      <c r="Y801" s="239"/>
      <c r="Z801" s="230"/>
      <c r="AA801" s="230"/>
      <c r="AB801" s="230"/>
      <c r="AC801" s="230"/>
      <c r="AD801" s="239"/>
    </row>
    <row r="802" spans="1:30" ht="20.100000000000001" customHeight="1" x14ac:dyDescent="0.25">
      <c r="A802" s="230"/>
      <c r="B802" s="231"/>
      <c r="C802" s="231"/>
      <c r="D802" s="231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30"/>
      <c r="S802" s="239"/>
      <c r="T802" s="230"/>
      <c r="U802" s="230"/>
      <c r="V802" s="230"/>
      <c r="W802" s="230"/>
      <c r="X802" s="239"/>
      <c r="Y802" s="239"/>
      <c r="Z802" s="230"/>
      <c r="AA802" s="230"/>
      <c r="AB802" s="230"/>
      <c r="AC802" s="230"/>
      <c r="AD802" s="239"/>
    </row>
    <row r="803" spans="1:30" ht="20.100000000000001" customHeight="1" x14ac:dyDescent="0.25">
      <c r="A803" s="230"/>
      <c r="B803" s="231"/>
      <c r="C803" s="231"/>
      <c r="D803" s="231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30"/>
      <c r="S803" s="239"/>
      <c r="T803" s="230"/>
      <c r="U803" s="230"/>
      <c r="V803" s="230"/>
      <c r="W803" s="230"/>
      <c r="X803" s="239"/>
      <c r="Y803" s="239"/>
      <c r="Z803" s="230"/>
      <c r="AA803" s="230"/>
      <c r="AB803" s="230"/>
      <c r="AC803" s="230"/>
      <c r="AD803" s="239"/>
    </row>
    <row r="804" spans="1:30" ht="20.100000000000001" customHeight="1" x14ac:dyDescent="0.25">
      <c r="A804" s="230"/>
      <c r="B804" s="231"/>
      <c r="C804" s="231"/>
      <c r="D804" s="231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30"/>
      <c r="S804" s="239"/>
      <c r="T804" s="230"/>
      <c r="U804" s="230"/>
      <c r="V804" s="230"/>
      <c r="W804" s="230"/>
      <c r="X804" s="239"/>
      <c r="Y804" s="239"/>
      <c r="Z804" s="230"/>
      <c r="AA804" s="230"/>
      <c r="AB804" s="230"/>
      <c r="AC804" s="230"/>
      <c r="AD804" s="239"/>
    </row>
    <row r="805" spans="1:30" ht="20.100000000000001" customHeight="1" x14ac:dyDescent="0.25">
      <c r="A805" s="230"/>
      <c r="B805" s="231"/>
      <c r="C805" s="231"/>
      <c r="D805" s="231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30"/>
      <c r="S805" s="239"/>
      <c r="T805" s="230"/>
      <c r="U805" s="230"/>
      <c r="V805" s="230"/>
      <c r="W805" s="230"/>
      <c r="X805" s="239"/>
      <c r="Y805" s="239"/>
      <c r="Z805" s="230"/>
      <c r="AA805" s="230"/>
      <c r="AB805" s="230"/>
      <c r="AC805" s="230"/>
      <c r="AD805" s="239"/>
    </row>
    <row r="806" spans="1:30" ht="20.100000000000001" customHeight="1" x14ac:dyDescent="0.25">
      <c r="A806" s="230"/>
      <c r="B806" s="231"/>
      <c r="C806" s="231"/>
      <c r="D806" s="231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30"/>
      <c r="S806" s="239"/>
      <c r="T806" s="230"/>
      <c r="U806" s="230"/>
      <c r="V806" s="230"/>
      <c r="W806" s="230"/>
      <c r="X806" s="239"/>
      <c r="Y806" s="239"/>
      <c r="Z806" s="230"/>
      <c r="AA806" s="230"/>
      <c r="AB806" s="230"/>
      <c r="AC806" s="230"/>
      <c r="AD806" s="239"/>
    </row>
    <row r="807" spans="1:30" ht="20.100000000000001" customHeight="1" x14ac:dyDescent="0.25">
      <c r="A807" s="230"/>
      <c r="B807" s="231"/>
      <c r="C807" s="231"/>
      <c r="D807" s="231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30"/>
      <c r="S807" s="239"/>
      <c r="T807" s="230"/>
      <c r="U807" s="230"/>
      <c r="V807" s="230"/>
      <c r="W807" s="230"/>
      <c r="X807" s="239"/>
      <c r="Y807" s="239"/>
      <c r="Z807" s="230"/>
      <c r="AA807" s="230"/>
      <c r="AB807" s="230"/>
      <c r="AC807" s="230"/>
      <c r="AD807" s="239"/>
    </row>
    <row r="808" spans="1:30" ht="20.100000000000001" customHeight="1" x14ac:dyDescent="0.25">
      <c r="A808" s="230"/>
      <c r="B808" s="231"/>
      <c r="C808" s="231"/>
      <c r="D808" s="231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30"/>
      <c r="S808" s="239"/>
      <c r="T808" s="230"/>
      <c r="U808" s="230"/>
      <c r="V808" s="230"/>
      <c r="W808" s="230"/>
      <c r="X808" s="239"/>
      <c r="Y808" s="239"/>
      <c r="Z808" s="230"/>
      <c r="AA808" s="230"/>
      <c r="AB808" s="230"/>
      <c r="AC808" s="230"/>
      <c r="AD808" s="239"/>
    </row>
    <row r="809" spans="1:30" ht="20.100000000000001" customHeight="1" x14ac:dyDescent="0.25">
      <c r="A809" s="230"/>
      <c r="B809" s="231"/>
      <c r="C809" s="231"/>
      <c r="D809" s="231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30"/>
      <c r="S809" s="239"/>
      <c r="T809" s="230"/>
      <c r="U809" s="230"/>
      <c r="V809" s="230"/>
      <c r="W809" s="230"/>
      <c r="X809" s="239"/>
      <c r="Y809" s="239"/>
      <c r="Z809" s="230"/>
      <c r="AA809" s="230"/>
      <c r="AB809" s="230"/>
      <c r="AC809" s="230"/>
      <c r="AD809" s="239"/>
    </row>
    <row r="810" spans="1:30" ht="20.100000000000001" customHeight="1" x14ac:dyDescent="0.25">
      <c r="A810" s="230"/>
      <c r="B810" s="231"/>
      <c r="C810" s="231"/>
      <c r="D810" s="231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30"/>
      <c r="S810" s="239"/>
      <c r="T810" s="230"/>
      <c r="U810" s="230"/>
      <c r="V810" s="230"/>
      <c r="W810" s="230"/>
      <c r="X810" s="239"/>
      <c r="Y810" s="239"/>
      <c r="Z810" s="230"/>
      <c r="AA810" s="230"/>
      <c r="AB810" s="230"/>
      <c r="AC810" s="230"/>
      <c r="AD810" s="239"/>
    </row>
    <row r="811" spans="1:30" ht="20.100000000000001" customHeight="1" x14ac:dyDescent="0.25">
      <c r="A811" s="230"/>
      <c r="B811" s="231"/>
      <c r="C811" s="231"/>
      <c r="D811" s="231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30"/>
      <c r="S811" s="239"/>
      <c r="T811" s="230"/>
      <c r="U811" s="230"/>
      <c r="V811" s="230"/>
      <c r="W811" s="230"/>
      <c r="X811" s="239"/>
      <c r="Y811" s="239"/>
      <c r="Z811" s="230"/>
      <c r="AA811" s="230"/>
      <c r="AB811" s="230"/>
      <c r="AC811" s="230"/>
      <c r="AD811" s="239"/>
    </row>
    <row r="812" spans="1:30" ht="20.100000000000001" customHeight="1" x14ac:dyDescent="0.25">
      <c r="A812" s="230"/>
      <c r="B812" s="231"/>
      <c r="C812" s="231"/>
      <c r="D812" s="231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30"/>
      <c r="S812" s="239"/>
      <c r="T812" s="230"/>
      <c r="U812" s="230"/>
      <c r="V812" s="230"/>
      <c r="W812" s="230"/>
      <c r="X812" s="239"/>
      <c r="Y812" s="239"/>
      <c r="Z812" s="230"/>
      <c r="AA812" s="230"/>
      <c r="AB812" s="230"/>
      <c r="AC812" s="230"/>
      <c r="AD812" s="239"/>
    </row>
    <row r="813" spans="1:30" ht="20.100000000000001" customHeight="1" x14ac:dyDescent="0.25">
      <c r="A813" s="230"/>
      <c r="B813" s="231"/>
      <c r="C813" s="231"/>
      <c r="D813" s="231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30"/>
      <c r="S813" s="239"/>
      <c r="T813" s="230"/>
      <c r="U813" s="230"/>
      <c r="V813" s="230"/>
      <c r="W813" s="230"/>
      <c r="X813" s="239"/>
      <c r="Y813" s="239"/>
      <c r="Z813" s="230"/>
      <c r="AA813" s="230"/>
      <c r="AB813" s="230"/>
      <c r="AC813" s="230"/>
      <c r="AD813" s="239"/>
    </row>
    <row r="814" spans="1:30" ht="20.100000000000001" customHeight="1" x14ac:dyDescent="0.25">
      <c r="A814" s="230"/>
      <c r="B814" s="231"/>
      <c r="C814" s="231"/>
      <c r="D814" s="231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30"/>
      <c r="S814" s="239"/>
      <c r="T814" s="230"/>
      <c r="U814" s="230"/>
      <c r="V814" s="230"/>
      <c r="W814" s="230"/>
      <c r="X814" s="239"/>
      <c r="Y814" s="239"/>
      <c r="Z814" s="230"/>
      <c r="AA814" s="230"/>
      <c r="AB814" s="230"/>
      <c r="AC814" s="230"/>
      <c r="AD814" s="239"/>
    </row>
    <row r="815" spans="1:30" ht="20.100000000000001" customHeight="1" x14ac:dyDescent="0.25">
      <c r="A815" s="230"/>
      <c r="B815" s="231"/>
      <c r="C815" s="231"/>
      <c r="D815" s="231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30"/>
      <c r="S815" s="239"/>
      <c r="T815" s="230"/>
      <c r="U815" s="230"/>
      <c r="V815" s="230"/>
      <c r="W815" s="230"/>
      <c r="X815" s="239"/>
      <c r="Y815" s="239"/>
      <c r="Z815" s="230"/>
      <c r="AA815" s="230"/>
      <c r="AB815" s="230"/>
      <c r="AC815" s="230"/>
      <c r="AD815" s="239"/>
    </row>
    <row r="816" spans="1:30" ht="20.100000000000001" customHeight="1" x14ac:dyDescent="0.25">
      <c r="A816" s="230"/>
      <c r="B816" s="231"/>
      <c r="C816" s="231"/>
      <c r="D816" s="231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30"/>
      <c r="S816" s="239"/>
      <c r="T816" s="230"/>
      <c r="U816" s="230"/>
      <c r="V816" s="230"/>
      <c r="W816" s="230"/>
      <c r="X816" s="239"/>
      <c r="Y816" s="239"/>
      <c r="Z816" s="230"/>
      <c r="AA816" s="230"/>
      <c r="AB816" s="230"/>
      <c r="AC816" s="230"/>
      <c r="AD816" s="239"/>
    </row>
    <row r="817" spans="1:30" ht="20.100000000000001" customHeight="1" x14ac:dyDescent="0.25">
      <c r="A817" s="230"/>
      <c r="B817" s="231"/>
      <c r="C817" s="231"/>
      <c r="D817" s="231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30"/>
      <c r="S817" s="239"/>
      <c r="T817" s="230"/>
      <c r="U817" s="230"/>
      <c r="V817" s="230"/>
      <c r="W817" s="230"/>
      <c r="X817" s="239"/>
      <c r="Y817" s="239"/>
      <c r="Z817" s="230"/>
      <c r="AA817" s="230"/>
      <c r="AB817" s="230"/>
      <c r="AC817" s="230"/>
      <c r="AD817" s="239"/>
    </row>
    <row r="818" spans="1:30" ht="20.100000000000001" customHeight="1" x14ac:dyDescent="0.25">
      <c r="A818" s="230"/>
      <c r="B818" s="231"/>
      <c r="C818" s="231"/>
      <c r="D818" s="231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30"/>
      <c r="S818" s="239"/>
      <c r="T818" s="230"/>
      <c r="U818" s="230"/>
      <c r="V818" s="230"/>
      <c r="W818" s="230"/>
      <c r="X818" s="239"/>
      <c r="Y818" s="239"/>
      <c r="Z818" s="230"/>
      <c r="AA818" s="230"/>
      <c r="AB818" s="230"/>
      <c r="AC818" s="230"/>
      <c r="AD818" s="239"/>
    </row>
    <row r="819" spans="1:30" ht="20.100000000000001" customHeight="1" x14ac:dyDescent="0.25">
      <c r="A819" s="230"/>
      <c r="B819" s="231"/>
      <c r="C819" s="231"/>
      <c r="D819" s="231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30"/>
      <c r="S819" s="239"/>
      <c r="T819" s="230"/>
      <c r="U819" s="230"/>
      <c r="V819" s="230"/>
      <c r="W819" s="230"/>
      <c r="X819" s="239"/>
      <c r="Y819" s="239"/>
      <c r="Z819" s="230"/>
      <c r="AA819" s="230"/>
      <c r="AB819" s="230"/>
      <c r="AC819" s="230"/>
      <c r="AD819" s="239"/>
    </row>
    <row r="820" spans="1:30" ht="20.100000000000001" customHeight="1" x14ac:dyDescent="0.25">
      <c r="A820" s="230"/>
      <c r="B820" s="231"/>
      <c r="C820" s="231"/>
      <c r="D820" s="231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30"/>
      <c r="S820" s="239"/>
      <c r="T820" s="230"/>
      <c r="U820" s="230"/>
      <c r="V820" s="230"/>
      <c r="W820" s="230"/>
      <c r="X820" s="239"/>
      <c r="Y820" s="239"/>
      <c r="Z820" s="230"/>
      <c r="AA820" s="230"/>
      <c r="AB820" s="230"/>
      <c r="AC820" s="230"/>
      <c r="AD820" s="239"/>
    </row>
    <row r="821" spans="1:30" ht="20.100000000000001" customHeight="1" x14ac:dyDescent="0.25">
      <c r="A821" s="230"/>
      <c r="B821" s="231"/>
      <c r="C821" s="231"/>
      <c r="D821" s="231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30"/>
      <c r="S821" s="239"/>
      <c r="T821" s="230"/>
      <c r="U821" s="230"/>
      <c r="V821" s="230"/>
      <c r="W821" s="230"/>
      <c r="X821" s="239"/>
      <c r="Y821" s="239"/>
      <c r="Z821" s="230"/>
      <c r="AA821" s="230"/>
      <c r="AB821" s="230"/>
      <c r="AC821" s="230"/>
      <c r="AD821" s="239"/>
    </row>
    <row r="822" spans="1:30" ht="20.100000000000001" customHeight="1" x14ac:dyDescent="0.25">
      <c r="A822" s="230"/>
      <c r="B822" s="231"/>
      <c r="C822" s="231"/>
      <c r="D822" s="231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30"/>
      <c r="S822" s="239"/>
      <c r="T822" s="230"/>
      <c r="U822" s="230"/>
      <c r="V822" s="230"/>
      <c r="W822" s="230"/>
      <c r="X822" s="239"/>
      <c r="Y822" s="239"/>
      <c r="Z822" s="230"/>
      <c r="AA822" s="230"/>
      <c r="AB822" s="230"/>
      <c r="AC822" s="230"/>
      <c r="AD822" s="239"/>
    </row>
    <row r="823" spans="1:30" ht="20.100000000000001" customHeight="1" x14ac:dyDescent="0.25">
      <c r="A823" s="230"/>
      <c r="B823" s="231"/>
      <c r="C823" s="231"/>
      <c r="D823" s="231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30"/>
      <c r="S823" s="239"/>
      <c r="T823" s="230"/>
      <c r="U823" s="230"/>
      <c r="V823" s="230"/>
      <c r="W823" s="230"/>
      <c r="X823" s="239"/>
      <c r="Y823" s="239"/>
      <c r="Z823" s="230"/>
      <c r="AA823" s="230"/>
      <c r="AB823" s="230"/>
      <c r="AC823" s="230"/>
      <c r="AD823" s="239"/>
    </row>
    <row r="824" spans="1:30" ht="20.100000000000001" customHeight="1" x14ac:dyDescent="0.25">
      <c r="A824" s="230"/>
      <c r="B824" s="231"/>
      <c r="C824" s="231"/>
      <c r="D824" s="231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30"/>
      <c r="S824" s="239"/>
      <c r="T824" s="230"/>
      <c r="U824" s="230"/>
      <c r="V824" s="230"/>
      <c r="W824" s="230"/>
      <c r="X824" s="239"/>
      <c r="Y824" s="239"/>
      <c r="Z824" s="230"/>
      <c r="AA824" s="230"/>
      <c r="AB824" s="230"/>
      <c r="AC824" s="230"/>
      <c r="AD824" s="239"/>
    </row>
    <row r="825" spans="1:30" ht="20.100000000000001" customHeight="1" x14ac:dyDescent="0.25">
      <c r="A825" s="230"/>
      <c r="B825" s="231"/>
      <c r="C825" s="231"/>
      <c r="D825" s="231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30"/>
      <c r="S825" s="239"/>
      <c r="T825" s="230"/>
      <c r="U825" s="230"/>
      <c r="V825" s="230"/>
      <c r="W825" s="230"/>
      <c r="X825" s="239"/>
      <c r="Y825" s="239"/>
      <c r="Z825" s="230"/>
      <c r="AA825" s="230"/>
      <c r="AB825" s="230"/>
      <c r="AC825" s="230"/>
      <c r="AD825" s="239"/>
    </row>
    <row r="826" spans="1:30" ht="20.100000000000001" customHeight="1" x14ac:dyDescent="0.25">
      <c r="A826" s="230"/>
      <c r="B826" s="231"/>
      <c r="C826" s="231"/>
      <c r="D826" s="231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30"/>
      <c r="S826" s="239"/>
      <c r="T826" s="230"/>
      <c r="U826" s="230"/>
      <c r="V826" s="230"/>
      <c r="W826" s="230"/>
      <c r="X826" s="239"/>
      <c r="Y826" s="239"/>
      <c r="Z826" s="230"/>
      <c r="AA826" s="230"/>
      <c r="AB826" s="230"/>
      <c r="AC826" s="230"/>
      <c r="AD826" s="239"/>
    </row>
    <row r="827" spans="1:30" ht="20.100000000000001" customHeight="1" x14ac:dyDescent="0.25">
      <c r="A827" s="230"/>
      <c r="B827" s="231"/>
      <c r="C827" s="231"/>
      <c r="D827" s="231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30"/>
      <c r="S827" s="239"/>
      <c r="T827" s="230"/>
      <c r="U827" s="230"/>
      <c r="V827" s="230"/>
      <c r="W827" s="230"/>
      <c r="X827" s="239"/>
      <c r="Y827" s="239"/>
      <c r="Z827" s="230"/>
      <c r="AA827" s="230"/>
      <c r="AB827" s="230"/>
      <c r="AC827" s="230"/>
      <c r="AD827" s="239"/>
    </row>
    <row r="828" spans="1:30" ht="20.100000000000001" customHeight="1" x14ac:dyDescent="0.25">
      <c r="A828" s="230"/>
      <c r="B828" s="231"/>
      <c r="C828" s="231"/>
      <c r="D828" s="231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30"/>
      <c r="S828" s="239"/>
      <c r="T828" s="230"/>
      <c r="U828" s="230"/>
      <c r="V828" s="230"/>
      <c r="W828" s="230"/>
      <c r="X828" s="239"/>
      <c r="Y828" s="239"/>
      <c r="Z828" s="230"/>
      <c r="AA828" s="230"/>
      <c r="AB828" s="230"/>
      <c r="AC828" s="230"/>
      <c r="AD828" s="239"/>
    </row>
    <row r="829" spans="1:30" ht="20.100000000000001" customHeight="1" x14ac:dyDescent="0.25">
      <c r="A829" s="230"/>
      <c r="B829" s="231"/>
      <c r="C829" s="231"/>
      <c r="D829" s="231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30"/>
      <c r="S829" s="239"/>
      <c r="T829" s="230"/>
      <c r="U829" s="230"/>
      <c r="V829" s="230"/>
      <c r="W829" s="230"/>
      <c r="X829" s="239"/>
      <c r="Y829" s="239"/>
      <c r="Z829" s="230"/>
      <c r="AA829" s="230"/>
      <c r="AB829" s="230"/>
      <c r="AC829" s="230"/>
      <c r="AD829" s="239"/>
    </row>
    <row r="830" spans="1:30" ht="20.100000000000001" customHeight="1" x14ac:dyDescent="0.25">
      <c r="A830" s="230"/>
      <c r="B830" s="231"/>
      <c r="C830" s="231"/>
      <c r="D830" s="231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30"/>
      <c r="S830" s="239"/>
      <c r="T830" s="230"/>
      <c r="U830" s="230"/>
      <c r="V830" s="230"/>
      <c r="W830" s="230"/>
      <c r="X830" s="239"/>
      <c r="Y830" s="239"/>
      <c r="Z830" s="230"/>
      <c r="AA830" s="230"/>
      <c r="AB830" s="230"/>
      <c r="AC830" s="230"/>
      <c r="AD830" s="239"/>
    </row>
    <row r="831" spans="1:30" ht="20.100000000000001" customHeight="1" x14ac:dyDescent="0.25">
      <c r="A831" s="230"/>
      <c r="B831" s="231"/>
      <c r="C831" s="231"/>
      <c r="D831" s="231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30"/>
      <c r="S831" s="239"/>
      <c r="T831" s="230"/>
      <c r="U831" s="230"/>
      <c r="V831" s="230"/>
      <c r="W831" s="230"/>
      <c r="X831" s="239"/>
      <c r="Y831" s="239"/>
      <c r="Z831" s="230"/>
      <c r="AA831" s="230"/>
      <c r="AB831" s="230"/>
      <c r="AC831" s="230"/>
      <c r="AD831" s="239"/>
    </row>
    <row r="832" spans="1:30" ht="20.100000000000001" customHeight="1" x14ac:dyDescent="0.25">
      <c r="A832" s="230"/>
      <c r="B832" s="231"/>
      <c r="C832" s="231"/>
      <c r="D832" s="231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30"/>
      <c r="S832" s="239"/>
      <c r="T832" s="230"/>
      <c r="U832" s="230"/>
      <c r="V832" s="230"/>
      <c r="W832" s="230"/>
      <c r="X832" s="239"/>
      <c r="Y832" s="239"/>
      <c r="Z832" s="230"/>
      <c r="AA832" s="230"/>
      <c r="AB832" s="230"/>
      <c r="AC832" s="230"/>
      <c r="AD832" s="239"/>
    </row>
    <row r="833" spans="1:30" ht="20.100000000000001" customHeight="1" x14ac:dyDescent="0.25">
      <c r="A833" s="230"/>
      <c r="B833" s="231"/>
      <c r="C833" s="231"/>
      <c r="D833" s="231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30"/>
      <c r="S833" s="239"/>
      <c r="T833" s="230"/>
      <c r="U833" s="230"/>
      <c r="V833" s="230"/>
      <c r="W833" s="230"/>
      <c r="X833" s="239"/>
      <c r="Y833" s="239"/>
      <c r="Z833" s="230"/>
      <c r="AA833" s="230"/>
      <c r="AB833" s="230"/>
      <c r="AC833" s="230"/>
      <c r="AD833" s="239"/>
    </row>
    <row r="834" spans="1:30" ht="20.100000000000001" customHeight="1" x14ac:dyDescent="0.25">
      <c r="A834" s="230"/>
      <c r="B834" s="231"/>
      <c r="C834" s="231"/>
      <c r="D834" s="231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30"/>
      <c r="S834" s="239"/>
      <c r="T834" s="230"/>
      <c r="U834" s="230"/>
      <c r="V834" s="230"/>
      <c r="W834" s="230"/>
      <c r="X834" s="239"/>
      <c r="Y834" s="239"/>
      <c r="Z834" s="230"/>
      <c r="AA834" s="230"/>
      <c r="AB834" s="230"/>
      <c r="AC834" s="230"/>
      <c r="AD834" s="239"/>
    </row>
    <row r="835" spans="1:30" ht="20.100000000000001" customHeight="1" x14ac:dyDescent="0.25">
      <c r="A835" s="230"/>
      <c r="B835" s="231"/>
      <c r="C835" s="231"/>
      <c r="D835" s="231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30"/>
      <c r="S835" s="239"/>
      <c r="T835" s="230"/>
      <c r="U835" s="230"/>
      <c r="V835" s="230"/>
      <c r="W835" s="230"/>
      <c r="X835" s="239"/>
      <c r="Y835" s="239"/>
      <c r="Z835" s="230"/>
      <c r="AA835" s="230"/>
      <c r="AB835" s="230"/>
      <c r="AC835" s="230"/>
      <c r="AD835" s="239"/>
    </row>
    <row r="836" spans="1:30" ht="20.100000000000001" customHeight="1" x14ac:dyDescent="0.25">
      <c r="A836" s="230"/>
      <c r="B836" s="231"/>
      <c r="C836" s="231"/>
      <c r="D836" s="231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30"/>
      <c r="S836" s="239"/>
      <c r="T836" s="230"/>
      <c r="U836" s="230"/>
      <c r="V836" s="230"/>
      <c r="W836" s="230"/>
      <c r="X836" s="239"/>
      <c r="Y836" s="239"/>
      <c r="Z836" s="230"/>
      <c r="AA836" s="230"/>
      <c r="AB836" s="230"/>
      <c r="AC836" s="230"/>
      <c r="AD836" s="239"/>
    </row>
    <row r="837" spans="1:30" ht="20.100000000000001" customHeight="1" x14ac:dyDescent="0.25">
      <c r="A837" s="230"/>
      <c r="B837" s="231"/>
      <c r="C837" s="231"/>
      <c r="D837" s="231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30"/>
      <c r="S837" s="239"/>
      <c r="T837" s="230"/>
      <c r="U837" s="230"/>
      <c r="V837" s="230"/>
      <c r="W837" s="230"/>
      <c r="X837" s="239"/>
      <c r="Y837" s="239"/>
      <c r="Z837" s="230"/>
      <c r="AA837" s="230"/>
      <c r="AB837" s="230"/>
      <c r="AC837" s="230"/>
      <c r="AD837" s="239"/>
    </row>
    <row r="838" spans="1:30" ht="20.100000000000001" customHeight="1" x14ac:dyDescent="0.25">
      <c r="A838" s="230"/>
      <c r="B838" s="231"/>
      <c r="C838" s="231"/>
      <c r="D838" s="231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30"/>
      <c r="S838" s="239"/>
      <c r="T838" s="230"/>
      <c r="U838" s="230"/>
      <c r="V838" s="230"/>
      <c r="W838" s="230"/>
      <c r="X838" s="239"/>
      <c r="Y838" s="239"/>
      <c r="Z838" s="230"/>
      <c r="AA838" s="230"/>
      <c r="AB838" s="230"/>
      <c r="AC838" s="230"/>
      <c r="AD838" s="239"/>
    </row>
    <row r="839" spans="1:30" ht="20.100000000000001" customHeight="1" x14ac:dyDescent="0.25">
      <c r="A839" s="230"/>
      <c r="B839" s="231"/>
      <c r="C839" s="231"/>
      <c r="D839" s="231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30"/>
      <c r="S839" s="239"/>
      <c r="T839" s="230"/>
      <c r="U839" s="230"/>
      <c r="V839" s="230"/>
      <c r="W839" s="230"/>
      <c r="X839" s="239"/>
      <c r="Y839" s="239"/>
      <c r="Z839" s="230"/>
      <c r="AA839" s="230"/>
      <c r="AB839" s="230"/>
      <c r="AC839" s="230"/>
      <c r="AD839" s="239"/>
    </row>
    <row r="840" spans="1:30" ht="20.100000000000001" customHeight="1" x14ac:dyDescent="0.25">
      <c r="A840" s="230"/>
      <c r="B840" s="231"/>
      <c r="C840" s="231"/>
      <c r="D840" s="231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30"/>
      <c r="S840" s="239"/>
      <c r="T840" s="230"/>
      <c r="U840" s="230"/>
      <c r="V840" s="230"/>
      <c r="W840" s="230"/>
      <c r="X840" s="239"/>
      <c r="Y840" s="239"/>
      <c r="Z840" s="230"/>
      <c r="AA840" s="230"/>
      <c r="AB840" s="230"/>
      <c r="AC840" s="230"/>
      <c r="AD840" s="239"/>
    </row>
    <row r="841" spans="1:30" ht="20.100000000000001" customHeight="1" x14ac:dyDescent="0.25">
      <c r="A841" s="230"/>
      <c r="B841" s="231"/>
      <c r="C841" s="231"/>
      <c r="D841" s="231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30"/>
      <c r="S841" s="239"/>
      <c r="T841" s="230"/>
      <c r="U841" s="230"/>
      <c r="V841" s="230"/>
      <c r="W841" s="230"/>
      <c r="X841" s="239"/>
      <c r="Y841" s="239"/>
      <c r="Z841" s="230"/>
      <c r="AA841" s="230"/>
      <c r="AB841" s="230"/>
      <c r="AC841" s="230"/>
      <c r="AD841" s="239"/>
    </row>
    <row r="842" spans="1:30" ht="20.100000000000001" customHeight="1" x14ac:dyDescent="0.25">
      <c r="A842" s="230"/>
      <c r="B842" s="231"/>
      <c r="C842" s="231"/>
      <c r="D842" s="231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30"/>
      <c r="S842" s="239"/>
      <c r="T842" s="230"/>
      <c r="U842" s="230"/>
      <c r="V842" s="230"/>
      <c r="W842" s="230"/>
      <c r="X842" s="239"/>
      <c r="Y842" s="239"/>
      <c r="Z842" s="230"/>
      <c r="AA842" s="230"/>
      <c r="AB842" s="230"/>
      <c r="AC842" s="230"/>
      <c r="AD842" s="239"/>
    </row>
    <row r="843" spans="1:30" ht="20.100000000000001" customHeight="1" x14ac:dyDescent="0.25">
      <c r="A843" s="230"/>
      <c r="B843" s="231"/>
      <c r="C843" s="231"/>
      <c r="D843" s="231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30"/>
      <c r="S843" s="239"/>
      <c r="T843" s="230"/>
      <c r="U843" s="230"/>
      <c r="V843" s="230"/>
      <c r="W843" s="230"/>
      <c r="X843" s="239"/>
      <c r="Y843" s="239"/>
      <c r="Z843" s="230"/>
      <c r="AA843" s="230"/>
      <c r="AB843" s="230"/>
      <c r="AC843" s="230"/>
      <c r="AD843" s="239"/>
    </row>
    <row r="844" spans="1:30" ht="20.100000000000001" customHeight="1" x14ac:dyDescent="0.25">
      <c r="A844" s="230"/>
      <c r="B844" s="231"/>
      <c r="C844" s="231"/>
      <c r="D844" s="231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30"/>
      <c r="S844" s="239"/>
      <c r="T844" s="230"/>
      <c r="U844" s="230"/>
      <c r="V844" s="230"/>
      <c r="W844" s="230"/>
      <c r="X844" s="239"/>
      <c r="Y844" s="239"/>
      <c r="Z844" s="230"/>
      <c r="AA844" s="230"/>
      <c r="AB844" s="230"/>
      <c r="AC844" s="230"/>
      <c r="AD844" s="239"/>
    </row>
    <row r="845" spans="1:30" ht="20.100000000000001" customHeight="1" x14ac:dyDescent="0.25">
      <c r="A845" s="230"/>
      <c r="B845" s="231"/>
      <c r="C845" s="231"/>
      <c r="D845" s="231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30"/>
      <c r="S845" s="239"/>
      <c r="T845" s="230"/>
      <c r="U845" s="230"/>
      <c r="V845" s="230"/>
      <c r="W845" s="230"/>
      <c r="X845" s="239"/>
      <c r="Y845" s="239"/>
      <c r="Z845" s="230"/>
      <c r="AA845" s="230"/>
      <c r="AB845" s="230"/>
      <c r="AC845" s="230"/>
      <c r="AD845" s="239"/>
    </row>
    <row r="846" spans="1:30" ht="20.100000000000001" customHeight="1" x14ac:dyDescent="0.25">
      <c r="A846" s="230"/>
      <c r="B846" s="231"/>
      <c r="C846" s="231"/>
      <c r="D846" s="231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30"/>
      <c r="S846" s="239"/>
      <c r="T846" s="230"/>
      <c r="U846" s="230"/>
      <c r="V846" s="230"/>
      <c r="W846" s="230"/>
      <c r="X846" s="239"/>
      <c r="Y846" s="239"/>
      <c r="Z846" s="230"/>
      <c r="AA846" s="230"/>
      <c r="AB846" s="230"/>
      <c r="AC846" s="230"/>
      <c r="AD846" s="239"/>
    </row>
    <row r="847" spans="1:30" ht="20.100000000000001" customHeight="1" x14ac:dyDescent="0.25">
      <c r="A847" s="230"/>
      <c r="B847" s="231"/>
      <c r="C847" s="231"/>
      <c r="D847" s="231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30"/>
      <c r="S847" s="239"/>
      <c r="T847" s="230"/>
      <c r="U847" s="230"/>
      <c r="V847" s="230"/>
      <c r="W847" s="230"/>
      <c r="X847" s="239"/>
      <c r="Y847" s="239"/>
      <c r="Z847" s="230"/>
      <c r="AA847" s="230"/>
      <c r="AB847" s="230"/>
      <c r="AC847" s="230"/>
      <c r="AD847" s="239"/>
    </row>
    <row r="848" spans="1:30" ht="20.100000000000001" customHeight="1" x14ac:dyDescent="0.25">
      <c r="A848" s="230"/>
      <c r="B848" s="231"/>
      <c r="C848" s="231"/>
      <c r="D848" s="231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30"/>
      <c r="S848" s="239"/>
      <c r="T848" s="230"/>
      <c r="U848" s="230"/>
      <c r="V848" s="230"/>
      <c r="W848" s="230"/>
      <c r="X848" s="239"/>
      <c r="Y848" s="239"/>
      <c r="Z848" s="230"/>
      <c r="AA848" s="230"/>
      <c r="AB848" s="230"/>
      <c r="AC848" s="230"/>
      <c r="AD848" s="239"/>
    </row>
    <row r="849" spans="1:30" ht="20.100000000000001" customHeight="1" x14ac:dyDescent="0.25">
      <c r="A849" s="230"/>
      <c r="B849" s="231"/>
      <c r="C849" s="231"/>
      <c r="D849" s="231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30"/>
      <c r="S849" s="239"/>
      <c r="T849" s="230"/>
      <c r="U849" s="230"/>
      <c r="V849" s="230"/>
      <c r="W849" s="230"/>
      <c r="X849" s="239"/>
      <c r="Y849" s="239"/>
      <c r="Z849" s="230"/>
      <c r="AA849" s="230"/>
      <c r="AB849" s="230"/>
      <c r="AC849" s="230"/>
      <c r="AD849" s="239"/>
    </row>
    <row r="850" spans="1:30" ht="20.100000000000001" customHeight="1" x14ac:dyDescent="0.25">
      <c r="A850" s="230"/>
      <c r="B850" s="231"/>
      <c r="C850" s="231"/>
      <c r="D850" s="231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30"/>
      <c r="S850" s="239"/>
      <c r="T850" s="230"/>
      <c r="U850" s="230"/>
      <c r="V850" s="230"/>
      <c r="W850" s="230"/>
      <c r="X850" s="239"/>
      <c r="Y850" s="239"/>
      <c r="Z850" s="230"/>
      <c r="AA850" s="230"/>
      <c r="AB850" s="230"/>
      <c r="AC850" s="230"/>
      <c r="AD850" s="239"/>
    </row>
    <row r="851" spans="1:30" ht="20.100000000000001" customHeight="1" x14ac:dyDescent="0.25">
      <c r="A851" s="230"/>
      <c r="B851" s="231"/>
      <c r="C851" s="231"/>
      <c r="D851" s="231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30"/>
      <c r="S851" s="239"/>
      <c r="T851" s="230"/>
      <c r="U851" s="230"/>
      <c r="V851" s="230"/>
      <c r="W851" s="230"/>
      <c r="X851" s="239"/>
      <c r="Y851" s="239"/>
      <c r="Z851" s="230"/>
      <c r="AA851" s="230"/>
      <c r="AB851" s="230"/>
      <c r="AC851" s="230"/>
      <c r="AD851" s="239"/>
    </row>
    <row r="852" spans="1:30" ht="20.100000000000001" customHeight="1" x14ac:dyDescent="0.25">
      <c r="A852" s="230"/>
      <c r="B852" s="231"/>
      <c r="C852" s="231"/>
      <c r="D852" s="231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30"/>
      <c r="S852" s="239"/>
      <c r="T852" s="230"/>
      <c r="U852" s="230"/>
      <c r="V852" s="230"/>
      <c r="W852" s="230"/>
      <c r="X852" s="239"/>
      <c r="Y852" s="239"/>
      <c r="Z852" s="230"/>
      <c r="AA852" s="230"/>
      <c r="AB852" s="230"/>
      <c r="AC852" s="230"/>
      <c r="AD852" s="239"/>
    </row>
    <row r="853" spans="1:30" ht="20.100000000000001" customHeight="1" x14ac:dyDescent="0.25">
      <c r="A853" s="230"/>
      <c r="B853" s="231"/>
      <c r="C853" s="231"/>
      <c r="D853" s="231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30"/>
      <c r="S853" s="239"/>
      <c r="T853" s="230"/>
      <c r="U853" s="230"/>
      <c r="V853" s="230"/>
      <c r="W853" s="230"/>
      <c r="X853" s="239"/>
      <c r="Y853" s="239"/>
      <c r="Z853" s="230"/>
      <c r="AA853" s="230"/>
      <c r="AB853" s="230"/>
      <c r="AC853" s="230"/>
      <c r="AD853" s="239"/>
    </row>
    <row r="854" spans="1:30" ht="20.100000000000001" customHeight="1" x14ac:dyDescent="0.25">
      <c r="A854" s="230"/>
      <c r="B854" s="231"/>
      <c r="C854" s="231"/>
      <c r="D854" s="231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30"/>
      <c r="S854" s="239"/>
      <c r="T854" s="230"/>
      <c r="U854" s="230"/>
      <c r="V854" s="230"/>
      <c r="W854" s="230"/>
      <c r="X854" s="239"/>
      <c r="Y854" s="239"/>
      <c r="Z854" s="230"/>
      <c r="AA854" s="230"/>
      <c r="AB854" s="230"/>
      <c r="AC854" s="230"/>
      <c r="AD854" s="239"/>
    </row>
    <row r="855" spans="1:30" ht="20.100000000000001" customHeight="1" x14ac:dyDescent="0.25">
      <c r="A855" s="230"/>
      <c r="B855" s="231"/>
      <c r="C855" s="231"/>
      <c r="D855" s="231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30"/>
      <c r="S855" s="239"/>
      <c r="T855" s="230"/>
      <c r="U855" s="230"/>
      <c r="V855" s="230"/>
      <c r="W855" s="230"/>
      <c r="X855" s="239"/>
      <c r="Y855" s="239"/>
      <c r="Z855" s="230"/>
      <c r="AA855" s="230"/>
      <c r="AB855" s="230"/>
      <c r="AC855" s="230"/>
      <c r="AD855" s="239"/>
    </row>
    <row r="856" spans="1:30" ht="20.100000000000001" customHeight="1" x14ac:dyDescent="0.25">
      <c r="A856" s="230"/>
      <c r="B856" s="231"/>
      <c r="C856" s="231"/>
      <c r="D856" s="231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30"/>
      <c r="S856" s="239"/>
      <c r="T856" s="230"/>
      <c r="U856" s="230"/>
      <c r="V856" s="230"/>
      <c r="W856" s="230"/>
      <c r="X856" s="239"/>
      <c r="Y856" s="239"/>
      <c r="Z856" s="230"/>
      <c r="AA856" s="230"/>
      <c r="AB856" s="230"/>
      <c r="AC856" s="230"/>
      <c r="AD856" s="239"/>
    </row>
    <row r="857" spans="1:30" ht="20.100000000000001" customHeight="1" x14ac:dyDescent="0.25">
      <c r="A857" s="230"/>
      <c r="B857" s="231"/>
      <c r="C857" s="231"/>
      <c r="D857" s="231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30"/>
      <c r="S857" s="239"/>
      <c r="T857" s="230"/>
      <c r="U857" s="230"/>
      <c r="V857" s="230"/>
      <c r="W857" s="230"/>
      <c r="X857" s="239"/>
      <c r="Y857" s="239"/>
      <c r="Z857" s="230"/>
      <c r="AA857" s="230"/>
      <c r="AB857" s="230"/>
      <c r="AC857" s="230"/>
      <c r="AD857" s="239"/>
    </row>
    <row r="858" spans="1:30" ht="20.100000000000001" customHeight="1" x14ac:dyDescent="0.25">
      <c r="A858" s="230"/>
      <c r="B858" s="231"/>
      <c r="C858" s="231"/>
      <c r="D858" s="231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30"/>
      <c r="S858" s="239"/>
      <c r="T858" s="230"/>
      <c r="U858" s="230"/>
      <c r="V858" s="230"/>
      <c r="W858" s="230"/>
      <c r="X858" s="239"/>
      <c r="Y858" s="239"/>
      <c r="Z858" s="230"/>
      <c r="AA858" s="230"/>
      <c r="AB858" s="230"/>
      <c r="AC858" s="230"/>
      <c r="AD858" s="239"/>
    </row>
    <row r="859" spans="1:30" ht="20.100000000000001" customHeight="1" x14ac:dyDescent="0.25">
      <c r="A859" s="230"/>
      <c r="B859" s="231"/>
      <c r="C859" s="231"/>
      <c r="D859" s="231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30"/>
      <c r="S859" s="239"/>
      <c r="T859" s="230"/>
      <c r="U859" s="230"/>
      <c r="V859" s="230"/>
      <c r="W859" s="230"/>
      <c r="X859" s="239"/>
      <c r="Y859" s="239"/>
      <c r="Z859" s="230"/>
      <c r="AA859" s="230"/>
      <c r="AB859" s="230"/>
      <c r="AC859" s="230"/>
      <c r="AD859" s="239"/>
    </row>
    <row r="860" spans="1:30" ht="20.100000000000001" customHeight="1" x14ac:dyDescent="0.25">
      <c r="A860" s="230"/>
      <c r="B860" s="231"/>
      <c r="C860" s="231"/>
      <c r="D860" s="231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30"/>
      <c r="S860" s="239"/>
      <c r="T860" s="230"/>
      <c r="U860" s="230"/>
      <c r="V860" s="230"/>
      <c r="W860" s="230"/>
      <c r="X860" s="239"/>
      <c r="Y860" s="239"/>
      <c r="Z860" s="230"/>
      <c r="AA860" s="230"/>
      <c r="AB860" s="230"/>
      <c r="AC860" s="230"/>
      <c r="AD860" s="239"/>
    </row>
    <row r="861" spans="1:30" ht="20.100000000000001" customHeight="1" x14ac:dyDescent="0.25">
      <c r="A861" s="230"/>
      <c r="B861" s="231"/>
      <c r="C861" s="231"/>
      <c r="D861" s="231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30"/>
      <c r="S861" s="239"/>
      <c r="T861" s="230"/>
      <c r="U861" s="230"/>
      <c r="V861" s="230"/>
      <c r="W861" s="230"/>
      <c r="X861" s="239"/>
      <c r="Y861" s="239"/>
      <c r="Z861" s="230"/>
      <c r="AA861" s="230"/>
      <c r="AB861" s="230"/>
      <c r="AC861" s="230"/>
      <c r="AD861" s="239"/>
    </row>
    <row r="862" spans="1:30" ht="20.100000000000001" customHeight="1" x14ac:dyDescent="0.25">
      <c r="A862" s="230"/>
      <c r="B862" s="231"/>
      <c r="C862" s="231"/>
      <c r="D862" s="231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30"/>
      <c r="S862" s="239"/>
      <c r="T862" s="230"/>
      <c r="U862" s="230"/>
      <c r="V862" s="230"/>
      <c r="W862" s="230"/>
      <c r="X862" s="239"/>
      <c r="Y862" s="239"/>
      <c r="Z862" s="230"/>
      <c r="AA862" s="230"/>
      <c r="AB862" s="230"/>
      <c r="AC862" s="230"/>
      <c r="AD862" s="239"/>
    </row>
    <row r="863" spans="1:30" ht="20.100000000000001" customHeight="1" x14ac:dyDescent="0.25">
      <c r="A863" s="230"/>
      <c r="B863" s="231"/>
      <c r="C863" s="231"/>
      <c r="D863" s="231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30"/>
      <c r="S863" s="239"/>
      <c r="T863" s="230"/>
      <c r="U863" s="230"/>
      <c r="V863" s="230"/>
      <c r="W863" s="230"/>
      <c r="X863" s="239"/>
      <c r="Y863" s="239"/>
      <c r="Z863" s="230"/>
      <c r="AA863" s="230"/>
      <c r="AB863" s="230"/>
      <c r="AC863" s="230"/>
      <c r="AD863" s="239"/>
    </row>
    <row r="864" spans="1:30" ht="20.100000000000001" customHeight="1" x14ac:dyDescent="0.25">
      <c r="A864" s="230"/>
      <c r="B864" s="231"/>
      <c r="C864" s="231"/>
      <c r="D864" s="231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30"/>
      <c r="S864" s="239"/>
      <c r="T864" s="230"/>
      <c r="U864" s="230"/>
      <c r="V864" s="230"/>
      <c r="W864" s="230"/>
      <c r="X864" s="239"/>
      <c r="Y864" s="239"/>
      <c r="Z864" s="230"/>
      <c r="AA864" s="230"/>
      <c r="AB864" s="230"/>
      <c r="AC864" s="230"/>
      <c r="AD864" s="239"/>
    </row>
    <row r="865" spans="1:30" ht="20.100000000000001" customHeight="1" x14ac:dyDescent="0.25">
      <c r="A865" s="230"/>
      <c r="B865" s="231"/>
      <c r="C865" s="231"/>
      <c r="D865" s="231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30"/>
      <c r="S865" s="239"/>
      <c r="T865" s="230"/>
      <c r="U865" s="230"/>
      <c r="V865" s="230"/>
      <c r="W865" s="230"/>
      <c r="X865" s="239"/>
      <c r="Y865" s="239"/>
      <c r="Z865" s="230"/>
      <c r="AA865" s="230"/>
      <c r="AB865" s="230"/>
      <c r="AC865" s="230"/>
      <c r="AD865" s="239"/>
    </row>
    <row r="866" spans="1:30" ht="20.100000000000001" customHeight="1" x14ac:dyDescent="0.25">
      <c r="A866" s="230"/>
      <c r="B866" s="231"/>
      <c r="C866" s="231"/>
      <c r="D866" s="231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30"/>
      <c r="S866" s="239"/>
      <c r="T866" s="230"/>
      <c r="U866" s="230"/>
      <c r="V866" s="230"/>
      <c r="W866" s="230"/>
      <c r="X866" s="239"/>
      <c r="Y866" s="239"/>
      <c r="Z866" s="230"/>
      <c r="AA866" s="230"/>
      <c r="AB866" s="230"/>
      <c r="AC866" s="230"/>
      <c r="AD866" s="239"/>
    </row>
    <row r="867" spans="1:30" ht="20.100000000000001" customHeight="1" x14ac:dyDescent="0.25">
      <c r="A867" s="230"/>
      <c r="B867" s="231"/>
      <c r="C867" s="231"/>
      <c r="D867" s="231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30"/>
      <c r="S867" s="239"/>
      <c r="T867" s="230"/>
      <c r="U867" s="230"/>
      <c r="V867" s="230"/>
      <c r="W867" s="230"/>
      <c r="X867" s="239"/>
      <c r="Y867" s="239"/>
      <c r="Z867" s="230"/>
      <c r="AA867" s="230"/>
      <c r="AB867" s="230"/>
      <c r="AC867" s="230"/>
      <c r="AD867" s="239"/>
    </row>
    <row r="868" spans="1:30" ht="20.100000000000001" customHeight="1" x14ac:dyDescent="0.25">
      <c r="A868" s="230"/>
      <c r="B868" s="231"/>
      <c r="C868" s="231"/>
      <c r="D868" s="231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30"/>
      <c r="S868" s="239"/>
      <c r="T868" s="230"/>
      <c r="U868" s="230"/>
      <c r="V868" s="230"/>
      <c r="W868" s="230"/>
      <c r="X868" s="239"/>
      <c r="Y868" s="239"/>
      <c r="Z868" s="230"/>
      <c r="AA868" s="230"/>
      <c r="AB868" s="230"/>
      <c r="AC868" s="230"/>
      <c r="AD868" s="239"/>
    </row>
    <row r="869" spans="1:30" ht="20.100000000000001" customHeight="1" x14ac:dyDescent="0.25">
      <c r="A869" s="230"/>
      <c r="B869" s="231"/>
      <c r="C869" s="231"/>
      <c r="D869" s="231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30"/>
      <c r="S869" s="239"/>
      <c r="T869" s="230"/>
      <c r="U869" s="230"/>
      <c r="V869" s="230"/>
      <c r="W869" s="230"/>
      <c r="X869" s="239"/>
      <c r="Y869" s="239"/>
      <c r="Z869" s="230"/>
      <c r="AA869" s="230"/>
      <c r="AB869" s="230"/>
      <c r="AC869" s="230"/>
      <c r="AD869" s="239"/>
    </row>
    <row r="870" spans="1:30" ht="20.100000000000001" customHeight="1" x14ac:dyDescent="0.25">
      <c r="A870" s="230"/>
      <c r="B870" s="231"/>
      <c r="C870" s="231"/>
      <c r="D870" s="231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30"/>
      <c r="S870" s="239"/>
      <c r="T870" s="230"/>
      <c r="U870" s="230"/>
      <c r="V870" s="230"/>
      <c r="W870" s="230"/>
      <c r="X870" s="239"/>
      <c r="Y870" s="239"/>
      <c r="Z870" s="230"/>
      <c r="AA870" s="230"/>
      <c r="AB870" s="230"/>
      <c r="AC870" s="230"/>
      <c r="AD870" s="239"/>
    </row>
    <row r="871" spans="1:30" ht="20.100000000000001" customHeight="1" x14ac:dyDescent="0.25">
      <c r="A871" s="230"/>
      <c r="B871" s="231"/>
      <c r="C871" s="231"/>
      <c r="D871" s="231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30"/>
      <c r="S871" s="239"/>
      <c r="T871" s="230"/>
      <c r="U871" s="230"/>
      <c r="V871" s="230"/>
      <c r="W871" s="230"/>
      <c r="X871" s="239"/>
      <c r="Y871" s="239"/>
      <c r="Z871" s="230"/>
      <c r="AA871" s="230"/>
      <c r="AB871" s="230"/>
      <c r="AC871" s="230"/>
      <c r="AD871" s="239"/>
    </row>
    <row r="872" spans="1:30" ht="20.100000000000001" customHeight="1" x14ac:dyDescent="0.25">
      <c r="A872" s="230"/>
      <c r="B872" s="231"/>
      <c r="C872" s="231"/>
      <c r="D872" s="231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30"/>
      <c r="S872" s="239"/>
      <c r="T872" s="230"/>
      <c r="U872" s="230"/>
      <c r="V872" s="230"/>
      <c r="W872" s="230"/>
      <c r="X872" s="239"/>
      <c r="Y872" s="239"/>
      <c r="Z872" s="230"/>
      <c r="AA872" s="230"/>
      <c r="AB872" s="230"/>
      <c r="AC872" s="230"/>
      <c r="AD872" s="239"/>
    </row>
    <row r="873" spans="1:30" ht="20.100000000000001" customHeight="1" x14ac:dyDescent="0.25">
      <c r="A873" s="230"/>
      <c r="B873" s="231"/>
      <c r="C873" s="231"/>
      <c r="D873" s="231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30"/>
      <c r="S873" s="239"/>
      <c r="T873" s="230"/>
      <c r="U873" s="230"/>
      <c r="V873" s="230"/>
      <c r="W873" s="230"/>
      <c r="X873" s="239"/>
      <c r="Y873" s="239"/>
      <c r="Z873" s="230"/>
      <c r="AA873" s="230"/>
      <c r="AB873" s="230"/>
      <c r="AC873" s="230"/>
      <c r="AD873" s="239"/>
    </row>
    <row r="874" spans="1:30" ht="20.100000000000001" customHeight="1" x14ac:dyDescent="0.25">
      <c r="A874" s="230"/>
      <c r="B874" s="231"/>
      <c r="C874" s="231"/>
      <c r="D874" s="231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30"/>
      <c r="S874" s="239"/>
      <c r="T874" s="230"/>
      <c r="U874" s="230"/>
      <c r="V874" s="230"/>
      <c r="W874" s="230"/>
      <c r="X874" s="239"/>
      <c r="Y874" s="239"/>
      <c r="Z874" s="230"/>
      <c r="AA874" s="230"/>
      <c r="AB874" s="230"/>
      <c r="AC874" s="230"/>
      <c r="AD874" s="239"/>
    </row>
    <row r="875" spans="1:30" ht="20.100000000000001" customHeight="1" x14ac:dyDescent="0.25">
      <c r="A875" s="230"/>
      <c r="B875" s="231"/>
      <c r="C875" s="231"/>
      <c r="D875" s="231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30"/>
      <c r="S875" s="239"/>
      <c r="T875" s="230"/>
      <c r="U875" s="230"/>
      <c r="V875" s="230"/>
      <c r="W875" s="230"/>
      <c r="X875" s="239"/>
      <c r="Y875" s="239"/>
      <c r="Z875" s="230"/>
      <c r="AA875" s="230"/>
      <c r="AB875" s="230"/>
      <c r="AC875" s="230"/>
      <c r="AD875" s="239"/>
    </row>
    <row r="876" spans="1:30" ht="20.100000000000001" customHeight="1" x14ac:dyDescent="0.25">
      <c r="A876" s="230"/>
      <c r="B876" s="231"/>
      <c r="C876" s="231"/>
      <c r="D876" s="231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30"/>
      <c r="S876" s="239"/>
      <c r="T876" s="230"/>
      <c r="U876" s="230"/>
      <c r="V876" s="230"/>
      <c r="W876" s="230"/>
      <c r="X876" s="239"/>
      <c r="Y876" s="239"/>
      <c r="Z876" s="230"/>
      <c r="AA876" s="230"/>
      <c r="AB876" s="230"/>
      <c r="AC876" s="230"/>
      <c r="AD876" s="239"/>
    </row>
    <row r="877" spans="1:30" ht="20.100000000000001" customHeight="1" x14ac:dyDescent="0.25">
      <c r="A877" s="230"/>
      <c r="B877" s="231"/>
      <c r="C877" s="231"/>
      <c r="D877" s="231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30"/>
      <c r="S877" s="239"/>
      <c r="T877" s="230"/>
      <c r="U877" s="230"/>
      <c r="V877" s="230"/>
      <c r="W877" s="230"/>
      <c r="X877" s="239"/>
      <c r="Y877" s="239"/>
      <c r="Z877" s="230"/>
      <c r="AA877" s="230"/>
      <c r="AB877" s="230"/>
      <c r="AC877" s="230"/>
      <c r="AD877" s="239"/>
    </row>
    <row r="878" spans="1:30" ht="20.100000000000001" customHeight="1" x14ac:dyDescent="0.25">
      <c r="A878" s="230"/>
      <c r="B878" s="231"/>
      <c r="C878" s="231"/>
      <c r="D878" s="231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30"/>
      <c r="S878" s="239"/>
      <c r="T878" s="230"/>
      <c r="U878" s="230"/>
      <c r="V878" s="230"/>
      <c r="W878" s="230"/>
      <c r="X878" s="239"/>
      <c r="Y878" s="239"/>
      <c r="Z878" s="230"/>
      <c r="AA878" s="230"/>
      <c r="AB878" s="230"/>
      <c r="AC878" s="230"/>
      <c r="AD878" s="239"/>
    </row>
    <row r="879" spans="1:30" ht="20.100000000000001" customHeight="1" x14ac:dyDescent="0.25">
      <c r="A879" s="230"/>
      <c r="B879" s="231"/>
      <c r="C879" s="231"/>
      <c r="D879" s="231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30"/>
      <c r="S879" s="239"/>
      <c r="T879" s="230"/>
      <c r="U879" s="230"/>
      <c r="V879" s="230"/>
      <c r="W879" s="230"/>
      <c r="X879" s="239"/>
      <c r="Y879" s="239"/>
      <c r="Z879" s="230"/>
      <c r="AA879" s="230"/>
      <c r="AB879" s="230"/>
      <c r="AC879" s="230"/>
      <c r="AD879" s="239"/>
    </row>
    <row r="880" spans="1:30" ht="20.100000000000001" customHeight="1" x14ac:dyDescent="0.25">
      <c r="A880" s="230"/>
      <c r="B880" s="231"/>
      <c r="C880" s="231"/>
      <c r="D880" s="231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30"/>
      <c r="S880" s="239"/>
      <c r="T880" s="230"/>
      <c r="U880" s="230"/>
      <c r="V880" s="230"/>
      <c r="W880" s="230"/>
      <c r="X880" s="239"/>
      <c r="Y880" s="239"/>
      <c r="Z880" s="230"/>
      <c r="AA880" s="230"/>
      <c r="AB880" s="230"/>
      <c r="AC880" s="230"/>
      <c r="AD880" s="239"/>
    </row>
    <row r="881" spans="1:30" ht="20.100000000000001" customHeight="1" x14ac:dyDescent="0.25">
      <c r="A881" s="230"/>
      <c r="B881" s="231"/>
      <c r="C881" s="231"/>
      <c r="D881" s="231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30"/>
      <c r="S881" s="239"/>
      <c r="T881" s="230"/>
      <c r="U881" s="230"/>
      <c r="V881" s="230"/>
      <c r="W881" s="230"/>
      <c r="X881" s="239"/>
      <c r="Y881" s="239"/>
      <c r="Z881" s="230"/>
      <c r="AA881" s="230"/>
      <c r="AB881" s="230"/>
      <c r="AC881" s="230"/>
      <c r="AD881" s="239"/>
    </row>
    <row r="882" spans="1:30" ht="20.100000000000001" customHeight="1" x14ac:dyDescent="0.25">
      <c r="A882" s="230"/>
      <c r="B882" s="231"/>
      <c r="C882" s="231"/>
      <c r="D882" s="231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30"/>
      <c r="S882" s="239"/>
      <c r="T882" s="230"/>
      <c r="U882" s="230"/>
      <c r="V882" s="230"/>
      <c r="W882" s="230"/>
      <c r="X882" s="239"/>
      <c r="Y882" s="239"/>
      <c r="Z882" s="230"/>
      <c r="AA882" s="230"/>
      <c r="AB882" s="230"/>
      <c r="AC882" s="230"/>
      <c r="AD882" s="239"/>
    </row>
    <row r="883" spans="1:30" ht="20.100000000000001" customHeight="1" x14ac:dyDescent="0.25">
      <c r="A883" s="230"/>
      <c r="B883" s="231"/>
      <c r="C883" s="231"/>
      <c r="D883" s="231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30"/>
      <c r="S883" s="239"/>
      <c r="T883" s="230"/>
      <c r="U883" s="230"/>
      <c r="V883" s="230"/>
      <c r="W883" s="230"/>
      <c r="X883" s="239"/>
      <c r="Y883" s="239"/>
      <c r="Z883" s="230"/>
      <c r="AA883" s="230"/>
      <c r="AB883" s="230"/>
      <c r="AC883" s="230"/>
      <c r="AD883" s="239"/>
    </row>
    <row r="884" spans="1:30" ht="20.100000000000001" customHeight="1" x14ac:dyDescent="0.25">
      <c r="A884" s="230"/>
      <c r="B884" s="231"/>
      <c r="C884" s="231"/>
      <c r="D884" s="231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30"/>
      <c r="S884" s="239"/>
      <c r="T884" s="230"/>
      <c r="U884" s="230"/>
      <c r="V884" s="230"/>
      <c r="W884" s="230"/>
      <c r="X884" s="239"/>
      <c r="Y884" s="239"/>
      <c r="Z884" s="230"/>
      <c r="AA884" s="230"/>
      <c r="AB884" s="230"/>
      <c r="AC884" s="230"/>
      <c r="AD884" s="239"/>
    </row>
    <row r="885" spans="1:30" ht="20.100000000000001" customHeight="1" x14ac:dyDescent="0.25">
      <c r="A885" s="230"/>
      <c r="B885" s="231"/>
      <c r="C885" s="231"/>
      <c r="D885" s="231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30"/>
      <c r="S885" s="239"/>
      <c r="T885" s="230"/>
      <c r="U885" s="230"/>
      <c r="V885" s="230"/>
      <c r="W885" s="230"/>
      <c r="X885" s="239"/>
      <c r="Y885" s="239"/>
      <c r="Z885" s="230"/>
      <c r="AA885" s="230"/>
      <c r="AB885" s="230"/>
      <c r="AC885" s="230"/>
      <c r="AD885" s="239"/>
    </row>
    <row r="886" spans="1:30" ht="20.100000000000001" customHeight="1" x14ac:dyDescent="0.25">
      <c r="A886" s="230"/>
      <c r="B886" s="231"/>
      <c r="C886" s="231"/>
      <c r="D886" s="231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30"/>
      <c r="S886" s="239"/>
      <c r="T886" s="230"/>
      <c r="U886" s="230"/>
      <c r="V886" s="230"/>
      <c r="W886" s="230"/>
      <c r="X886" s="239"/>
      <c r="Y886" s="239"/>
      <c r="Z886" s="230"/>
      <c r="AA886" s="230"/>
      <c r="AB886" s="230"/>
      <c r="AC886" s="230"/>
      <c r="AD886" s="239"/>
    </row>
    <row r="887" spans="1:30" ht="20.100000000000001" customHeight="1" x14ac:dyDescent="0.25">
      <c r="A887" s="230"/>
      <c r="B887" s="231"/>
      <c r="C887" s="231"/>
      <c r="D887" s="231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30"/>
      <c r="S887" s="239"/>
      <c r="T887" s="230"/>
      <c r="U887" s="230"/>
      <c r="V887" s="230"/>
      <c r="W887" s="230"/>
      <c r="X887" s="239"/>
      <c r="Y887" s="239"/>
      <c r="Z887" s="230"/>
      <c r="AA887" s="230"/>
      <c r="AB887" s="230"/>
      <c r="AC887" s="230"/>
      <c r="AD887" s="239"/>
    </row>
    <row r="888" spans="1:30" ht="20.100000000000001" customHeight="1" x14ac:dyDescent="0.25">
      <c r="A888" s="230"/>
      <c r="B888" s="231"/>
      <c r="C888" s="231"/>
      <c r="D888" s="231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30"/>
      <c r="S888" s="239"/>
      <c r="T888" s="230"/>
      <c r="U888" s="230"/>
      <c r="V888" s="230"/>
      <c r="W888" s="230"/>
      <c r="X888" s="239"/>
      <c r="Y888" s="239"/>
      <c r="Z888" s="230"/>
      <c r="AA888" s="230"/>
      <c r="AB888" s="230"/>
      <c r="AC888" s="230"/>
      <c r="AD888" s="239"/>
    </row>
    <row r="889" spans="1:30" ht="15.75" x14ac:dyDescent="0.25">
      <c r="A889" s="230"/>
      <c r="B889" s="231"/>
      <c r="C889" s="231"/>
      <c r="D889" s="231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30"/>
      <c r="S889" s="239"/>
      <c r="T889" s="230"/>
      <c r="U889" s="230"/>
      <c r="V889" s="230"/>
      <c r="W889" s="230"/>
      <c r="X889" s="239"/>
      <c r="Y889" s="239"/>
      <c r="Z889" s="230"/>
      <c r="AA889" s="230"/>
      <c r="AB889" s="230"/>
      <c r="AC889" s="230"/>
      <c r="AD889" s="239"/>
    </row>
    <row r="890" spans="1:30" ht="15.75" x14ac:dyDescent="0.25">
      <c r="A890" s="230"/>
      <c r="B890" s="231"/>
      <c r="C890" s="231"/>
      <c r="D890" s="231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30"/>
      <c r="S890" s="239"/>
      <c r="T890" s="230"/>
      <c r="U890" s="230"/>
      <c r="V890" s="230"/>
      <c r="W890" s="230"/>
      <c r="X890" s="239"/>
      <c r="Y890" s="239"/>
      <c r="Z890" s="230"/>
      <c r="AA890" s="230"/>
      <c r="AB890" s="230"/>
      <c r="AC890" s="230"/>
      <c r="AD890" s="239"/>
    </row>
    <row r="891" spans="1:30" ht="15.75" x14ac:dyDescent="0.25">
      <c r="A891" s="230"/>
      <c r="B891" s="231"/>
      <c r="C891" s="231"/>
      <c r="D891" s="231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30"/>
      <c r="S891" s="239"/>
      <c r="T891" s="230"/>
      <c r="U891" s="230"/>
      <c r="V891" s="230"/>
      <c r="W891" s="230"/>
      <c r="X891" s="239"/>
      <c r="Y891" s="239"/>
      <c r="Z891" s="230"/>
      <c r="AA891" s="230"/>
      <c r="AB891" s="230"/>
      <c r="AC891" s="230"/>
      <c r="AD891" s="239"/>
    </row>
    <row r="892" spans="1:30" ht="15.75" x14ac:dyDescent="0.25">
      <c r="A892" s="230"/>
      <c r="B892" s="231"/>
      <c r="C892" s="231"/>
      <c r="D892" s="231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30"/>
      <c r="S892" s="239"/>
      <c r="T892" s="230"/>
      <c r="U892" s="230"/>
      <c r="V892" s="230"/>
      <c r="W892" s="230"/>
      <c r="X892" s="239"/>
      <c r="Y892" s="239"/>
      <c r="Z892" s="230"/>
      <c r="AA892" s="230"/>
      <c r="AB892" s="230"/>
      <c r="AC892" s="230"/>
      <c r="AD892" s="239"/>
    </row>
    <row r="893" spans="1:30" ht="15.75" x14ac:dyDescent="0.25">
      <c r="A893" s="230"/>
      <c r="B893" s="231"/>
      <c r="C893" s="231"/>
      <c r="D893" s="231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30"/>
      <c r="S893" s="239"/>
      <c r="T893" s="230"/>
      <c r="U893" s="230"/>
      <c r="V893" s="230"/>
      <c r="W893" s="230"/>
      <c r="X893" s="239"/>
      <c r="Y893" s="239"/>
      <c r="Z893" s="230"/>
      <c r="AA893" s="230"/>
      <c r="AB893" s="230"/>
      <c r="AC893" s="230"/>
      <c r="AD893" s="239"/>
    </row>
    <row r="894" spans="1:30" ht="15.75" x14ac:dyDescent="0.25">
      <c r="A894" s="230"/>
      <c r="B894" s="231"/>
      <c r="C894" s="231"/>
      <c r="D894" s="231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30"/>
      <c r="S894" s="239"/>
      <c r="T894" s="230"/>
      <c r="U894" s="230"/>
      <c r="V894" s="230"/>
      <c r="W894" s="230"/>
      <c r="X894" s="239"/>
      <c r="Y894" s="239"/>
      <c r="Z894" s="230"/>
      <c r="AA894" s="230"/>
      <c r="AB894" s="230"/>
      <c r="AC894" s="230"/>
      <c r="AD894" s="239"/>
    </row>
    <row r="895" spans="1:30" ht="15.75" x14ac:dyDescent="0.25">
      <c r="A895" s="230"/>
      <c r="B895" s="231"/>
      <c r="C895" s="231"/>
      <c r="D895" s="231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30"/>
      <c r="S895" s="239"/>
      <c r="T895" s="230"/>
      <c r="U895" s="230"/>
      <c r="V895" s="230"/>
      <c r="W895" s="230"/>
      <c r="X895" s="239"/>
      <c r="Y895" s="239"/>
      <c r="Z895" s="230"/>
      <c r="AA895" s="230"/>
      <c r="AB895" s="230"/>
      <c r="AC895" s="230"/>
      <c r="AD895" s="239"/>
    </row>
    <row r="896" spans="1:30" ht="15.75" x14ac:dyDescent="0.25">
      <c r="A896" s="230"/>
      <c r="B896" s="231"/>
      <c r="C896" s="231"/>
      <c r="D896" s="231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30"/>
      <c r="S896" s="239"/>
      <c r="T896" s="230"/>
      <c r="U896" s="230"/>
      <c r="V896" s="230"/>
      <c r="W896" s="230"/>
      <c r="X896" s="239"/>
      <c r="Y896" s="239"/>
      <c r="Z896" s="230"/>
      <c r="AA896" s="230"/>
      <c r="AB896" s="230"/>
      <c r="AC896" s="230"/>
      <c r="AD896" s="239"/>
    </row>
    <row r="897" spans="1:30" ht="15.75" x14ac:dyDescent="0.25">
      <c r="A897" s="230"/>
      <c r="B897" s="231"/>
      <c r="C897" s="231"/>
      <c r="D897" s="231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30"/>
      <c r="S897" s="239"/>
      <c r="T897" s="230"/>
      <c r="U897" s="230"/>
      <c r="V897" s="230"/>
      <c r="W897" s="230"/>
      <c r="X897" s="239"/>
      <c r="Y897" s="239"/>
      <c r="Z897" s="230"/>
      <c r="AA897" s="230"/>
      <c r="AB897" s="230"/>
      <c r="AC897" s="230"/>
      <c r="AD897" s="239"/>
    </row>
    <row r="898" spans="1:30" ht="15.75" x14ac:dyDescent="0.25">
      <c r="A898" s="230"/>
      <c r="B898" s="231"/>
      <c r="C898" s="231"/>
      <c r="D898" s="231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30"/>
      <c r="S898" s="239"/>
      <c r="T898" s="230"/>
      <c r="U898" s="230"/>
      <c r="V898" s="230"/>
      <c r="W898" s="230"/>
      <c r="X898" s="239"/>
      <c r="Y898" s="239"/>
      <c r="Z898" s="230"/>
      <c r="AA898" s="230"/>
      <c r="AB898" s="230"/>
      <c r="AC898" s="230"/>
      <c r="AD898" s="239"/>
    </row>
    <row r="899" spans="1:30" ht="15.75" x14ac:dyDescent="0.25">
      <c r="A899" s="230"/>
      <c r="B899" s="231"/>
      <c r="C899" s="231"/>
      <c r="D899" s="231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30"/>
      <c r="S899" s="239"/>
      <c r="T899" s="230"/>
      <c r="U899" s="230"/>
      <c r="V899" s="230"/>
      <c r="W899" s="230"/>
      <c r="X899" s="239"/>
      <c r="Y899" s="239"/>
      <c r="Z899" s="230"/>
      <c r="AA899" s="230"/>
      <c r="AB899" s="230"/>
      <c r="AC899" s="230"/>
      <c r="AD899" s="239"/>
    </row>
    <row r="900" spans="1:30" ht="15.75" x14ac:dyDescent="0.25">
      <c r="A900" s="230"/>
      <c r="B900" s="231"/>
      <c r="C900" s="231"/>
      <c r="D900" s="231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30"/>
      <c r="S900" s="239"/>
      <c r="T900" s="230"/>
      <c r="U900" s="230"/>
      <c r="V900" s="230"/>
      <c r="W900" s="230"/>
      <c r="X900" s="239"/>
      <c r="Y900" s="239"/>
      <c r="Z900" s="230"/>
      <c r="AA900" s="230"/>
      <c r="AB900" s="230"/>
      <c r="AC900" s="230"/>
      <c r="AD900" s="239"/>
    </row>
    <row r="901" spans="1:30" ht="15.75" x14ac:dyDescent="0.25">
      <c r="A901" s="230"/>
      <c r="B901" s="231"/>
      <c r="C901" s="231"/>
      <c r="D901" s="231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30"/>
      <c r="S901" s="239"/>
      <c r="T901" s="230"/>
      <c r="U901" s="230"/>
      <c r="V901" s="230"/>
      <c r="W901" s="230"/>
      <c r="X901" s="239"/>
      <c r="Y901" s="239"/>
      <c r="Z901" s="230"/>
      <c r="AA901" s="230"/>
      <c r="AB901" s="230"/>
      <c r="AC901" s="230"/>
      <c r="AD901" s="239"/>
    </row>
    <row r="902" spans="1:30" ht="15.75" x14ac:dyDescent="0.25">
      <c r="A902" s="230"/>
      <c r="B902" s="231"/>
      <c r="C902" s="231"/>
      <c r="D902" s="231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30"/>
      <c r="S902" s="239"/>
      <c r="T902" s="230"/>
      <c r="U902" s="230"/>
      <c r="V902" s="230"/>
      <c r="W902" s="230"/>
      <c r="X902" s="239"/>
      <c r="Y902" s="239"/>
      <c r="Z902" s="230"/>
      <c r="AA902" s="230"/>
      <c r="AB902" s="230"/>
      <c r="AC902" s="230"/>
      <c r="AD902" s="239"/>
    </row>
    <row r="903" spans="1:30" ht="15.75" x14ac:dyDescent="0.25">
      <c r="A903" s="230"/>
      <c r="B903" s="231"/>
      <c r="C903" s="231"/>
      <c r="D903" s="231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30"/>
      <c r="S903" s="239"/>
      <c r="T903" s="230"/>
      <c r="U903" s="230"/>
      <c r="V903" s="230"/>
      <c r="W903" s="230"/>
      <c r="X903" s="239"/>
      <c r="Y903" s="239"/>
      <c r="Z903" s="230"/>
      <c r="AA903" s="230"/>
      <c r="AB903" s="230"/>
      <c r="AC903" s="230"/>
      <c r="AD903" s="239"/>
    </row>
    <row r="904" spans="1:30" ht="15.75" x14ac:dyDescent="0.25">
      <c r="A904" s="230"/>
      <c r="B904" s="231"/>
      <c r="C904" s="231"/>
      <c r="D904" s="231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30"/>
      <c r="S904" s="239"/>
      <c r="T904" s="230"/>
      <c r="U904" s="230"/>
      <c r="V904" s="230"/>
      <c r="W904" s="230"/>
      <c r="X904" s="239"/>
      <c r="Y904" s="239"/>
      <c r="Z904" s="230"/>
      <c r="AA904" s="230"/>
      <c r="AB904" s="230"/>
      <c r="AC904" s="230"/>
      <c r="AD904" s="239"/>
    </row>
    <row r="905" spans="1:30" ht="15.75" x14ac:dyDescent="0.25">
      <c r="A905" s="230"/>
      <c r="B905" s="231"/>
      <c r="C905" s="231"/>
      <c r="D905" s="231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30"/>
      <c r="S905" s="239"/>
      <c r="T905" s="230"/>
      <c r="U905" s="230"/>
      <c r="V905" s="230"/>
      <c r="W905" s="230"/>
      <c r="X905" s="239"/>
      <c r="Y905" s="239"/>
      <c r="Z905" s="230"/>
      <c r="AA905" s="230"/>
      <c r="AB905" s="230"/>
      <c r="AC905" s="230"/>
      <c r="AD905" s="239"/>
    </row>
    <row r="906" spans="1:30" ht="15.75" x14ac:dyDescent="0.25">
      <c r="A906" s="230"/>
      <c r="B906" s="231"/>
      <c r="C906" s="231"/>
      <c r="D906" s="231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30"/>
      <c r="S906" s="239"/>
      <c r="T906" s="230"/>
      <c r="U906" s="230"/>
      <c r="V906" s="230"/>
      <c r="W906" s="230"/>
      <c r="X906" s="239"/>
      <c r="Y906" s="239"/>
      <c r="Z906" s="230"/>
      <c r="AA906" s="230"/>
      <c r="AB906" s="230"/>
      <c r="AC906" s="230"/>
      <c r="AD906" s="239"/>
    </row>
    <row r="907" spans="1:30" ht="15.75" x14ac:dyDescent="0.25">
      <c r="A907" s="230"/>
      <c r="B907" s="231"/>
      <c r="C907" s="231"/>
      <c r="D907" s="231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30"/>
      <c r="S907" s="239"/>
      <c r="T907" s="230"/>
      <c r="U907" s="230"/>
      <c r="V907" s="230"/>
      <c r="W907" s="230"/>
      <c r="X907" s="239"/>
      <c r="Y907" s="239"/>
      <c r="Z907" s="230"/>
      <c r="AA907" s="230"/>
      <c r="AB907" s="230"/>
      <c r="AC907" s="230"/>
      <c r="AD907" s="239"/>
    </row>
    <row r="908" spans="1:30" ht="15.75" x14ac:dyDescent="0.25">
      <c r="A908" s="230"/>
      <c r="B908" s="231"/>
      <c r="C908" s="231"/>
      <c r="D908" s="231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30"/>
      <c r="S908" s="239"/>
      <c r="T908" s="230"/>
      <c r="U908" s="230"/>
      <c r="V908" s="230"/>
      <c r="W908" s="230"/>
      <c r="X908" s="239"/>
      <c r="Y908" s="239"/>
      <c r="Z908" s="230"/>
      <c r="AA908" s="230"/>
      <c r="AB908" s="230"/>
      <c r="AC908" s="230"/>
      <c r="AD908" s="239"/>
    </row>
    <row r="909" spans="1:30" ht="15.75" x14ac:dyDescent="0.25">
      <c r="A909" s="230"/>
      <c r="B909" s="231"/>
      <c r="C909" s="231"/>
      <c r="D909" s="231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30"/>
      <c r="S909" s="239"/>
      <c r="T909" s="230"/>
      <c r="U909" s="230"/>
      <c r="V909" s="230"/>
      <c r="W909" s="230"/>
      <c r="X909" s="239"/>
      <c r="Y909" s="239"/>
      <c r="Z909" s="230"/>
      <c r="AA909" s="230"/>
      <c r="AB909" s="230"/>
      <c r="AC909" s="230"/>
      <c r="AD909" s="239"/>
    </row>
    <row r="910" spans="1:30" ht="15.75" x14ac:dyDescent="0.25">
      <c r="A910" s="230"/>
      <c r="B910" s="231"/>
      <c r="C910" s="231"/>
      <c r="D910" s="231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30"/>
      <c r="S910" s="239"/>
      <c r="T910" s="230"/>
      <c r="U910" s="230"/>
      <c r="V910" s="230"/>
      <c r="W910" s="230"/>
      <c r="X910" s="239"/>
      <c r="Y910" s="239"/>
      <c r="Z910" s="230"/>
      <c r="AA910" s="230"/>
      <c r="AB910" s="230"/>
      <c r="AC910" s="230"/>
      <c r="AD910" s="239"/>
    </row>
    <row r="911" spans="1:30" ht="15.75" x14ac:dyDescent="0.25">
      <c r="A911" s="230"/>
      <c r="B911" s="231"/>
      <c r="C911" s="231"/>
      <c r="D911" s="231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30"/>
      <c r="S911" s="239"/>
      <c r="T911" s="230"/>
      <c r="U911" s="230"/>
      <c r="V911" s="230"/>
      <c r="W911" s="230"/>
      <c r="X911" s="239"/>
      <c r="Y911" s="239"/>
      <c r="Z911" s="230"/>
      <c r="AA911" s="230"/>
      <c r="AB911" s="230"/>
      <c r="AC911" s="230"/>
      <c r="AD911" s="239"/>
    </row>
    <row r="912" spans="1:30" ht="15.75" x14ac:dyDescent="0.25">
      <c r="A912" s="230"/>
      <c r="B912" s="231"/>
      <c r="C912" s="231"/>
      <c r="D912" s="231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30"/>
      <c r="S912" s="239"/>
      <c r="T912" s="230"/>
      <c r="U912" s="230"/>
      <c r="V912" s="230"/>
      <c r="W912" s="230"/>
      <c r="X912" s="239"/>
      <c r="Y912" s="239"/>
      <c r="Z912" s="230"/>
      <c r="AA912" s="230"/>
      <c r="AB912" s="230"/>
      <c r="AC912" s="230"/>
      <c r="AD912" s="239"/>
    </row>
    <row r="913" spans="1:30" ht="15.75" x14ac:dyDescent="0.25">
      <c r="A913" s="230"/>
      <c r="B913" s="231"/>
      <c r="C913" s="231"/>
      <c r="D913" s="231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30"/>
      <c r="S913" s="239"/>
      <c r="T913" s="230"/>
      <c r="U913" s="230"/>
      <c r="V913" s="230"/>
      <c r="W913" s="230"/>
      <c r="X913" s="239"/>
      <c r="Y913" s="239"/>
      <c r="Z913" s="230"/>
      <c r="AA913" s="230"/>
      <c r="AB913" s="230"/>
      <c r="AC913" s="230"/>
      <c r="AD913" s="239"/>
    </row>
    <row r="914" spans="1:30" ht="15.75" x14ac:dyDescent="0.25">
      <c r="A914" s="230"/>
      <c r="B914" s="231"/>
      <c r="C914" s="231"/>
      <c r="D914" s="231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30"/>
      <c r="S914" s="239"/>
      <c r="T914" s="230"/>
      <c r="U914" s="230"/>
      <c r="V914" s="230"/>
      <c r="W914" s="230"/>
      <c r="X914" s="239"/>
      <c r="Y914" s="239"/>
      <c r="Z914" s="230"/>
      <c r="AA914" s="230"/>
      <c r="AB914" s="230"/>
      <c r="AC914" s="230"/>
      <c r="AD914" s="239"/>
    </row>
    <row r="915" spans="1:30" ht="15.75" x14ac:dyDescent="0.25">
      <c r="A915" s="230"/>
      <c r="B915" s="231"/>
      <c r="C915" s="231"/>
      <c r="D915" s="231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30"/>
      <c r="S915" s="239"/>
      <c r="T915" s="230"/>
      <c r="U915" s="230"/>
      <c r="V915" s="230"/>
      <c r="W915" s="230"/>
      <c r="X915" s="239"/>
      <c r="Y915" s="239"/>
      <c r="Z915" s="230"/>
      <c r="AA915" s="230"/>
      <c r="AB915" s="230"/>
      <c r="AC915" s="230"/>
      <c r="AD915" s="239"/>
    </row>
    <row r="916" spans="1:30" ht="15.75" x14ac:dyDescent="0.25">
      <c r="A916" s="230"/>
      <c r="B916" s="231"/>
      <c r="C916" s="231"/>
      <c r="D916" s="231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30"/>
      <c r="S916" s="239"/>
      <c r="T916" s="230"/>
      <c r="U916" s="230"/>
      <c r="V916" s="230"/>
      <c r="W916" s="230"/>
      <c r="X916" s="239"/>
      <c r="Y916" s="239"/>
      <c r="Z916" s="230"/>
      <c r="AA916" s="230"/>
      <c r="AB916" s="230"/>
      <c r="AC916" s="230"/>
      <c r="AD916" s="239"/>
    </row>
    <row r="917" spans="1:30" ht="15.75" x14ac:dyDescent="0.25">
      <c r="A917" s="230"/>
      <c r="B917" s="231"/>
      <c r="C917" s="231"/>
      <c r="D917" s="231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30"/>
      <c r="S917" s="239"/>
      <c r="T917" s="230"/>
      <c r="U917" s="230"/>
      <c r="V917" s="230"/>
      <c r="W917" s="230"/>
      <c r="X917" s="239"/>
      <c r="Y917" s="239"/>
      <c r="Z917" s="230"/>
      <c r="AA917" s="230"/>
      <c r="AB917" s="230"/>
      <c r="AC917" s="230"/>
      <c r="AD917" s="239"/>
    </row>
    <row r="918" spans="1:30" ht="15.75" x14ac:dyDescent="0.25">
      <c r="A918" s="230"/>
      <c r="B918" s="231"/>
      <c r="C918" s="231"/>
      <c r="D918" s="231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30"/>
      <c r="S918" s="239"/>
      <c r="T918" s="230"/>
      <c r="U918" s="230"/>
      <c r="V918" s="230"/>
      <c r="W918" s="230"/>
      <c r="X918" s="239"/>
      <c r="Y918" s="239"/>
      <c r="Z918" s="230"/>
      <c r="AA918" s="230"/>
      <c r="AB918" s="230"/>
      <c r="AC918" s="230"/>
      <c r="AD918" s="239"/>
    </row>
    <row r="919" spans="1:30" ht="15.75" x14ac:dyDescent="0.25">
      <c r="A919" s="230"/>
      <c r="B919" s="231"/>
      <c r="C919" s="231"/>
      <c r="D919" s="231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30"/>
      <c r="S919" s="239"/>
      <c r="T919" s="230"/>
      <c r="U919" s="230"/>
      <c r="V919" s="230"/>
      <c r="W919" s="230"/>
      <c r="X919" s="239"/>
      <c r="Y919" s="239"/>
      <c r="Z919" s="230"/>
      <c r="AA919" s="230"/>
      <c r="AB919" s="230"/>
      <c r="AC919" s="230"/>
      <c r="AD919" s="239"/>
    </row>
    <row r="920" spans="1:30" ht="15.75" x14ac:dyDescent="0.25">
      <c r="A920" s="230"/>
      <c r="B920" s="231"/>
      <c r="C920" s="231"/>
      <c r="D920" s="231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30"/>
      <c r="S920" s="239"/>
      <c r="T920" s="230"/>
      <c r="U920" s="230"/>
      <c r="V920" s="230"/>
      <c r="W920" s="230"/>
      <c r="X920" s="239"/>
      <c r="Y920" s="239"/>
      <c r="Z920" s="230"/>
      <c r="AA920" s="230"/>
      <c r="AB920" s="230"/>
      <c r="AC920" s="230"/>
      <c r="AD920" s="239"/>
    </row>
    <row r="921" spans="1:30" ht="15.75" x14ac:dyDescent="0.25">
      <c r="A921" s="230"/>
      <c r="B921" s="231"/>
      <c r="C921" s="231"/>
      <c r="D921" s="231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30"/>
      <c r="S921" s="239"/>
      <c r="T921" s="230"/>
      <c r="U921" s="230"/>
      <c r="V921" s="230"/>
      <c r="W921" s="230"/>
      <c r="X921" s="239"/>
      <c r="Y921" s="239"/>
      <c r="Z921" s="230"/>
      <c r="AA921" s="230"/>
      <c r="AB921" s="230"/>
      <c r="AC921" s="230"/>
      <c r="AD921" s="239"/>
    </row>
    <row r="922" spans="1:30" ht="15.75" x14ac:dyDescent="0.25">
      <c r="A922" s="230"/>
      <c r="B922" s="231"/>
      <c r="C922" s="231"/>
      <c r="D922" s="231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30"/>
      <c r="S922" s="239"/>
      <c r="T922" s="230"/>
      <c r="U922" s="230"/>
      <c r="V922" s="230"/>
      <c r="W922" s="230"/>
      <c r="X922" s="239"/>
      <c r="Y922" s="239"/>
      <c r="Z922" s="230"/>
      <c r="AA922" s="230"/>
      <c r="AB922" s="230"/>
      <c r="AC922" s="230"/>
      <c r="AD922" s="239"/>
    </row>
    <row r="923" spans="1:30" ht="15.75" x14ac:dyDescent="0.25">
      <c r="A923" s="230"/>
      <c r="B923" s="231"/>
      <c r="C923" s="231"/>
      <c r="D923" s="231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30"/>
      <c r="S923" s="239"/>
      <c r="T923" s="230"/>
      <c r="U923" s="230"/>
      <c r="V923" s="230"/>
      <c r="W923" s="230"/>
      <c r="X923" s="239"/>
      <c r="Y923" s="239"/>
      <c r="Z923" s="230"/>
      <c r="AA923" s="230"/>
      <c r="AB923" s="230"/>
      <c r="AC923" s="230"/>
      <c r="AD923" s="239"/>
    </row>
    <row r="924" spans="1:30" ht="15.75" x14ac:dyDescent="0.25">
      <c r="A924" s="230"/>
      <c r="B924" s="231"/>
      <c r="C924" s="231"/>
      <c r="D924" s="231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30"/>
      <c r="S924" s="239"/>
      <c r="T924" s="230"/>
      <c r="U924" s="230"/>
      <c r="V924" s="230"/>
      <c r="W924" s="230"/>
      <c r="X924" s="239"/>
      <c r="Y924" s="239"/>
      <c r="Z924" s="230"/>
      <c r="AA924" s="230"/>
      <c r="AB924" s="230"/>
      <c r="AC924" s="230"/>
      <c r="AD924" s="239"/>
    </row>
    <row r="925" spans="1:30" ht="15.75" x14ac:dyDescent="0.25">
      <c r="A925" s="230"/>
      <c r="B925" s="231"/>
      <c r="C925" s="231"/>
      <c r="D925" s="231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30"/>
      <c r="S925" s="239"/>
      <c r="T925" s="230"/>
      <c r="U925" s="230"/>
      <c r="V925" s="230"/>
      <c r="W925" s="230"/>
      <c r="X925" s="239"/>
      <c r="Y925" s="239"/>
      <c r="Z925" s="230"/>
      <c r="AA925" s="230"/>
      <c r="AB925" s="230"/>
      <c r="AC925" s="230"/>
      <c r="AD925" s="239"/>
    </row>
    <row r="926" spans="1:30" ht="15.75" x14ac:dyDescent="0.25">
      <c r="A926" s="230"/>
      <c r="B926" s="231"/>
      <c r="C926" s="231"/>
      <c r="D926" s="231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30"/>
      <c r="S926" s="239"/>
      <c r="T926" s="230"/>
      <c r="U926" s="230"/>
      <c r="V926" s="230"/>
      <c r="W926" s="230"/>
      <c r="X926" s="239"/>
      <c r="Y926" s="239"/>
      <c r="Z926" s="230"/>
      <c r="AA926" s="230"/>
      <c r="AB926" s="230"/>
      <c r="AC926" s="230"/>
      <c r="AD926" s="239"/>
    </row>
    <row r="927" spans="1:30" ht="15.75" x14ac:dyDescent="0.25">
      <c r="A927" s="230"/>
      <c r="B927" s="231"/>
      <c r="C927" s="231"/>
      <c r="D927" s="231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30"/>
      <c r="S927" s="239"/>
      <c r="T927" s="230"/>
      <c r="U927" s="230"/>
      <c r="V927" s="230"/>
      <c r="W927" s="230"/>
      <c r="X927" s="239"/>
      <c r="Y927" s="239"/>
      <c r="Z927" s="230"/>
      <c r="AA927" s="230"/>
      <c r="AB927" s="230"/>
      <c r="AC927" s="230"/>
      <c r="AD927" s="239"/>
    </row>
    <row r="928" spans="1:30" ht="15.75" x14ac:dyDescent="0.25">
      <c r="A928" s="230"/>
      <c r="B928" s="231"/>
      <c r="C928" s="231"/>
      <c r="D928" s="231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30"/>
      <c r="S928" s="239"/>
      <c r="T928" s="230"/>
      <c r="U928" s="230"/>
      <c r="V928" s="230"/>
      <c r="W928" s="230"/>
      <c r="X928" s="239"/>
      <c r="Y928" s="239"/>
      <c r="Z928" s="230"/>
      <c r="AA928" s="230"/>
      <c r="AB928" s="230"/>
      <c r="AC928" s="230"/>
      <c r="AD928" s="239"/>
    </row>
    <row r="929" spans="1:30" ht="15.75" x14ac:dyDescent="0.25">
      <c r="A929" s="230"/>
      <c r="B929" s="231"/>
      <c r="C929" s="231"/>
      <c r="D929" s="231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30"/>
      <c r="S929" s="239"/>
      <c r="T929" s="230"/>
      <c r="U929" s="230"/>
      <c r="V929" s="230"/>
      <c r="W929" s="230"/>
      <c r="X929" s="239"/>
      <c r="Y929" s="239"/>
      <c r="Z929" s="230"/>
      <c r="AA929" s="230"/>
      <c r="AB929" s="230"/>
      <c r="AC929" s="230"/>
      <c r="AD929" s="239"/>
    </row>
    <row r="930" spans="1:30" ht="15.75" x14ac:dyDescent="0.25">
      <c r="A930" s="230"/>
      <c r="B930" s="231"/>
      <c r="C930" s="231"/>
      <c r="D930" s="231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30"/>
      <c r="S930" s="239"/>
      <c r="T930" s="230"/>
      <c r="U930" s="230"/>
      <c r="V930" s="230"/>
      <c r="W930" s="230"/>
      <c r="X930" s="239"/>
      <c r="Y930" s="239"/>
      <c r="Z930" s="230"/>
      <c r="AA930" s="230"/>
      <c r="AB930" s="230"/>
      <c r="AC930" s="230"/>
      <c r="AD930" s="239"/>
    </row>
    <row r="931" spans="1:30" ht="15.75" x14ac:dyDescent="0.25">
      <c r="A931" s="230"/>
      <c r="B931" s="231"/>
      <c r="C931" s="231"/>
      <c r="D931" s="231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30"/>
      <c r="S931" s="239"/>
      <c r="T931" s="230"/>
      <c r="U931" s="230"/>
      <c r="V931" s="230"/>
      <c r="W931" s="230"/>
      <c r="X931" s="239"/>
      <c r="Y931" s="239"/>
      <c r="Z931" s="230"/>
      <c r="AA931" s="230"/>
      <c r="AB931" s="230"/>
      <c r="AC931" s="230"/>
      <c r="AD931" s="239"/>
    </row>
    <row r="932" spans="1:30" ht="15.75" x14ac:dyDescent="0.25">
      <c r="A932" s="230"/>
      <c r="B932" s="231"/>
      <c r="C932" s="231"/>
      <c r="D932" s="231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30"/>
      <c r="S932" s="239"/>
      <c r="T932" s="230"/>
      <c r="U932" s="230"/>
      <c r="V932" s="230"/>
      <c r="W932" s="230"/>
      <c r="X932" s="239"/>
      <c r="Y932" s="239"/>
      <c r="Z932" s="230"/>
      <c r="AA932" s="230"/>
      <c r="AB932" s="230"/>
      <c r="AC932" s="230"/>
      <c r="AD932" s="239"/>
    </row>
    <row r="933" spans="1:30" ht="15.75" x14ac:dyDescent="0.25">
      <c r="A933" s="230"/>
      <c r="B933" s="231"/>
      <c r="C933" s="231"/>
      <c r="D933" s="231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30"/>
      <c r="S933" s="239"/>
      <c r="T933" s="230"/>
      <c r="U933" s="230"/>
      <c r="V933" s="230"/>
      <c r="W933" s="230"/>
      <c r="X933" s="239"/>
      <c r="Y933" s="239"/>
      <c r="Z933" s="230"/>
      <c r="AA933" s="230"/>
      <c r="AB933" s="230"/>
      <c r="AC933" s="230"/>
      <c r="AD933" s="239"/>
    </row>
    <row r="934" spans="1:30" ht="15.75" x14ac:dyDescent="0.25">
      <c r="A934" s="230"/>
      <c r="B934" s="231"/>
      <c r="C934" s="231"/>
      <c r="D934" s="231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30"/>
      <c r="S934" s="239"/>
      <c r="T934" s="230"/>
      <c r="U934" s="230"/>
      <c r="V934" s="230"/>
      <c r="W934" s="230"/>
      <c r="X934" s="239"/>
      <c r="Y934" s="239"/>
      <c r="Z934" s="230"/>
      <c r="AA934" s="230"/>
      <c r="AB934" s="230"/>
      <c r="AC934" s="230"/>
      <c r="AD934" s="239"/>
    </row>
    <row r="935" spans="1:30" ht="15.75" x14ac:dyDescent="0.25">
      <c r="A935" s="230"/>
      <c r="B935" s="231"/>
      <c r="C935" s="231"/>
      <c r="D935" s="231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30"/>
      <c r="S935" s="239"/>
      <c r="T935" s="230"/>
      <c r="U935" s="230"/>
      <c r="V935" s="230"/>
      <c r="W935" s="230"/>
      <c r="X935" s="239"/>
      <c r="Y935" s="239"/>
      <c r="Z935" s="230"/>
      <c r="AA935" s="230"/>
      <c r="AB935" s="230"/>
      <c r="AC935" s="230"/>
      <c r="AD935" s="239"/>
    </row>
    <row r="936" spans="1:30" ht="15.75" x14ac:dyDescent="0.25">
      <c r="A936" s="230"/>
      <c r="B936" s="231"/>
      <c r="C936" s="231"/>
      <c r="D936" s="231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30"/>
      <c r="S936" s="239"/>
      <c r="T936" s="230"/>
      <c r="U936" s="230"/>
      <c r="V936" s="230"/>
      <c r="W936" s="230"/>
      <c r="X936" s="239"/>
      <c r="Y936" s="239"/>
      <c r="Z936" s="230"/>
      <c r="AA936" s="230"/>
      <c r="AB936" s="230"/>
      <c r="AC936" s="230"/>
      <c r="AD936" s="239"/>
    </row>
    <row r="937" spans="1:30" ht="15.75" x14ac:dyDescent="0.25">
      <c r="A937" s="230"/>
      <c r="B937" s="231"/>
      <c r="C937" s="231"/>
      <c r="D937" s="231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30"/>
      <c r="S937" s="239"/>
      <c r="T937" s="230"/>
      <c r="U937" s="230"/>
      <c r="V937" s="230"/>
      <c r="W937" s="230"/>
      <c r="X937" s="239"/>
      <c r="Y937" s="239"/>
      <c r="Z937" s="230"/>
      <c r="AA937" s="230"/>
      <c r="AB937" s="230"/>
      <c r="AC937" s="230"/>
      <c r="AD937" s="239"/>
    </row>
    <row r="938" spans="1:30" ht="15.75" x14ac:dyDescent="0.25">
      <c r="A938" s="230"/>
      <c r="B938" s="231"/>
      <c r="C938" s="231"/>
      <c r="D938" s="231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30"/>
      <c r="S938" s="239"/>
      <c r="T938" s="230"/>
      <c r="U938" s="230"/>
      <c r="V938" s="230"/>
      <c r="W938" s="230"/>
      <c r="X938" s="239"/>
      <c r="Y938" s="239"/>
      <c r="Z938" s="230"/>
      <c r="AA938" s="230"/>
      <c r="AB938" s="230"/>
      <c r="AC938" s="230"/>
      <c r="AD938" s="239"/>
    </row>
    <row r="939" spans="1:30" ht="15.75" x14ac:dyDescent="0.25">
      <c r="A939" s="230"/>
      <c r="B939" s="231"/>
      <c r="C939" s="231"/>
      <c r="D939" s="231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30"/>
      <c r="S939" s="239"/>
      <c r="T939" s="230"/>
      <c r="U939" s="230"/>
      <c r="V939" s="230"/>
      <c r="W939" s="230"/>
      <c r="X939" s="239"/>
      <c r="Y939" s="239"/>
      <c r="Z939" s="230"/>
      <c r="AA939" s="230"/>
      <c r="AB939" s="230"/>
      <c r="AC939" s="230"/>
      <c r="AD939" s="239"/>
    </row>
    <row r="940" spans="1:30" ht="15.75" x14ac:dyDescent="0.25">
      <c r="A940" s="230"/>
      <c r="B940" s="231"/>
      <c r="C940" s="231"/>
      <c r="D940" s="231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30"/>
      <c r="S940" s="239"/>
      <c r="T940" s="230"/>
      <c r="U940" s="230"/>
      <c r="V940" s="230"/>
      <c r="W940" s="230"/>
      <c r="X940" s="239"/>
      <c r="Y940" s="239"/>
      <c r="Z940" s="230"/>
      <c r="AA940" s="230"/>
      <c r="AB940" s="230"/>
      <c r="AC940" s="230"/>
      <c r="AD940" s="239"/>
    </row>
    <row r="941" spans="1:30" ht="15.75" x14ac:dyDescent="0.25">
      <c r="A941" s="230"/>
      <c r="B941" s="231"/>
      <c r="C941" s="231"/>
      <c r="D941" s="231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30"/>
      <c r="S941" s="239"/>
      <c r="T941" s="230"/>
      <c r="U941" s="230"/>
      <c r="V941" s="230"/>
      <c r="W941" s="230"/>
      <c r="X941" s="239"/>
      <c r="Y941" s="239"/>
      <c r="Z941" s="230"/>
      <c r="AA941" s="230"/>
      <c r="AB941" s="230"/>
      <c r="AC941" s="230"/>
      <c r="AD941" s="239"/>
    </row>
    <row r="942" spans="1:30" ht="15.75" x14ac:dyDescent="0.25">
      <c r="A942" s="230"/>
      <c r="B942" s="231"/>
      <c r="C942" s="231"/>
      <c r="D942" s="231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30"/>
      <c r="S942" s="239"/>
      <c r="T942" s="230"/>
      <c r="U942" s="230"/>
      <c r="V942" s="230"/>
      <c r="W942" s="230"/>
      <c r="X942" s="239"/>
      <c r="Y942" s="239"/>
      <c r="Z942" s="230"/>
      <c r="AA942" s="230"/>
      <c r="AB942" s="230"/>
      <c r="AC942" s="230"/>
      <c r="AD942" s="239"/>
    </row>
    <row r="943" spans="1:30" ht="15.75" x14ac:dyDescent="0.25">
      <c r="A943" s="230"/>
      <c r="B943" s="231"/>
      <c r="C943" s="231"/>
      <c r="D943" s="231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30"/>
      <c r="S943" s="239"/>
      <c r="T943" s="230"/>
      <c r="U943" s="230"/>
      <c r="V943" s="230"/>
      <c r="W943" s="230"/>
      <c r="X943" s="239"/>
      <c r="Y943" s="239"/>
      <c r="Z943" s="230"/>
      <c r="AA943" s="230"/>
      <c r="AB943" s="230"/>
      <c r="AC943" s="230"/>
      <c r="AD943" s="239"/>
    </row>
    <row r="944" spans="1:30" ht="15.75" x14ac:dyDescent="0.25">
      <c r="A944" s="230"/>
      <c r="B944" s="231"/>
      <c r="C944" s="231"/>
      <c r="D944" s="231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30"/>
      <c r="S944" s="239"/>
      <c r="T944" s="230"/>
      <c r="U944" s="230"/>
      <c r="V944" s="230"/>
      <c r="W944" s="230"/>
      <c r="X944" s="239"/>
      <c r="Y944" s="239"/>
      <c r="Z944" s="230"/>
      <c r="AA944" s="230"/>
      <c r="AB944" s="230"/>
      <c r="AC944" s="230"/>
      <c r="AD944" s="239"/>
    </row>
    <row r="945" spans="1:30" ht="15.75" x14ac:dyDescent="0.25">
      <c r="A945" s="230"/>
      <c r="B945" s="231"/>
      <c r="C945" s="231"/>
      <c r="D945" s="231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30"/>
      <c r="S945" s="239"/>
      <c r="T945" s="230"/>
      <c r="U945" s="230"/>
      <c r="V945" s="230"/>
      <c r="W945" s="230"/>
      <c r="X945" s="239"/>
      <c r="Y945" s="239"/>
      <c r="Z945" s="230"/>
      <c r="AA945" s="230"/>
      <c r="AB945" s="230"/>
      <c r="AC945" s="230"/>
      <c r="AD945" s="239"/>
    </row>
    <row r="946" spans="1:30" ht="15.75" x14ac:dyDescent="0.25">
      <c r="A946" s="230"/>
      <c r="B946" s="231"/>
      <c r="C946" s="231"/>
      <c r="D946" s="231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30"/>
      <c r="S946" s="239"/>
      <c r="T946" s="230"/>
      <c r="U946" s="230"/>
      <c r="V946" s="230"/>
      <c r="W946" s="230"/>
      <c r="X946" s="239"/>
      <c r="Y946" s="239"/>
      <c r="Z946" s="230"/>
      <c r="AA946" s="230"/>
      <c r="AB946" s="230"/>
      <c r="AC946" s="230"/>
      <c r="AD946" s="239"/>
    </row>
    <row r="947" spans="1:30" ht="15.75" x14ac:dyDescent="0.25">
      <c r="A947" s="230"/>
      <c r="B947" s="231"/>
      <c r="C947" s="231"/>
      <c r="D947" s="231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30"/>
      <c r="S947" s="239"/>
      <c r="T947" s="230"/>
      <c r="U947" s="230"/>
      <c r="V947" s="230"/>
      <c r="W947" s="230"/>
      <c r="X947" s="239"/>
      <c r="Y947" s="239"/>
      <c r="Z947" s="230"/>
      <c r="AA947" s="230"/>
      <c r="AB947" s="230"/>
      <c r="AC947" s="230"/>
      <c r="AD947" s="239"/>
    </row>
    <row r="948" spans="1:30" ht="15.75" x14ac:dyDescent="0.25">
      <c r="A948" s="230"/>
      <c r="B948" s="231"/>
      <c r="C948" s="231"/>
      <c r="D948" s="231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30"/>
      <c r="S948" s="239"/>
      <c r="T948" s="230"/>
      <c r="U948" s="230"/>
      <c r="V948" s="230"/>
      <c r="W948" s="230"/>
      <c r="X948" s="239"/>
      <c r="Y948" s="239"/>
      <c r="Z948" s="230"/>
      <c r="AA948" s="230"/>
      <c r="AB948" s="230"/>
      <c r="AC948" s="230"/>
      <c r="AD948" s="239"/>
    </row>
    <row r="949" spans="1:30" ht="15.75" x14ac:dyDescent="0.25">
      <c r="A949" s="230"/>
      <c r="B949" s="231"/>
      <c r="C949" s="231"/>
      <c r="D949" s="231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30"/>
      <c r="S949" s="239"/>
      <c r="T949" s="230"/>
      <c r="U949" s="230"/>
      <c r="V949" s="230"/>
      <c r="W949" s="230"/>
      <c r="X949" s="239"/>
      <c r="Y949" s="239"/>
      <c r="Z949" s="230"/>
      <c r="AA949" s="230"/>
      <c r="AB949" s="230"/>
      <c r="AC949" s="230"/>
      <c r="AD949" s="239"/>
    </row>
    <row r="950" spans="1:30" ht="15.75" x14ac:dyDescent="0.25">
      <c r="A950" s="230"/>
      <c r="B950" s="231"/>
      <c r="C950" s="231"/>
      <c r="D950" s="231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30"/>
      <c r="S950" s="239"/>
      <c r="T950" s="230"/>
      <c r="U950" s="230"/>
      <c r="V950" s="230"/>
      <c r="W950" s="230"/>
      <c r="X950" s="239"/>
      <c r="Y950" s="239"/>
      <c r="Z950" s="230"/>
      <c r="AA950" s="230"/>
      <c r="AB950" s="230"/>
      <c r="AC950" s="230"/>
      <c r="AD950" s="239"/>
    </row>
    <row r="951" spans="1:30" ht="15.75" x14ac:dyDescent="0.25">
      <c r="A951" s="230"/>
      <c r="B951" s="231"/>
      <c r="C951" s="231"/>
      <c r="D951" s="231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30"/>
      <c r="S951" s="239"/>
      <c r="T951" s="230"/>
      <c r="U951" s="230"/>
      <c r="V951" s="230"/>
      <c r="W951" s="230"/>
      <c r="X951" s="239"/>
      <c r="Y951" s="239"/>
      <c r="Z951" s="230"/>
      <c r="AA951" s="230"/>
      <c r="AB951" s="230"/>
      <c r="AC951" s="230"/>
      <c r="AD951" s="239"/>
    </row>
    <row r="952" spans="1:30" ht="15.75" x14ac:dyDescent="0.25">
      <c r="A952" s="230"/>
      <c r="B952" s="231"/>
      <c r="C952" s="231"/>
      <c r="D952" s="231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30"/>
      <c r="S952" s="239"/>
      <c r="T952" s="230"/>
      <c r="U952" s="230"/>
      <c r="V952" s="230"/>
      <c r="W952" s="230"/>
      <c r="X952" s="239"/>
      <c r="Y952" s="239"/>
      <c r="Z952" s="230"/>
      <c r="AA952" s="230"/>
      <c r="AB952" s="230"/>
      <c r="AC952" s="230"/>
      <c r="AD952" s="239"/>
    </row>
    <row r="953" spans="1:30" ht="15.75" x14ac:dyDescent="0.25">
      <c r="A953" s="230"/>
      <c r="B953" s="231"/>
      <c r="C953" s="231"/>
      <c r="D953" s="231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30"/>
      <c r="S953" s="239"/>
      <c r="T953" s="230"/>
      <c r="U953" s="230"/>
      <c r="V953" s="230"/>
      <c r="W953" s="230"/>
      <c r="X953" s="239"/>
      <c r="Y953" s="239"/>
      <c r="Z953" s="230"/>
      <c r="AA953" s="230"/>
      <c r="AB953" s="230"/>
      <c r="AC953" s="230"/>
      <c r="AD953" s="239"/>
    </row>
    <row r="954" spans="1:30" ht="15.75" x14ac:dyDescent="0.25">
      <c r="A954" s="230"/>
      <c r="B954" s="231"/>
      <c r="C954" s="231"/>
      <c r="D954" s="231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30"/>
      <c r="S954" s="239"/>
      <c r="T954" s="230"/>
      <c r="U954" s="230"/>
      <c r="V954" s="230"/>
      <c r="W954" s="230"/>
      <c r="X954" s="239"/>
      <c r="Y954" s="239"/>
      <c r="Z954" s="230"/>
      <c r="AA954" s="230"/>
      <c r="AB954" s="230"/>
      <c r="AC954" s="230"/>
      <c r="AD954" s="239"/>
    </row>
    <row r="955" spans="1:30" ht="15.75" x14ac:dyDescent="0.25">
      <c r="A955" s="230"/>
      <c r="B955" s="231"/>
      <c r="C955" s="231"/>
      <c r="D955" s="231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30"/>
      <c r="S955" s="239"/>
      <c r="T955" s="230"/>
      <c r="U955" s="230"/>
      <c r="V955" s="230"/>
      <c r="W955" s="230"/>
      <c r="X955" s="239"/>
      <c r="Y955" s="239"/>
      <c r="Z955" s="230"/>
      <c r="AA955" s="230"/>
      <c r="AB955" s="230"/>
      <c r="AC955" s="230"/>
      <c r="AD955" s="239"/>
    </row>
    <row r="956" spans="1:30" ht="15.75" x14ac:dyDescent="0.25">
      <c r="A956" s="230"/>
      <c r="B956" s="231"/>
      <c r="C956" s="231"/>
      <c r="D956" s="231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30"/>
      <c r="S956" s="239"/>
      <c r="T956" s="230"/>
      <c r="U956" s="230"/>
      <c r="V956" s="230"/>
      <c r="W956" s="230"/>
      <c r="X956" s="239"/>
      <c r="Y956" s="239"/>
      <c r="Z956" s="230"/>
      <c r="AA956" s="230"/>
      <c r="AB956" s="230"/>
      <c r="AC956" s="230"/>
      <c r="AD956" s="239"/>
    </row>
    <row r="957" spans="1:30" ht="15.75" x14ac:dyDescent="0.25">
      <c r="A957" s="230"/>
      <c r="B957" s="231"/>
      <c r="C957" s="231"/>
      <c r="D957" s="231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30"/>
      <c r="S957" s="239"/>
      <c r="T957" s="230"/>
      <c r="U957" s="230"/>
      <c r="V957" s="230"/>
      <c r="W957" s="230"/>
      <c r="X957" s="239"/>
      <c r="Y957" s="239"/>
      <c r="Z957" s="230"/>
      <c r="AA957" s="230"/>
      <c r="AB957" s="230"/>
      <c r="AC957" s="230"/>
      <c r="AD957" s="239"/>
    </row>
    <row r="958" spans="1:30" ht="15.75" x14ac:dyDescent="0.25">
      <c r="A958" s="230"/>
      <c r="B958" s="231"/>
      <c r="C958" s="231"/>
      <c r="D958" s="231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30"/>
      <c r="S958" s="239"/>
      <c r="T958" s="230"/>
      <c r="U958" s="230"/>
      <c r="V958" s="230"/>
      <c r="W958" s="230"/>
      <c r="X958" s="239"/>
      <c r="Y958" s="239"/>
      <c r="Z958" s="230"/>
      <c r="AA958" s="230"/>
      <c r="AB958" s="230"/>
      <c r="AC958" s="230"/>
      <c r="AD958" s="239"/>
    </row>
    <row r="959" spans="1:30" ht="15.75" x14ac:dyDescent="0.25">
      <c r="A959" s="230"/>
      <c r="B959" s="231"/>
      <c r="C959" s="231"/>
      <c r="D959" s="231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30"/>
      <c r="S959" s="239"/>
      <c r="T959" s="230"/>
      <c r="U959" s="230"/>
      <c r="V959" s="230"/>
      <c r="W959" s="230"/>
      <c r="X959" s="239"/>
      <c r="Y959" s="239"/>
      <c r="Z959" s="230"/>
      <c r="AA959" s="230"/>
      <c r="AB959" s="230"/>
      <c r="AC959" s="230"/>
      <c r="AD959" s="239"/>
    </row>
    <row r="960" spans="1:30" ht="15.75" x14ac:dyDescent="0.25">
      <c r="A960" s="230"/>
      <c r="B960" s="231"/>
      <c r="C960" s="231"/>
      <c r="D960" s="231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30"/>
      <c r="S960" s="239"/>
      <c r="T960" s="230"/>
      <c r="U960" s="230"/>
      <c r="V960" s="230"/>
      <c r="W960" s="230"/>
      <c r="X960" s="239"/>
      <c r="Y960" s="239"/>
      <c r="Z960" s="230"/>
      <c r="AA960" s="230"/>
      <c r="AB960" s="230"/>
      <c r="AC960" s="230"/>
      <c r="AD960" s="239"/>
    </row>
    <row r="961" spans="1:30" ht="15.75" x14ac:dyDescent="0.25">
      <c r="A961" s="230"/>
      <c r="B961" s="231"/>
      <c r="C961" s="231"/>
      <c r="D961" s="231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30"/>
      <c r="S961" s="239"/>
      <c r="T961" s="230"/>
      <c r="U961" s="230"/>
      <c r="V961" s="230"/>
      <c r="W961" s="230"/>
      <c r="X961" s="239"/>
      <c r="Y961" s="239"/>
      <c r="Z961" s="230"/>
      <c r="AA961" s="230"/>
      <c r="AB961" s="230"/>
      <c r="AC961" s="230"/>
      <c r="AD961" s="239"/>
    </row>
    <row r="962" spans="1:30" ht="15.75" x14ac:dyDescent="0.25">
      <c r="A962" s="230"/>
      <c r="B962" s="231"/>
      <c r="C962" s="231"/>
      <c r="D962" s="231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30"/>
      <c r="S962" s="239"/>
      <c r="T962" s="230"/>
      <c r="U962" s="230"/>
      <c r="V962" s="230"/>
      <c r="W962" s="230"/>
      <c r="X962" s="239"/>
      <c r="Y962" s="239"/>
      <c r="Z962" s="230"/>
      <c r="AA962" s="230"/>
      <c r="AB962" s="230"/>
      <c r="AC962" s="230"/>
      <c r="AD962" s="239"/>
    </row>
    <row r="963" spans="1:30" ht="15.75" x14ac:dyDescent="0.25">
      <c r="A963" s="230"/>
      <c r="B963" s="231"/>
      <c r="C963" s="231"/>
      <c r="D963" s="231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30"/>
      <c r="S963" s="239"/>
      <c r="T963" s="230"/>
      <c r="U963" s="230"/>
      <c r="V963" s="230"/>
      <c r="W963" s="230"/>
      <c r="X963" s="239"/>
      <c r="Y963" s="239"/>
      <c r="Z963" s="230"/>
      <c r="AA963" s="230"/>
      <c r="AB963" s="230"/>
      <c r="AC963" s="230"/>
      <c r="AD963" s="239"/>
    </row>
    <row r="964" spans="1:30" ht="15.75" x14ac:dyDescent="0.25">
      <c r="A964" s="230"/>
      <c r="B964" s="231"/>
      <c r="C964" s="231"/>
      <c r="D964" s="231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30"/>
      <c r="S964" s="239"/>
      <c r="T964" s="230"/>
      <c r="U964" s="230"/>
      <c r="V964" s="230"/>
      <c r="W964" s="230"/>
      <c r="X964" s="239"/>
      <c r="Y964" s="239"/>
      <c r="Z964" s="230"/>
      <c r="AA964" s="230"/>
      <c r="AB964" s="230"/>
      <c r="AC964" s="230"/>
      <c r="AD964" s="239"/>
    </row>
    <row r="965" spans="1:30" ht="15.75" x14ac:dyDescent="0.25">
      <c r="A965" s="230"/>
      <c r="B965" s="231"/>
      <c r="C965" s="231"/>
      <c r="D965" s="231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30"/>
      <c r="S965" s="239"/>
      <c r="T965" s="230"/>
      <c r="U965" s="230"/>
      <c r="V965" s="230"/>
      <c r="W965" s="230"/>
      <c r="X965" s="239"/>
      <c r="Y965" s="239"/>
      <c r="Z965" s="230"/>
      <c r="AA965" s="230"/>
      <c r="AB965" s="230"/>
      <c r="AC965" s="230"/>
      <c r="AD965" s="239"/>
    </row>
    <row r="966" spans="1:30" ht="15.75" x14ac:dyDescent="0.25">
      <c r="A966" s="230"/>
      <c r="B966" s="231"/>
      <c r="C966" s="231"/>
      <c r="D966" s="231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30"/>
      <c r="S966" s="239"/>
      <c r="T966" s="230"/>
      <c r="U966" s="230"/>
      <c r="V966" s="230"/>
      <c r="W966" s="230"/>
      <c r="X966" s="239"/>
      <c r="Y966" s="239"/>
      <c r="Z966" s="230"/>
      <c r="AA966" s="230"/>
      <c r="AB966" s="230"/>
      <c r="AC966" s="230"/>
      <c r="AD966" s="239"/>
    </row>
    <row r="967" spans="1:30" ht="15.75" x14ac:dyDescent="0.25">
      <c r="A967" s="230"/>
      <c r="B967" s="231"/>
      <c r="C967" s="231"/>
      <c r="D967" s="231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30"/>
      <c r="S967" s="239"/>
      <c r="T967" s="230"/>
      <c r="U967" s="230"/>
      <c r="V967" s="230"/>
      <c r="W967" s="230"/>
      <c r="X967" s="239"/>
      <c r="Y967" s="239"/>
      <c r="Z967" s="230"/>
      <c r="AA967" s="230"/>
      <c r="AB967" s="230"/>
      <c r="AC967" s="230"/>
      <c r="AD967" s="239"/>
    </row>
    <row r="968" spans="1:30" ht="15.75" x14ac:dyDescent="0.25">
      <c r="A968" s="230"/>
      <c r="B968" s="231"/>
      <c r="C968" s="231"/>
      <c r="D968" s="231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30"/>
      <c r="S968" s="239"/>
      <c r="T968" s="230"/>
      <c r="U968" s="230"/>
      <c r="V968" s="230"/>
      <c r="W968" s="230"/>
      <c r="X968" s="239"/>
      <c r="Y968" s="239"/>
      <c r="Z968" s="230"/>
      <c r="AA968" s="230"/>
      <c r="AB968" s="230"/>
      <c r="AC968" s="230"/>
      <c r="AD968" s="239"/>
    </row>
    <row r="969" spans="1:30" ht="15.75" x14ac:dyDescent="0.25">
      <c r="A969" s="230"/>
      <c r="B969" s="231"/>
      <c r="C969" s="231"/>
      <c r="D969" s="231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30"/>
      <c r="S969" s="239"/>
      <c r="T969" s="230"/>
      <c r="U969" s="230"/>
      <c r="V969" s="230"/>
      <c r="W969" s="230"/>
      <c r="X969" s="239"/>
      <c r="Y969" s="239"/>
      <c r="Z969" s="230"/>
      <c r="AA969" s="230"/>
      <c r="AB969" s="230"/>
      <c r="AC969" s="230"/>
      <c r="AD969" s="239"/>
    </row>
    <row r="970" spans="1:30" ht="15.75" x14ac:dyDescent="0.25">
      <c r="A970" s="230"/>
      <c r="B970" s="231"/>
      <c r="C970" s="231"/>
      <c r="D970" s="231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30"/>
      <c r="S970" s="239"/>
      <c r="T970" s="230"/>
      <c r="U970" s="230"/>
      <c r="V970" s="230"/>
      <c r="W970" s="230"/>
      <c r="X970" s="239"/>
      <c r="Y970" s="239"/>
      <c r="Z970" s="230"/>
      <c r="AA970" s="230"/>
      <c r="AB970" s="230"/>
      <c r="AC970" s="230"/>
      <c r="AD970" s="239"/>
    </row>
    <row r="971" spans="1:30" ht="15.75" x14ac:dyDescent="0.25">
      <c r="A971" s="230"/>
      <c r="B971" s="231"/>
      <c r="C971" s="231"/>
      <c r="D971" s="231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30"/>
      <c r="S971" s="239"/>
      <c r="T971" s="230"/>
      <c r="U971" s="230"/>
      <c r="V971" s="230"/>
      <c r="W971" s="230"/>
      <c r="X971" s="239"/>
      <c r="Y971" s="239"/>
      <c r="Z971" s="230"/>
      <c r="AA971" s="230"/>
      <c r="AB971" s="230"/>
      <c r="AC971" s="230"/>
      <c r="AD971" s="239"/>
    </row>
    <row r="972" spans="1:30" ht="15.75" x14ac:dyDescent="0.25">
      <c r="A972" s="230"/>
      <c r="B972" s="231"/>
      <c r="C972" s="231"/>
      <c r="D972" s="231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30"/>
      <c r="S972" s="239"/>
      <c r="T972" s="230"/>
      <c r="U972" s="230"/>
      <c r="V972" s="230"/>
      <c r="W972" s="230"/>
      <c r="X972" s="239"/>
      <c r="Y972" s="239"/>
      <c r="Z972" s="230"/>
      <c r="AA972" s="230"/>
      <c r="AB972" s="230"/>
      <c r="AC972" s="230"/>
      <c r="AD972" s="239"/>
    </row>
    <row r="973" spans="1:30" ht="15.75" x14ac:dyDescent="0.25">
      <c r="A973" s="230"/>
      <c r="B973" s="231"/>
      <c r="C973" s="231"/>
      <c r="D973" s="231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30"/>
      <c r="S973" s="239"/>
      <c r="T973" s="230"/>
      <c r="U973" s="230"/>
      <c r="V973" s="230"/>
      <c r="W973" s="230"/>
      <c r="X973" s="239"/>
      <c r="Y973" s="239"/>
      <c r="Z973" s="230"/>
      <c r="AA973" s="230"/>
      <c r="AB973" s="230"/>
      <c r="AC973" s="230"/>
      <c r="AD973" s="239"/>
    </row>
    <row r="974" spans="1:30" ht="15.75" x14ac:dyDescent="0.25">
      <c r="A974" s="230"/>
      <c r="B974" s="231"/>
      <c r="C974" s="231"/>
      <c r="D974" s="231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30"/>
      <c r="S974" s="239"/>
      <c r="T974" s="230"/>
      <c r="U974" s="230"/>
      <c r="V974" s="230"/>
      <c r="W974" s="230"/>
      <c r="X974" s="239"/>
      <c r="Y974" s="239"/>
      <c r="Z974" s="230"/>
      <c r="AA974" s="230"/>
      <c r="AB974" s="230"/>
      <c r="AC974" s="230"/>
      <c r="AD974" s="239"/>
    </row>
    <row r="975" spans="1:30" ht="15.75" x14ac:dyDescent="0.25">
      <c r="A975" s="230"/>
      <c r="B975" s="231"/>
      <c r="C975" s="231"/>
      <c r="D975" s="231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30"/>
      <c r="S975" s="239"/>
      <c r="T975" s="230"/>
      <c r="U975" s="230"/>
      <c r="V975" s="230"/>
      <c r="W975" s="230"/>
      <c r="X975" s="239"/>
      <c r="Y975" s="239"/>
      <c r="Z975" s="230"/>
      <c r="AA975" s="230"/>
      <c r="AB975" s="230"/>
      <c r="AC975" s="230"/>
      <c r="AD975" s="239"/>
    </row>
    <row r="976" spans="1:30" ht="15.75" x14ac:dyDescent="0.25">
      <c r="A976" s="230"/>
      <c r="B976" s="231"/>
      <c r="C976" s="231"/>
      <c r="D976" s="231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30"/>
      <c r="S976" s="239"/>
      <c r="T976" s="230"/>
      <c r="U976" s="230"/>
      <c r="V976" s="230"/>
      <c r="W976" s="230"/>
      <c r="X976" s="239"/>
      <c r="Y976" s="239"/>
      <c r="Z976" s="230"/>
      <c r="AA976" s="230"/>
      <c r="AB976" s="230"/>
      <c r="AC976" s="230"/>
      <c r="AD976" s="239"/>
    </row>
    <row r="977" spans="1:30" ht="15.75" x14ac:dyDescent="0.25">
      <c r="A977" s="230"/>
      <c r="B977" s="231"/>
      <c r="C977" s="231"/>
      <c r="D977" s="231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30"/>
      <c r="S977" s="239"/>
      <c r="T977" s="230"/>
      <c r="U977" s="230"/>
      <c r="V977" s="230"/>
      <c r="W977" s="230"/>
      <c r="X977" s="239"/>
      <c r="Y977" s="239"/>
      <c r="Z977" s="230"/>
      <c r="AA977" s="230"/>
      <c r="AB977" s="230"/>
      <c r="AC977" s="230"/>
      <c r="AD977" s="239"/>
    </row>
    <row r="978" spans="1:30" ht="15.75" x14ac:dyDescent="0.25">
      <c r="A978" s="230"/>
      <c r="B978" s="231"/>
      <c r="C978" s="231"/>
      <c r="D978" s="231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30"/>
      <c r="S978" s="239"/>
      <c r="T978" s="230"/>
      <c r="U978" s="230"/>
      <c r="V978" s="230"/>
      <c r="W978" s="230"/>
      <c r="X978" s="239"/>
      <c r="Y978" s="239"/>
      <c r="Z978" s="230"/>
      <c r="AA978" s="230"/>
      <c r="AB978" s="230"/>
      <c r="AC978" s="230"/>
      <c r="AD978" s="239"/>
    </row>
    <row r="979" spans="1:30" ht="15.75" x14ac:dyDescent="0.25">
      <c r="A979" s="230"/>
      <c r="B979" s="231"/>
      <c r="C979" s="231"/>
      <c r="D979" s="231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30"/>
      <c r="S979" s="239"/>
      <c r="T979" s="230"/>
      <c r="U979" s="230"/>
      <c r="V979" s="230"/>
      <c r="W979" s="230"/>
      <c r="X979" s="239"/>
      <c r="Y979" s="239"/>
      <c r="Z979" s="230"/>
      <c r="AA979" s="230"/>
      <c r="AB979" s="230"/>
      <c r="AC979" s="230"/>
      <c r="AD979" s="239"/>
    </row>
    <row r="980" spans="1:30" ht="15.75" x14ac:dyDescent="0.25">
      <c r="A980" s="230"/>
      <c r="B980" s="231"/>
      <c r="C980" s="231"/>
      <c r="D980" s="231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30"/>
      <c r="S980" s="239"/>
      <c r="T980" s="230"/>
      <c r="U980" s="230"/>
      <c r="V980" s="230"/>
      <c r="W980" s="230"/>
      <c r="X980" s="239"/>
      <c r="Y980" s="239"/>
      <c r="Z980" s="230"/>
      <c r="AA980" s="230"/>
      <c r="AB980" s="230"/>
      <c r="AC980" s="230"/>
      <c r="AD980" s="239"/>
    </row>
    <row r="981" spans="1:30" ht="15.75" x14ac:dyDescent="0.25">
      <c r="A981" s="230"/>
      <c r="B981" s="231"/>
      <c r="C981" s="231"/>
      <c r="D981" s="231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30"/>
      <c r="S981" s="239"/>
      <c r="T981" s="230"/>
      <c r="U981" s="230"/>
      <c r="V981" s="230"/>
      <c r="W981" s="230"/>
      <c r="X981" s="239"/>
      <c r="Y981" s="239"/>
      <c r="Z981" s="230"/>
      <c r="AA981" s="230"/>
      <c r="AB981" s="230"/>
      <c r="AC981" s="230"/>
      <c r="AD981" s="239"/>
    </row>
    <row r="982" spans="1:30" ht="15.75" x14ac:dyDescent="0.25">
      <c r="A982" s="230"/>
      <c r="B982" s="231"/>
      <c r="C982" s="231"/>
      <c r="D982" s="231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30"/>
      <c r="S982" s="239"/>
      <c r="T982" s="230"/>
      <c r="U982" s="230"/>
      <c r="V982" s="230"/>
      <c r="W982" s="230"/>
      <c r="X982" s="239"/>
      <c r="Y982" s="239"/>
      <c r="Z982" s="230"/>
      <c r="AA982" s="230"/>
      <c r="AB982" s="230"/>
      <c r="AC982" s="230"/>
      <c r="AD982" s="239"/>
    </row>
    <row r="983" spans="1:30" ht="15.75" x14ac:dyDescent="0.25">
      <c r="A983" s="230"/>
      <c r="B983" s="231"/>
      <c r="C983" s="231"/>
      <c r="D983" s="231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30"/>
      <c r="S983" s="239"/>
      <c r="T983" s="230"/>
      <c r="U983" s="230"/>
      <c r="V983" s="230"/>
      <c r="W983" s="230"/>
      <c r="X983" s="239"/>
      <c r="Y983" s="239"/>
      <c r="Z983" s="230"/>
      <c r="AA983" s="230"/>
      <c r="AB983" s="230"/>
      <c r="AC983" s="230"/>
      <c r="AD983" s="239"/>
    </row>
    <row r="984" spans="1:30" ht="15.75" x14ac:dyDescent="0.25">
      <c r="A984" s="230"/>
      <c r="B984" s="231"/>
      <c r="C984" s="231"/>
      <c r="D984" s="231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30"/>
      <c r="S984" s="239"/>
      <c r="T984" s="230"/>
      <c r="U984" s="230"/>
      <c r="V984" s="230"/>
      <c r="W984" s="230"/>
      <c r="X984" s="239"/>
      <c r="Y984" s="239"/>
      <c r="Z984" s="230"/>
      <c r="AA984" s="230"/>
      <c r="AB984" s="230"/>
      <c r="AC984" s="230"/>
      <c r="AD984" s="239"/>
    </row>
    <row r="985" spans="1:30" ht="15.75" x14ac:dyDescent="0.25">
      <c r="A985" s="230"/>
      <c r="B985" s="231"/>
      <c r="C985" s="231"/>
      <c r="D985" s="231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30"/>
      <c r="S985" s="239"/>
      <c r="T985" s="230"/>
      <c r="U985" s="230"/>
      <c r="V985" s="230"/>
      <c r="W985" s="230"/>
      <c r="X985" s="239"/>
      <c r="Y985" s="239"/>
      <c r="Z985" s="230"/>
      <c r="AA985" s="230"/>
      <c r="AB985" s="230"/>
      <c r="AC985" s="230"/>
      <c r="AD985" s="239"/>
    </row>
    <row r="986" spans="1:30" ht="15.75" x14ac:dyDescent="0.25">
      <c r="A986" s="230"/>
      <c r="B986" s="231"/>
      <c r="C986" s="231"/>
      <c r="D986" s="231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30"/>
      <c r="S986" s="239"/>
      <c r="T986" s="230"/>
      <c r="U986" s="230"/>
      <c r="V986" s="230"/>
      <c r="W986" s="230"/>
      <c r="X986" s="239"/>
      <c r="Y986" s="239"/>
      <c r="Z986" s="230"/>
      <c r="AA986" s="230"/>
      <c r="AB986" s="230"/>
      <c r="AC986" s="230"/>
      <c r="AD986" s="239"/>
    </row>
    <row r="987" spans="1:30" ht="15.75" x14ac:dyDescent="0.25">
      <c r="A987" s="230"/>
      <c r="B987" s="231"/>
      <c r="C987" s="231"/>
      <c r="D987" s="231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30"/>
      <c r="S987" s="239"/>
      <c r="T987" s="230"/>
      <c r="U987" s="230"/>
      <c r="V987" s="230"/>
      <c r="W987" s="230"/>
      <c r="X987" s="239"/>
      <c r="Y987" s="239"/>
      <c r="Z987" s="230"/>
      <c r="AA987" s="230"/>
      <c r="AB987" s="230"/>
      <c r="AC987" s="230"/>
      <c r="AD987" s="239"/>
    </row>
    <row r="988" spans="1:30" ht="15.75" x14ac:dyDescent="0.25">
      <c r="A988" s="230"/>
      <c r="B988" s="231"/>
      <c r="C988" s="231"/>
      <c r="D988" s="231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30"/>
      <c r="S988" s="239"/>
      <c r="T988" s="230"/>
      <c r="U988" s="230"/>
      <c r="V988" s="230"/>
      <c r="W988" s="230"/>
      <c r="X988" s="239"/>
      <c r="Y988" s="239"/>
      <c r="Z988" s="230"/>
      <c r="AA988" s="230"/>
      <c r="AB988" s="230"/>
      <c r="AC988" s="230"/>
      <c r="AD988" s="239"/>
    </row>
    <row r="989" spans="1:30" ht="15.75" x14ac:dyDescent="0.25">
      <c r="A989" s="230"/>
      <c r="B989" s="231"/>
      <c r="C989" s="231"/>
      <c r="D989" s="231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30"/>
      <c r="S989" s="239"/>
      <c r="T989" s="230"/>
      <c r="U989" s="230"/>
      <c r="V989" s="230"/>
      <c r="W989" s="230"/>
      <c r="X989" s="239"/>
      <c r="Y989" s="239"/>
      <c r="Z989" s="230"/>
      <c r="AA989" s="230"/>
      <c r="AB989" s="230"/>
      <c r="AC989" s="230"/>
      <c r="AD989" s="239"/>
    </row>
    <row r="990" spans="1:30" ht="15.75" x14ac:dyDescent="0.25">
      <c r="A990" s="230"/>
      <c r="B990" s="231"/>
      <c r="C990" s="231"/>
      <c r="D990" s="231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30"/>
      <c r="S990" s="239"/>
      <c r="T990" s="230"/>
      <c r="U990" s="230"/>
      <c r="V990" s="230"/>
      <c r="W990" s="230"/>
      <c r="X990" s="239"/>
      <c r="Y990" s="239"/>
      <c r="Z990" s="230"/>
      <c r="AA990" s="230"/>
      <c r="AB990" s="230"/>
      <c r="AC990" s="230"/>
      <c r="AD990" s="239"/>
    </row>
    <row r="991" spans="1:30" ht="15.75" x14ac:dyDescent="0.25">
      <c r="A991" s="230"/>
      <c r="B991" s="231"/>
      <c r="C991" s="231"/>
      <c r="D991" s="231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30"/>
      <c r="S991" s="239"/>
      <c r="T991" s="230"/>
      <c r="U991" s="230"/>
      <c r="V991" s="230"/>
      <c r="W991" s="230"/>
      <c r="X991" s="239"/>
      <c r="Y991" s="239"/>
      <c r="Z991" s="230"/>
      <c r="AA991" s="230"/>
      <c r="AB991" s="230"/>
      <c r="AC991" s="230"/>
      <c r="AD991" s="239"/>
    </row>
    <row r="992" spans="1:30" ht="15.75" x14ac:dyDescent="0.25">
      <c r="A992" s="230"/>
      <c r="B992" s="231"/>
      <c r="C992" s="231"/>
      <c r="D992" s="231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30"/>
      <c r="S992" s="239"/>
      <c r="T992" s="230"/>
      <c r="U992" s="230"/>
      <c r="V992" s="230"/>
      <c r="W992" s="230"/>
      <c r="X992" s="239"/>
      <c r="Y992" s="239"/>
      <c r="Z992" s="230"/>
      <c r="AA992" s="230"/>
      <c r="AB992" s="230"/>
      <c r="AC992" s="230"/>
      <c r="AD992" s="239"/>
    </row>
    <row r="993" spans="1:30" ht="15.75" x14ac:dyDescent="0.25">
      <c r="A993" s="230"/>
      <c r="B993" s="231"/>
      <c r="C993" s="231"/>
      <c r="D993" s="231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30"/>
      <c r="S993" s="239"/>
      <c r="T993" s="230"/>
      <c r="U993" s="230"/>
      <c r="V993" s="230"/>
      <c r="W993" s="230"/>
      <c r="X993" s="239"/>
      <c r="Y993" s="239"/>
      <c r="Z993" s="230"/>
      <c r="AA993" s="230"/>
      <c r="AB993" s="230"/>
      <c r="AC993" s="230"/>
      <c r="AD993" s="239"/>
    </row>
    <row r="994" spans="1:30" ht="15.75" x14ac:dyDescent="0.25">
      <c r="A994" s="230"/>
      <c r="B994" s="231"/>
      <c r="C994" s="231"/>
      <c r="D994" s="231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30"/>
      <c r="S994" s="239"/>
      <c r="T994" s="230"/>
      <c r="U994" s="230"/>
      <c r="V994" s="230"/>
      <c r="W994" s="230"/>
      <c r="X994" s="239"/>
      <c r="Y994" s="239"/>
      <c r="Z994" s="230"/>
      <c r="AA994" s="230"/>
      <c r="AB994" s="230"/>
      <c r="AC994" s="230"/>
      <c r="AD994" s="239"/>
    </row>
    <row r="995" spans="1:30" ht="15.75" x14ac:dyDescent="0.25">
      <c r="A995" s="230"/>
      <c r="B995" s="231"/>
      <c r="C995" s="231"/>
      <c r="D995" s="231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30"/>
      <c r="S995" s="239"/>
      <c r="T995" s="230"/>
      <c r="U995" s="230"/>
      <c r="V995" s="230"/>
      <c r="W995" s="230"/>
      <c r="X995" s="239"/>
      <c r="Y995" s="239"/>
      <c r="Z995" s="230"/>
      <c r="AA995" s="230"/>
      <c r="AB995" s="230"/>
      <c r="AC995" s="230"/>
      <c r="AD995" s="239"/>
    </row>
    <row r="996" spans="1:30" ht="15.75" x14ac:dyDescent="0.25">
      <c r="A996" s="230"/>
      <c r="B996" s="231"/>
      <c r="C996" s="231"/>
      <c r="D996" s="231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30"/>
      <c r="S996" s="239"/>
      <c r="T996" s="230"/>
      <c r="U996" s="230"/>
      <c r="V996" s="230"/>
      <c r="W996" s="230"/>
      <c r="X996" s="239"/>
      <c r="Y996" s="239"/>
      <c r="Z996" s="230"/>
      <c r="AA996" s="230"/>
      <c r="AB996" s="230"/>
      <c r="AC996" s="230"/>
      <c r="AD996" s="239"/>
    </row>
    <row r="997" spans="1:30" ht="15.75" x14ac:dyDescent="0.25">
      <c r="A997" s="230"/>
      <c r="B997" s="231"/>
      <c r="C997" s="231"/>
      <c r="D997" s="231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30"/>
      <c r="S997" s="239"/>
      <c r="T997" s="230"/>
      <c r="U997" s="230"/>
      <c r="V997" s="230"/>
      <c r="W997" s="230"/>
      <c r="X997" s="239"/>
      <c r="Y997" s="239"/>
      <c r="Z997" s="230"/>
      <c r="AA997" s="230"/>
      <c r="AB997" s="230"/>
      <c r="AC997" s="230"/>
      <c r="AD997" s="239"/>
    </row>
    <row r="998" spans="1:30" ht="15.75" x14ac:dyDescent="0.25">
      <c r="A998" s="230"/>
      <c r="B998" s="231"/>
      <c r="C998" s="231"/>
      <c r="D998" s="231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30"/>
      <c r="S998" s="239"/>
      <c r="T998" s="230"/>
      <c r="U998" s="230"/>
      <c r="V998" s="230"/>
      <c r="W998" s="230"/>
      <c r="X998" s="239"/>
      <c r="Y998" s="239"/>
      <c r="Z998" s="230"/>
      <c r="AA998" s="230"/>
      <c r="AB998" s="230"/>
      <c r="AC998" s="230"/>
      <c r="AD998" s="239"/>
    </row>
    <row r="999" spans="1:30" ht="15.75" x14ac:dyDescent="0.25">
      <c r="A999" s="230"/>
      <c r="B999" s="231"/>
      <c r="C999" s="231"/>
      <c r="D999" s="231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30"/>
      <c r="S999" s="239"/>
      <c r="T999" s="230"/>
      <c r="U999" s="230"/>
      <c r="V999" s="230"/>
      <c r="W999" s="230"/>
      <c r="X999" s="239"/>
      <c r="Y999" s="239"/>
      <c r="Z999" s="230"/>
      <c r="AA999" s="230"/>
      <c r="AB999" s="230"/>
      <c r="AC999" s="230"/>
      <c r="AD999" s="239"/>
    </row>
    <row r="1000" spans="1:30" ht="15.75" x14ac:dyDescent="0.25">
      <c r="A1000" s="230"/>
      <c r="B1000" s="231"/>
      <c r="C1000" s="231"/>
      <c r="D1000" s="231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30"/>
      <c r="S1000" s="239"/>
      <c r="T1000" s="230"/>
      <c r="U1000" s="230"/>
      <c r="V1000" s="230"/>
      <c r="W1000" s="230"/>
      <c r="X1000" s="239"/>
      <c r="Y1000" s="239"/>
      <c r="Z1000" s="230"/>
      <c r="AA1000" s="230"/>
      <c r="AB1000" s="230"/>
      <c r="AC1000" s="230"/>
      <c r="AD1000" s="239"/>
    </row>
    <row r="1001" spans="1:30" ht="15.75" x14ac:dyDescent="0.25">
      <c r="A1001" s="230"/>
      <c r="B1001" s="231"/>
      <c r="C1001" s="231"/>
      <c r="D1001" s="231"/>
      <c r="E1001" s="230"/>
      <c r="F1001" s="230"/>
      <c r="G1001" s="230"/>
      <c r="H1001" s="230"/>
      <c r="I1001" s="230"/>
      <c r="J1001" s="230"/>
      <c r="K1001" s="230"/>
      <c r="L1001" s="230"/>
      <c r="M1001" s="230"/>
      <c r="N1001" s="230"/>
      <c r="O1001" s="230"/>
      <c r="P1001" s="230"/>
      <c r="Q1001" s="230"/>
      <c r="R1001" s="230"/>
      <c r="S1001" s="239"/>
      <c r="T1001" s="230"/>
      <c r="U1001" s="230"/>
      <c r="V1001" s="230"/>
      <c r="W1001" s="230"/>
      <c r="X1001" s="239"/>
      <c r="Y1001" s="239"/>
      <c r="Z1001" s="230"/>
      <c r="AA1001" s="230"/>
      <c r="AB1001" s="230"/>
      <c r="AC1001" s="230"/>
      <c r="AD1001" s="239"/>
    </row>
    <row r="1002" spans="1:30" ht="15.75" x14ac:dyDescent="0.25">
      <c r="A1002" s="230"/>
      <c r="B1002" s="231"/>
      <c r="C1002" s="231"/>
      <c r="D1002" s="231"/>
      <c r="E1002" s="230"/>
      <c r="F1002" s="230"/>
      <c r="G1002" s="230"/>
      <c r="H1002" s="230"/>
      <c r="I1002" s="230"/>
      <c r="J1002" s="230"/>
      <c r="K1002" s="230"/>
      <c r="L1002" s="230"/>
      <c r="M1002" s="230"/>
      <c r="N1002" s="230"/>
      <c r="O1002" s="230"/>
      <c r="P1002" s="230"/>
      <c r="Q1002" s="230"/>
      <c r="R1002" s="230"/>
      <c r="S1002" s="239"/>
      <c r="T1002" s="230"/>
      <c r="U1002" s="230"/>
      <c r="V1002" s="230"/>
      <c r="W1002" s="230"/>
      <c r="X1002" s="239"/>
      <c r="Y1002" s="239"/>
      <c r="Z1002" s="230"/>
      <c r="AA1002" s="230"/>
      <c r="AB1002" s="230"/>
      <c r="AC1002" s="230"/>
      <c r="AD1002" s="239"/>
    </row>
    <row r="1003" spans="1:30" ht="15.75" x14ac:dyDescent="0.25">
      <c r="A1003" s="230"/>
      <c r="B1003" s="231"/>
      <c r="C1003" s="231"/>
      <c r="D1003" s="231"/>
      <c r="E1003" s="230"/>
      <c r="F1003" s="230"/>
      <c r="G1003" s="230"/>
      <c r="H1003" s="230"/>
      <c r="I1003" s="230"/>
      <c r="J1003" s="230"/>
      <c r="K1003" s="230"/>
      <c r="L1003" s="230"/>
      <c r="M1003" s="230"/>
      <c r="N1003" s="230"/>
      <c r="O1003" s="230"/>
      <c r="P1003" s="230"/>
      <c r="Q1003" s="230"/>
      <c r="R1003" s="230"/>
      <c r="S1003" s="239"/>
      <c r="T1003" s="230"/>
      <c r="U1003" s="230"/>
      <c r="V1003" s="230"/>
      <c r="W1003" s="230"/>
      <c r="X1003" s="239"/>
      <c r="Y1003" s="239"/>
      <c r="Z1003" s="230"/>
      <c r="AA1003" s="230"/>
      <c r="AB1003" s="230"/>
      <c r="AC1003" s="230"/>
      <c r="AD1003" s="239"/>
    </row>
    <row r="1004" spans="1:30" ht="15.75" x14ac:dyDescent="0.25">
      <c r="A1004" s="230"/>
      <c r="B1004" s="231"/>
      <c r="C1004" s="231"/>
      <c r="D1004" s="231"/>
      <c r="E1004" s="230"/>
      <c r="F1004" s="230"/>
      <c r="G1004" s="230"/>
      <c r="H1004" s="230"/>
      <c r="I1004" s="230"/>
      <c r="J1004" s="230"/>
      <c r="K1004" s="230"/>
      <c r="L1004" s="230"/>
      <c r="M1004" s="230"/>
      <c r="N1004" s="230"/>
      <c r="O1004" s="230"/>
      <c r="P1004" s="230"/>
      <c r="Q1004" s="230"/>
      <c r="R1004" s="230"/>
      <c r="S1004" s="239"/>
      <c r="T1004" s="230"/>
      <c r="U1004" s="230"/>
      <c r="V1004" s="230"/>
      <c r="W1004" s="230"/>
      <c r="X1004" s="239"/>
      <c r="Y1004" s="239"/>
      <c r="Z1004" s="230"/>
      <c r="AA1004" s="230"/>
      <c r="AB1004" s="230"/>
      <c r="AC1004" s="230"/>
      <c r="AD1004" s="239"/>
    </row>
    <row r="1005" spans="1:30" ht="15.75" x14ac:dyDescent="0.25">
      <c r="A1005" s="230"/>
      <c r="B1005" s="231"/>
      <c r="C1005" s="231"/>
      <c r="D1005" s="231"/>
      <c r="E1005" s="230"/>
      <c r="F1005" s="230"/>
      <c r="G1005" s="230"/>
      <c r="H1005" s="230"/>
      <c r="I1005" s="230"/>
      <c r="J1005" s="230"/>
      <c r="K1005" s="230"/>
      <c r="L1005" s="230"/>
      <c r="M1005" s="230"/>
      <c r="N1005" s="230"/>
      <c r="O1005" s="230"/>
      <c r="P1005" s="230"/>
      <c r="Q1005" s="230"/>
      <c r="R1005" s="230"/>
      <c r="S1005" s="239"/>
      <c r="T1005" s="230"/>
      <c r="U1005" s="230"/>
      <c r="V1005" s="230"/>
      <c r="W1005" s="230"/>
      <c r="X1005" s="239"/>
      <c r="Y1005" s="239"/>
      <c r="Z1005" s="230"/>
      <c r="AA1005" s="230"/>
      <c r="AB1005" s="230"/>
      <c r="AC1005" s="230"/>
      <c r="AD1005" s="239"/>
    </row>
    <row r="1006" spans="1:30" ht="15.75" x14ac:dyDescent="0.25">
      <c r="A1006" s="230"/>
      <c r="B1006" s="231"/>
      <c r="C1006" s="231"/>
      <c r="D1006" s="231"/>
      <c r="E1006" s="230"/>
      <c r="F1006" s="230"/>
      <c r="G1006" s="230"/>
      <c r="H1006" s="230"/>
      <c r="I1006" s="230"/>
      <c r="J1006" s="230"/>
      <c r="K1006" s="230"/>
      <c r="L1006" s="230"/>
      <c r="M1006" s="230"/>
      <c r="N1006" s="230"/>
      <c r="O1006" s="230"/>
      <c r="P1006" s="230"/>
      <c r="Q1006" s="230"/>
      <c r="R1006" s="230"/>
      <c r="S1006" s="239"/>
      <c r="T1006" s="230"/>
      <c r="U1006" s="230"/>
      <c r="V1006" s="230"/>
      <c r="W1006" s="230"/>
      <c r="X1006" s="239"/>
      <c r="Y1006" s="239"/>
      <c r="Z1006" s="230"/>
      <c r="AA1006" s="230"/>
      <c r="AB1006" s="230"/>
      <c r="AC1006" s="230"/>
      <c r="AD1006" s="239"/>
    </row>
    <row r="1007" spans="1:30" ht="15.75" x14ac:dyDescent="0.25">
      <c r="A1007" s="230"/>
      <c r="B1007" s="231"/>
      <c r="C1007" s="231"/>
      <c r="D1007" s="231"/>
      <c r="E1007" s="230"/>
      <c r="F1007" s="230"/>
      <c r="G1007" s="230"/>
      <c r="H1007" s="230"/>
      <c r="I1007" s="230"/>
      <c r="J1007" s="230"/>
      <c r="K1007" s="230"/>
      <c r="L1007" s="230"/>
      <c r="M1007" s="230"/>
      <c r="N1007" s="230"/>
      <c r="O1007" s="230"/>
      <c r="P1007" s="230"/>
      <c r="Q1007" s="230"/>
      <c r="R1007" s="230"/>
      <c r="S1007" s="239"/>
      <c r="T1007" s="230"/>
      <c r="U1007" s="230"/>
      <c r="V1007" s="230"/>
      <c r="W1007" s="230"/>
      <c r="X1007" s="239"/>
      <c r="Y1007" s="239"/>
      <c r="Z1007" s="230"/>
      <c r="AA1007" s="230"/>
      <c r="AB1007" s="230"/>
      <c r="AC1007" s="230"/>
      <c r="AD1007" s="239"/>
    </row>
    <row r="1008" spans="1:30" ht="15.75" x14ac:dyDescent="0.25">
      <c r="A1008" s="230"/>
      <c r="B1008" s="231"/>
      <c r="C1008" s="231"/>
      <c r="D1008" s="231"/>
      <c r="E1008" s="230"/>
      <c r="F1008" s="230"/>
      <c r="G1008" s="230"/>
      <c r="H1008" s="230"/>
      <c r="I1008" s="230"/>
      <c r="J1008" s="230"/>
      <c r="K1008" s="230"/>
      <c r="L1008" s="230"/>
      <c r="M1008" s="230"/>
      <c r="N1008" s="230"/>
      <c r="O1008" s="230"/>
      <c r="P1008" s="230"/>
      <c r="Q1008" s="230"/>
      <c r="R1008" s="230"/>
      <c r="S1008" s="239"/>
      <c r="T1008" s="230"/>
      <c r="U1008" s="230"/>
      <c r="V1008" s="230"/>
      <c r="W1008" s="230"/>
      <c r="X1008" s="239"/>
      <c r="Y1008" s="239"/>
      <c r="Z1008" s="230"/>
      <c r="AA1008" s="230"/>
      <c r="AB1008" s="230"/>
      <c r="AC1008" s="230"/>
      <c r="AD1008" s="239"/>
    </row>
    <row r="1009" spans="1:30" ht="15.75" x14ac:dyDescent="0.25">
      <c r="A1009" s="230"/>
      <c r="B1009" s="231"/>
      <c r="C1009" s="231"/>
      <c r="D1009" s="231"/>
      <c r="E1009" s="230"/>
      <c r="F1009" s="230"/>
      <c r="G1009" s="230"/>
      <c r="H1009" s="230"/>
      <c r="I1009" s="230"/>
      <c r="J1009" s="230"/>
      <c r="K1009" s="230"/>
      <c r="L1009" s="230"/>
      <c r="M1009" s="230"/>
      <c r="N1009" s="230"/>
      <c r="O1009" s="230"/>
      <c r="P1009" s="230"/>
      <c r="Q1009" s="230"/>
      <c r="R1009" s="230"/>
      <c r="S1009" s="239"/>
      <c r="T1009" s="230"/>
      <c r="U1009" s="230"/>
      <c r="V1009" s="230"/>
      <c r="W1009" s="230"/>
      <c r="X1009" s="239"/>
      <c r="Y1009" s="239"/>
      <c r="Z1009" s="230"/>
      <c r="AA1009" s="230"/>
      <c r="AB1009" s="230"/>
      <c r="AC1009" s="230"/>
      <c r="AD1009" s="239"/>
    </row>
    <row r="1010" spans="1:30" ht="15.75" x14ac:dyDescent="0.25">
      <c r="A1010" s="230"/>
      <c r="B1010" s="231"/>
      <c r="C1010" s="231"/>
      <c r="D1010" s="231"/>
      <c r="E1010" s="230"/>
      <c r="F1010" s="230"/>
      <c r="G1010" s="230"/>
      <c r="H1010" s="230"/>
      <c r="I1010" s="230"/>
      <c r="J1010" s="230"/>
      <c r="K1010" s="230"/>
      <c r="L1010" s="230"/>
      <c r="M1010" s="230"/>
      <c r="N1010" s="230"/>
      <c r="O1010" s="230"/>
      <c r="P1010" s="230"/>
      <c r="Q1010" s="230"/>
      <c r="R1010" s="230"/>
      <c r="S1010" s="239"/>
      <c r="T1010" s="230"/>
      <c r="U1010" s="230"/>
      <c r="V1010" s="230"/>
      <c r="W1010" s="230"/>
      <c r="X1010" s="239"/>
      <c r="Y1010" s="239"/>
      <c r="Z1010" s="230"/>
      <c r="AA1010" s="230"/>
      <c r="AB1010" s="230"/>
      <c r="AC1010" s="230"/>
      <c r="AD1010" s="239"/>
    </row>
    <row r="1011" spans="1:30" ht="15.75" x14ac:dyDescent="0.25">
      <c r="A1011" s="230"/>
      <c r="B1011" s="231"/>
      <c r="C1011" s="231"/>
      <c r="D1011" s="231"/>
      <c r="E1011" s="230"/>
      <c r="F1011" s="230"/>
      <c r="G1011" s="230"/>
      <c r="H1011" s="230"/>
      <c r="I1011" s="230"/>
      <c r="J1011" s="230"/>
      <c r="K1011" s="230"/>
      <c r="L1011" s="230"/>
      <c r="M1011" s="230"/>
      <c r="N1011" s="230"/>
      <c r="O1011" s="230"/>
      <c r="P1011" s="230"/>
      <c r="Q1011" s="230"/>
      <c r="R1011" s="230"/>
      <c r="S1011" s="239"/>
      <c r="T1011" s="230"/>
      <c r="U1011" s="230"/>
      <c r="V1011" s="230"/>
      <c r="W1011" s="230"/>
      <c r="X1011" s="239"/>
      <c r="Y1011" s="239"/>
      <c r="Z1011" s="230"/>
      <c r="AA1011" s="230"/>
      <c r="AB1011" s="230"/>
      <c r="AC1011" s="230"/>
      <c r="AD1011" s="239"/>
    </row>
    <row r="1012" spans="1:30" ht="15.75" x14ac:dyDescent="0.25">
      <c r="A1012" s="230"/>
      <c r="B1012" s="231"/>
      <c r="C1012" s="231"/>
      <c r="D1012" s="231"/>
      <c r="E1012" s="230"/>
      <c r="F1012" s="230"/>
      <c r="G1012" s="230"/>
      <c r="H1012" s="230"/>
      <c r="I1012" s="230"/>
      <c r="J1012" s="230"/>
      <c r="K1012" s="230"/>
      <c r="L1012" s="230"/>
      <c r="M1012" s="230"/>
      <c r="N1012" s="230"/>
      <c r="O1012" s="230"/>
      <c r="P1012" s="230"/>
      <c r="Q1012" s="230"/>
      <c r="R1012" s="230"/>
      <c r="S1012" s="239"/>
      <c r="T1012" s="230"/>
      <c r="U1012" s="230"/>
      <c r="V1012" s="230"/>
      <c r="W1012" s="230"/>
      <c r="X1012" s="239"/>
      <c r="Y1012" s="239"/>
      <c r="Z1012" s="230"/>
      <c r="AA1012" s="230"/>
      <c r="AB1012" s="230"/>
      <c r="AC1012" s="230"/>
      <c r="AD1012" s="239"/>
    </row>
    <row r="1013" spans="1:30" ht="15.75" x14ac:dyDescent="0.25">
      <c r="A1013" s="230"/>
      <c r="B1013" s="231"/>
      <c r="C1013" s="231"/>
      <c r="D1013" s="231"/>
      <c r="E1013" s="230"/>
      <c r="F1013" s="230"/>
      <c r="G1013" s="230"/>
      <c r="H1013" s="230"/>
      <c r="I1013" s="230"/>
      <c r="J1013" s="230"/>
      <c r="K1013" s="230"/>
      <c r="L1013" s="230"/>
      <c r="M1013" s="230"/>
      <c r="N1013" s="230"/>
      <c r="O1013" s="230"/>
      <c r="P1013" s="230"/>
      <c r="Q1013" s="230"/>
      <c r="R1013" s="230"/>
      <c r="S1013" s="239"/>
      <c r="T1013" s="230"/>
      <c r="U1013" s="230"/>
      <c r="V1013" s="230"/>
      <c r="W1013" s="230"/>
      <c r="X1013" s="239"/>
      <c r="Y1013" s="239"/>
      <c r="Z1013" s="230"/>
      <c r="AA1013" s="230"/>
      <c r="AB1013" s="230"/>
      <c r="AC1013" s="230"/>
      <c r="AD1013" s="239"/>
    </row>
    <row r="1014" spans="1:30" ht="15.75" x14ac:dyDescent="0.25">
      <c r="A1014" s="230"/>
      <c r="B1014" s="231"/>
      <c r="C1014" s="231"/>
      <c r="D1014" s="231"/>
      <c r="E1014" s="230"/>
      <c r="F1014" s="230"/>
      <c r="G1014" s="230"/>
      <c r="H1014" s="230"/>
      <c r="I1014" s="230"/>
      <c r="J1014" s="230"/>
      <c r="K1014" s="230"/>
      <c r="L1014" s="230"/>
      <c r="M1014" s="230"/>
      <c r="N1014" s="230"/>
      <c r="O1014" s="230"/>
      <c r="P1014" s="230"/>
      <c r="Q1014" s="230"/>
      <c r="R1014" s="230"/>
      <c r="S1014" s="239"/>
      <c r="T1014" s="230"/>
      <c r="U1014" s="230"/>
      <c r="V1014" s="230"/>
      <c r="W1014" s="230"/>
      <c r="X1014" s="239"/>
      <c r="Y1014" s="239"/>
      <c r="Z1014" s="230"/>
      <c r="AA1014" s="230"/>
      <c r="AB1014" s="230"/>
      <c r="AC1014" s="230"/>
      <c r="AD1014" s="239"/>
    </row>
    <row r="1015" spans="1:30" ht="15.75" x14ac:dyDescent="0.25">
      <c r="A1015" s="230"/>
      <c r="B1015" s="231"/>
      <c r="C1015" s="231"/>
      <c r="D1015" s="231"/>
      <c r="E1015" s="230"/>
      <c r="F1015" s="230"/>
      <c r="G1015" s="230"/>
      <c r="H1015" s="230"/>
      <c r="I1015" s="230"/>
      <c r="J1015" s="230"/>
      <c r="K1015" s="230"/>
      <c r="L1015" s="230"/>
      <c r="M1015" s="230"/>
      <c r="N1015" s="230"/>
      <c r="O1015" s="230"/>
      <c r="P1015" s="230"/>
      <c r="Q1015" s="230"/>
      <c r="R1015" s="230"/>
      <c r="S1015" s="239"/>
      <c r="T1015" s="230"/>
      <c r="U1015" s="230"/>
      <c r="V1015" s="230"/>
      <c r="W1015" s="230"/>
      <c r="X1015" s="239"/>
      <c r="Y1015" s="239"/>
      <c r="Z1015" s="230"/>
      <c r="AA1015" s="230"/>
      <c r="AB1015" s="230"/>
      <c r="AC1015" s="230"/>
      <c r="AD1015" s="239"/>
    </row>
    <row r="1016" spans="1:30" ht="15.75" x14ac:dyDescent="0.25">
      <c r="A1016" s="230"/>
      <c r="B1016" s="231"/>
      <c r="C1016" s="231"/>
      <c r="D1016" s="231"/>
      <c r="E1016" s="230"/>
      <c r="F1016" s="230"/>
      <c r="G1016" s="230"/>
      <c r="H1016" s="230"/>
      <c r="I1016" s="230"/>
      <c r="J1016" s="230"/>
      <c r="K1016" s="230"/>
      <c r="L1016" s="230"/>
      <c r="M1016" s="230"/>
      <c r="N1016" s="230"/>
      <c r="O1016" s="230"/>
      <c r="P1016" s="230"/>
      <c r="Q1016" s="230"/>
      <c r="R1016" s="230"/>
      <c r="S1016" s="239"/>
      <c r="T1016" s="230"/>
      <c r="U1016" s="230"/>
      <c r="V1016" s="230"/>
      <c r="W1016" s="230"/>
      <c r="X1016" s="239"/>
      <c r="Y1016" s="239"/>
      <c r="Z1016" s="230"/>
      <c r="AA1016" s="230"/>
      <c r="AB1016" s="230"/>
      <c r="AC1016" s="230"/>
      <c r="AD1016" s="239"/>
    </row>
    <row r="1017" spans="1:30" ht="15.75" x14ac:dyDescent="0.25">
      <c r="A1017" s="230"/>
      <c r="B1017" s="231"/>
      <c r="C1017" s="231"/>
      <c r="D1017" s="231"/>
      <c r="E1017" s="230"/>
      <c r="F1017" s="230"/>
      <c r="G1017" s="230"/>
      <c r="H1017" s="230"/>
      <c r="I1017" s="230"/>
      <c r="J1017" s="230"/>
      <c r="K1017" s="230"/>
      <c r="L1017" s="230"/>
      <c r="M1017" s="230"/>
      <c r="N1017" s="230"/>
      <c r="O1017" s="230"/>
      <c r="P1017" s="230"/>
      <c r="Q1017" s="230"/>
      <c r="R1017" s="230"/>
      <c r="S1017" s="239"/>
      <c r="T1017" s="230"/>
      <c r="U1017" s="230"/>
      <c r="V1017" s="230"/>
      <c r="W1017" s="230"/>
      <c r="X1017" s="239"/>
      <c r="Y1017" s="239"/>
      <c r="Z1017" s="230"/>
      <c r="AA1017" s="230"/>
      <c r="AB1017" s="230"/>
      <c r="AC1017" s="230"/>
      <c r="AD1017" s="239"/>
    </row>
    <row r="1018" spans="1:30" ht="15.75" x14ac:dyDescent="0.25">
      <c r="A1018" s="230"/>
      <c r="B1018" s="231"/>
      <c r="C1018" s="231"/>
      <c r="D1018" s="231"/>
      <c r="E1018" s="230"/>
      <c r="F1018" s="230"/>
      <c r="G1018" s="230"/>
      <c r="H1018" s="230"/>
      <c r="I1018" s="230"/>
      <c r="J1018" s="230"/>
      <c r="K1018" s="230"/>
      <c r="L1018" s="230"/>
      <c r="M1018" s="230"/>
      <c r="N1018" s="230"/>
      <c r="O1018" s="230"/>
      <c r="P1018" s="230"/>
      <c r="Q1018" s="230"/>
      <c r="R1018" s="230"/>
      <c r="S1018" s="239"/>
      <c r="T1018" s="230"/>
      <c r="U1018" s="230"/>
      <c r="V1018" s="230"/>
      <c r="W1018" s="230"/>
      <c r="X1018" s="239"/>
      <c r="Y1018" s="239"/>
      <c r="Z1018" s="230"/>
      <c r="AA1018" s="230"/>
      <c r="AB1018" s="230"/>
      <c r="AC1018" s="230"/>
      <c r="AD1018" s="239"/>
    </row>
    <row r="1019" spans="1:30" ht="15.75" x14ac:dyDescent="0.25">
      <c r="A1019" s="230"/>
      <c r="B1019" s="231"/>
      <c r="C1019" s="231"/>
      <c r="D1019" s="231"/>
      <c r="E1019" s="230"/>
      <c r="F1019" s="230"/>
      <c r="G1019" s="230"/>
      <c r="H1019" s="230"/>
      <c r="I1019" s="230"/>
      <c r="J1019" s="230"/>
      <c r="K1019" s="230"/>
      <c r="L1019" s="230"/>
      <c r="M1019" s="230"/>
      <c r="N1019" s="230"/>
      <c r="O1019" s="230"/>
      <c r="P1019" s="230"/>
      <c r="Q1019" s="230"/>
      <c r="R1019" s="230"/>
      <c r="S1019" s="239"/>
      <c r="T1019" s="230"/>
      <c r="U1019" s="230"/>
      <c r="V1019" s="230"/>
      <c r="W1019" s="230"/>
      <c r="X1019" s="239"/>
      <c r="Y1019" s="239"/>
      <c r="Z1019" s="230"/>
      <c r="AA1019" s="230"/>
      <c r="AB1019" s="230"/>
      <c r="AC1019" s="230"/>
      <c r="AD1019" s="239"/>
    </row>
    <row r="1020" spans="1:30" ht="15.75" x14ac:dyDescent="0.25">
      <c r="A1020" s="230"/>
      <c r="B1020" s="231"/>
      <c r="C1020" s="231"/>
      <c r="D1020" s="231"/>
      <c r="E1020" s="230"/>
      <c r="F1020" s="230"/>
      <c r="G1020" s="230"/>
      <c r="H1020" s="230"/>
      <c r="I1020" s="230"/>
      <c r="J1020" s="230"/>
      <c r="K1020" s="230"/>
      <c r="L1020" s="230"/>
      <c r="M1020" s="230"/>
      <c r="N1020" s="230"/>
      <c r="O1020" s="230"/>
      <c r="P1020" s="230"/>
      <c r="Q1020" s="230"/>
      <c r="R1020" s="230"/>
      <c r="S1020" s="239"/>
      <c r="T1020" s="230"/>
      <c r="U1020" s="230"/>
      <c r="V1020" s="230"/>
      <c r="W1020" s="230"/>
      <c r="X1020" s="239"/>
      <c r="Y1020" s="239"/>
      <c r="Z1020" s="230"/>
      <c r="AA1020" s="230"/>
      <c r="AB1020" s="230"/>
      <c r="AC1020" s="230"/>
      <c r="AD1020" s="239"/>
    </row>
    <row r="1021" spans="1:30" ht="15.75" x14ac:dyDescent="0.25">
      <c r="A1021" s="230"/>
      <c r="B1021" s="231"/>
      <c r="C1021" s="231"/>
      <c r="D1021" s="231"/>
      <c r="E1021" s="230"/>
      <c r="F1021" s="230"/>
      <c r="G1021" s="230"/>
      <c r="H1021" s="230"/>
      <c r="I1021" s="230"/>
      <c r="J1021" s="230"/>
      <c r="K1021" s="230"/>
      <c r="L1021" s="230"/>
      <c r="M1021" s="230"/>
      <c r="N1021" s="230"/>
      <c r="O1021" s="230"/>
      <c r="P1021" s="230"/>
      <c r="Q1021" s="230"/>
      <c r="R1021" s="230"/>
      <c r="S1021" s="239"/>
      <c r="T1021" s="230"/>
      <c r="U1021" s="230"/>
      <c r="V1021" s="230"/>
      <c r="W1021" s="230"/>
      <c r="X1021" s="239"/>
      <c r="Y1021" s="239"/>
      <c r="Z1021" s="230"/>
      <c r="AA1021" s="230"/>
      <c r="AB1021" s="230"/>
      <c r="AC1021" s="230"/>
      <c r="AD1021" s="239"/>
    </row>
    <row r="1022" spans="1:30" ht="15.75" x14ac:dyDescent="0.25">
      <c r="A1022" s="230"/>
      <c r="B1022" s="231"/>
      <c r="C1022" s="231"/>
      <c r="D1022" s="231"/>
      <c r="E1022" s="230"/>
      <c r="F1022" s="230"/>
      <c r="G1022" s="230"/>
      <c r="H1022" s="230"/>
      <c r="I1022" s="230"/>
      <c r="J1022" s="230"/>
      <c r="K1022" s="230"/>
      <c r="L1022" s="230"/>
      <c r="M1022" s="230"/>
      <c r="N1022" s="230"/>
      <c r="O1022" s="230"/>
      <c r="P1022" s="230"/>
      <c r="Q1022" s="230"/>
      <c r="R1022" s="230"/>
      <c r="S1022" s="239"/>
      <c r="T1022" s="230"/>
      <c r="U1022" s="230"/>
      <c r="V1022" s="230"/>
      <c r="W1022" s="230"/>
      <c r="X1022" s="239"/>
      <c r="Y1022" s="239"/>
      <c r="Z1022" s="230"/>
      <c r="AA1022" s="230"/>
      <c r="AB1022" s="230"/>
      <c r="AC1022" s="230"/>
      <c r="AD1022" s="239"/>
    </row>
    <row r="1023" spans="1:30" ht="15.75" x14ac:dyDescent="0.25">
      <c r="A1023" s="230"/>
      <c r="B1023" s="231"/>
      <c r="C1023" s="231"/>
      <c r="D1023" s="231"/>
      <c r="E1023" s="230"/>
      <c r="F1023" s="230"/>
      <c r="G1023" s="230"/>
      <c r="H1023" s="230"/>
      <c r="I1023" s="230"/>
      <c r="J1023" s="230"/>
      <c r="K1023" s="230"/>
      <c r="L1023" s="230"/>
      <c r="M1023" s="230"/>
      <c r="N1023" s="230"/>
      <c r="O1023" s="230"/>
      <c r="P1023" s="230"/>
      <c r="Q1023" s="230"/>
      <c r="R1023" s="230"/>
      <c r="S1023" s="239"/>
      <c r="T1023" s="230"/>
      <c r="U1023" s="230"/>
      <c r="V1023" s="230"/>
      <c r="W1023" s="230"/>
      <c r="X1023" s="239"/>
      <c r="Y1023" s="239"/>
      <c r="Z1023" s="230"/>
      <c r="AA1023" s="230"/>
      <c r="AB1023" s="230"/>
      <c r="AC1023" s="230"/>
      <c r="AD1023" s="239"/>
    </row>
    <row r="1024" spans="1:30" ht="15.75" x14ac:dyDescent="0.25">
      <c r="A1024" s="230"/>
      <c r="B1024" s="231"/>
      <c r="C1024" s="231"/>
      <c r="D1024" s="231"/>
      <c r="E1024" s="230"/>
      <c r="F1024" s="230"/>
      <c r="G1024" s="230"/>
      <c r="H1024" s="230"/>
      <c r="I1024" s="230"/>
      <c r="J1024" s="230"/>
      <c r="K1024" s="230"/>
      <c r="L1024" s="230"/>
      <c r="M1024" s="230"/>
      <c r="N1024" s="230"/>
      <c r="O1024" s="230"/>
      <c r="P1024" s="230"/>
      <c r="Q1024" s="230"/>
      <c r="R1024" s="230"/>
      <c r="S1024" s="239"/>
      <c r="T1024" s="230"/>
      <c r="U1024" s="230"/>
      <c r="V1024" s="230"/>
      <c r="W1024" s="230"/>
      <c r="X1024" s="239"/>
      <c r="Y1024" s="239"/>
      <c r="Z1024" s="230"/>
      <c r="AA1024" s="230"/>
      <c r="AB1024" s="230"/>
      <c r="AC1024" s="230"/>
      <c r="AD1024" s="239"/>
    </row>
    <row r="1025" spans="1:30" ht="15.75" x14ac:dyDescent="0.25">
      <c r="A1025" s="230"/>
      <c r="B1025" s="231"/>
      <c r="C1025" s="231"/>
      <c r="D1025" s="231"/>
      <c r="E1025" s="230"/>
      <c r="F1025" s="230"/>
      <c r="G1025" s="230"/>
      <c r="H1025" s="230"/>
      <c r="I1025" s="230"/>
      <c r="J1025" s="230"/>
      <c r="K1025" s="230"/>
      <c r="L1025" s="230"/>
      <c r="M1025" s="230"/>
      <c r="N1025" s="230"/>
      <c r="O1025" s="230"/>
      <c r="P1025" s="230"/>
      <c r="Q1025" s="230"/>
      <c r="R1025" s="230"/>
      <c r="S1025" s="239"/>
      <c r="T1025" s="230"/>
      <c r="U1025" s="230"/>
      <c r="V1025" s="230"/>
      <c r="W1025" s="230"/>
      <c r="X1025" s="239"/>
      <c r="Y1025" s="239"/>
      <c r="Z1025" s="230"/>
      <c r="AA1025" s="230"/>
      <c r="AB1025" s="230"/>
      <c r="AC1025" s="230"/>
      <c r="AD1025" s="239"/>
    </row>
    <row r="1026" spans="1:30" ht="15.75" x14ac:dyDescent="0.25">
      <c r="A1026" s="230"/>
      <c r="B1026" s="231"/>
      <c r="C1026" s="231"/>
      <c r="D1026" s="231"/>
      <c r="E1026" s="230"/>
      <c r="F1026" s="230"/>
      <c r="G1026" s="230"/>
      <c r="H1026" s="230"/>
      <c r="I1026" s="230"/>
      <c r="J1026" s="230"/>
      <c r="K1026" s="230"/>
      <c r="L1026" s="230"/>
      <c r="M1026" s="230"/>
      <c r="N1026" s="230"/>
      <c r="O1026" s="230"/>
      <c r="P1026" s="230"/>
      <c r="Q1026" s="230"/>
      <c r="R1026" s="230"/>
      <c r="S1026" s="239"/>
      <c r="T1026" s="230"/>
      <c r="U1026" s="230"/>
      <c r="V1026" s="230"/>
      <c r="W1026" s="230"/>
      <c r="X1026" s="239"/>
      <c r="Y1026" s="239"/>
      <c r="Z1026" s="230"/>
      <c r="AA1026" s="230"/>
      <c r="AB1026" s="230"/>
      <c r="AC1026" s="230"/>
      <c r="AD1026" s="239"/>
    </row>
    <row r="1027" spans="1:30" ht="15.75" x14ac:dyDescent="0.25">
      <c r="A1027" s="230"/>
      <c r="B1027" s="231"/>
      <c r="C1027" s="231"/>
      <c r="D1027" s="231"/>
      <c r="E1027" s="230"/>
      <c r="F1027" s="230"/>
      <c r="G1027" s="230"/>
      <c r="H1027" s="230"/>
      <c r="I1027" s="230"/>
      <c r="J1027" s="230"/>
      <c r="K1027" s="230"/>
      <c r="L1027" s="230"/>
      <c r="M1027" s="230"/>
      <c r="N1027" s="230"/>
      <c r="O1027" s="230"/>
      <c r="P1027" s="230"/>
      <c r="Q1027" s="230"/>
      <c r="R1027" s="230"/>
      <c r="S1027" s="239"/>
      <c r="T1027" s="230"/>
      <c r="U1027" s="230"/>
      <c r="V1027" s="230"/>
      <c r="W1027" s="230"/>
      <c r="X1027" s="239"/>
      <c r="Y1027" s="239"/>
      <c r="Z1027" s="230"/>
      <c r="AA1027" s="230"/>
      <c r="AB1027" s="230"/>
      <c r="AC1027" s="230"/>
      <c r="AD1027" s="239"/>
    </row>
    <row r="1028" spans="1:30" ht="15.75" x14ac:dyDescent="0.25">
      <c r="A1028" s="230"/>
      <c r="B1028" s="231"/>
      <c r="C1028" s="231"/>
      <c r="D1028" s="231"/>
      <c r="E1028" s="230"/>
      <c r="F1028" s="230"/>
      <c r="G1028" s="230"/>
      <c r="H1028" s="230"/>
      <c r="I1028" s="230"/>
      <c r="J1028" s="230"/>
      <c r="K1028" s="230"/>
      <c r="L1028" s="230"/>
      <c r="M1028" s="230"/>
      <c r="N1028" s="230"/>
      <c r="O1028" s="230"/>
      <c r="P1028" s="230"/>
      <c r="Q1028" s="230"/>
      <c r="R1028" s="230"/>
      <c r="S1028" s="239"/>
      <c r="T1028" s="230"/>
      <c r="U1028" s="230"/>
      <c r="V1028" s="230"/>
      <c r="W1028" s="230"/>
      <c r="X1028" s="239"/>
      <c r="Y1028" s="239"/>
      <c r="Z1028" s="230"/>
      <c r="AA1028" s="230"/>
      <c r="AB1028" s="230"/>
      <c r="AC1028" s="230"/>
      <c r="AD1028" s="239"/>
    </row>
    <row r="1029" spans="1:30" ht="15.75" x14ac:dyDescent="0.25">
      <c r="A1029" s="230"/>
      <c r="B1029" s="231"/>
      <c r="C1029" s="231"/>
      <c r="D1029" s="231"/>
      <c r="E1029" s="230"/>
      <c r="F1029" s="230"/>
      <c r="G1029" s="230"/>
      <c r="H1029" s="230"/>
      <c r="I1029" s="230"/>
      <c r="J1029" s="230"/>
      <c r="K1029" s="230"/>
      <c r="L1029" s="230"/>
      <c r="M1029" s="230"/>
      <c r="N1029" s="230"/>
      <c r="O1029" s="230"/>
      <c r="P1029" s="230"/>
      <c r="Q1029" s="230"/>
      <c r="R1029" s="230"/>
      <c r="S1029" s="239"/>
      <c r="T1029" s="230"/>
      <c r="U1029" s="230"/>
      <c r="V1029" s="230"/>
      <c r="W1029" s="230"/>
      <c r="X1029" s="239"/>
      <c r="Y1029" s="239"/>
      <c r="Z1029" s="230"/>
      <c r="AA1029" s="230"/>
      <c r="AB1029" s="230"/>
      <c r="AC1029" s="230"/>
      <c r="AD1029" s="239"/>
    </row>
    <row r="1030" spans="1:30" ht="15.75" x14ac:dyDescent="0.25">
      <c r="A1030" s="230"/>
      <c r="B1030" s="231"/>
      <c r="C1030" s="231"/>
      <c r="D1030" s="231"/>
      <c r="E1030" s="230"/>
      <c r="F1030" s="230"/>
      <c r="G1030" s="230"/>
      <c r="H1030" s="230"/>
      <c r="I1030" s="230"/>
      <c r="J1030" s="230"/>
      <c r="K1030" s="230"/>
      <c r="L1030" s="230"/>
      <c r="M1030" s="230"/>
      <c r="N1030" s="230"/>
      <c r="O1030" s="230"/>
      <c r="P1030" s="230"/>
      <c r="Q1030" s="230"/>
      <c r="R1030" s="230"/>
      <c r="S1030" s="239"/>
      <c r="T1030" s="230"/>
      <c r="U1030" s="230"/>
      <c r="V1030" s="230"/>
      <c r="W1030" s="230"/>
      <c r="X1030" s="239"/>
      <c r="Y1030" s="239"/>
      <c r="Z1030" s="230"/>
      <c r="AA1030" s="230"/>
      <c r="AB1030" s="230"/>
      <c r="AC1030" s="230"/>
      <c r="AD1030" s="239"/>
    </row>
    <row r="1031" spans="1:30" ht="15.75" x14ac:dyDescent="0.25">
      <c r="A1031" s="230"/>
      <c r="B1031" s="231"/>
      <c r="C1031" s="231"/>
      <c r="D1031" s="231"/>
      <c r="E1031" s="230"/>
      <c r="F1031" s="230"/>
      <c r="G1031" s="230"/>
      <c r="H1031" s="230"/>
      <c r="I1031" s="230"/>
      <c r="J1031" s="230"/>
      <c r="K1031" s="230"/>
      <c r="L1031" s="230"/>
      <c r="M1031" s="230"/>
      <c r="N1031" s="230"/>
      <c r="O1031" s="230"/>
      <c r="P1031" s="230"/>
      <c r="Q1031" s="230"/>
      <c r="R1031" s="230"/>
      <c r="S1031" s="239"/>
      <c r="T1031" s="230"/>
      <c r="U1031" s="230"/>
      <c r="V1031" s="230"/>
      <c r="W1031" s="230"/>
      <c r="X1031" s="239"/>
      <c r="Y1031" s="239"/>
      <c r="Z1031" s="230"/>
      <c r="AA1031" s="230"/>
      <c r="AB1031" s="230"/>
      <c r="AC1031" s="230"/>
      <c r="AD1031" s="239"/>
    </row>
    <row r="1032" spans="1:30" ht="15.75" x14ac:dyDescent="0.25">
      <c r="A1032" s="230"/>
      <c r="B1032" s="231"/>
      <c r="C1032" s="231"/>
      <c r="D1032" s="231"/>
      <c r="E1032" s="230"/>
      <c r="F1032" s="230"/>
      <c r="G1032" s="230"/>
      <c r="H1032" s="230"/>
      <c r="I1032" s="230"/>
      <c r="J1032" s="230"/>
      <c r="K1032" s="230"/>
      <c r="L1032" s="230"/>
      <c r="M1032" s="230"/>
      <c r="N1032" s="230"/>
      <c r="O1032" s="230"/>
      <c r="P1032" s="230"/>
      <c r="Q1032" s="230"/>
      <c r="R1032" s="230"/>
      <c r="S1032" s="239"/>
      <c r="T1032" s="230"/>
      <c r="U1032" s="230"/>
      <c r="V1032" s="230"/>
      <c r="W1032" s="230"/>
      <c r="X1032" s="239"/>
      <c r="Y1032" s="239"/>
      <c r="Z1032" s="230"/>
      <c r="AA1032" s="230"/>
      <c r="AB1032" s="230"/>
      <c r="AC1032" s="230"/>
      <c r="AD1032" s="239"/>
    </row>
    <row r="1033" spans="1:30" ht="15.75" x14ac:dyDescent="0.25">
      <c r="A1033" s="230"/>
      <c r="B1033" s="231"/>
      <c r="C1033" s="231"/>
      <c r="D1033" s="231"/>
      <c r="E1033" s="230"/>
      <c r="F1033" s="230"/>
      <c r="G1033" s="230"/>
      <c r="H1033" s="230"/>
      <c r="I1033" s="230"/>
      <c r="J1033" s="230"/>
      <c r="K1033" s="230"/>
      <c r="L1033" s="230"/>
      <c r="M1033" s="230"/>
      <c r="N1033" s="230"/>
      <c r="O1033" s="230"/>
      <c r="P1033" s="230"/>
      <c r="Q1033" s="230"/>
      <c r="R1033" s="230"/>
      <c r="S1033" s="239"/>
      <c r="T1033" s="230"/>
      <c r="U1033" s="230"/>
      <c r="V1033" s="230"/>
      <c r="W1033" s="230"/>
      <c r="X1033" s="239"/>
      <c r="Y1033" s="239"/>
      <c r="Z1033" s="230"/>
      <c r="AA1033" s="230"/>
      <c r="AB1033" s="230"/>
      <c r="AC1033" s="230"/>
      <c r="AD1033" s="239"/>
    </row>
    <row r="1034" spans="1:30" ht="15.75" x14ac:dyDescent="0.25">
      <c r="A1034" s="230"/>
      <c r="B1034" s="231"/>
      <c r="C1034" s="231"/>
      <c r="D1034" s="231"/>
      <c r="E1034" s="230"/>
      <c r="F1034" s="230"/>
      <c r="G1034" s="230"/>
      <c r="H1034" s="230"/>
      <c r="I1034" s="230"/>
      <c r="J1034" s="230"/>
      <c r="K1034" s="230"/>
      <c r="L1034" s="230"/>
      <c r="M1034" s="230"/>
      <c r="N1034" s="230"/>
      <c r="O1034" s="230"/>
      <c r="P1034" s="230"/>
      <c r="Q1034" s="230"/>
      <c r="R1034" s="230"/>
      <c r="S1034" s="239"/>
      <c r="T1034" s="230"/>
      <c r="U1034" s="230"/>
      <c r="V1034" s="230"/>
      <c r="W1034" s="230"/>
      <c r="X1034" s="239"/>
      <c r="Y1034" s="239"/>
      <c r="Z1034" s="230"/>
      <c r="AA1034" s="230"/>
      <c r="AB1034" s="230"/>
      <c r="AC1034" s="230"/>
      <c r="AD1034" s="239"/>
    </row>
    <row r="1035" spans="1:30" ht="15.75" x14ac:dyDescent="0.25">
      <c r="A1035" s="230"/>
      <c r="B1035" s="231"/>
      <c r="C1035" s="231"/>
      <c r="D1035" s="231"/>
      <c r="E1035" s="230"/>
      <c r="F1035" s="230"/>
      <c r="G1035" s="230"/>
      <c r="H1035" s="230"/>
      <c r="I1035" s="230"/>
      <c r="J1035" s="230"/>
      <c r="K1035" s="230"/>
      <c r="L1035" s="230"/>
      <c r="M1035" s="230"/>
      <c r="N1035" s="230"/>
      <c r="O1035" s="230"/>
      <c r="P1035" s="230"/>
      <c r="Q1035" s="230"/>
      <c r="R1035" s="230"/>
      <c r="S1035" s="239"/>
      <c r="T1035" s="230"/>
      <c r="U1035" s="230"/>
      <c r="V1035" s="230"/>
      <c r="W1035" s="230"/>
      <c r="X1035" s="239"/>
      <c r="Y1035" s="239"/>
      <c r="Z1035" s="230"/>
      <c r="AA1035" s="230"/>
      <c r="AB1035" s="230"/>
      <c r="AC1035" s="230"/>
      <c r="AD1035" s="239"/>
    </row>
    <row r="1036" spans="1:30" ht="15.75" x14ac:dyDescent="0.25">
      <c r="A1036" s="230"/>
      <c r="B1036" s="231"/>
      <c r="C1036" s="231"/>
      <c r="D1036" s="231"/>
      <c r="E1036" s="230"/>
      <c r="F1036" s="230"/>
      <c r="G1036" s="230"/>
      <c r="H1036" s="230"/>
      <c r="I1036" s="230"/>
      <c r="J1036" s="230"/>
      <c r="K1036" s="230"/>
      <c r="L1036" s="230"/>
      <c r="M1036" s="230"/>
      <c r="N1036" s="230"/>
      <c r="O1036" s="230"/>
      <c r="P1036" s="230"/>
      <c r="Q1036" s="230"/>
      <c r="R1036" s="230"/>
      <c r="S1036" s="239"/>
      <c r="T1036" s="230"/>
      <c r="U1036" s="230"/>
      <c r="V1036" s="230"/>
      <c r="W1036" s="230"/>
      <c r="X1036" s="239"/>
      <c r="Y1036" s="239"/>
      <c r="Z1036" s="230"/>
      <c r="AA1036" s="230"/>
      <c r="AB1036" s="230"/>
      <c r="AC1036" s="230"/>
      <c r="AD1036" s="239"/>
    </row>
    <row r="1037" spans="1:30" ht="15.75" x14ac:dyDescent="0.25">
      <c r="A1037" s="230"/>
      <c r="B1037" s="231"/>
      <c r="C1037" s="231"/>
      <c r="D1037" s="231"/>
      <c r="E1037" s="230"/>
      <c r="F1037" s="230"/>
      <c r="G1037" s="230"/>
      <c r="H1037" s="230"/>
      <c r="I1037" s="230"/>
      <c r="J1037" s="230"/>
      <c r="K1037" s="230"/>
      <c r="L1037" s="230"/>
      <c r="M1037" s="230"/>
      <c r="N1037" s="230"/>
      <c r="O1037" s="230"/>
      <c r="P1037" s="230"/>
      <c r="Q1037" s="230"/>
      <c r="R1037" s="230"/>
      <c r="S1037" s="239"/>
      <c r="T1037" s="230"/>
      <c r="U1037" s="230"/>
      <c r="V1037" s="230"/>
      <c r="W1037" s="230"/>
      <c r="X1037" s="239"/>
      <c r="Y1037" s="239"/>
      <c r="Z1037" s="230"/>
      <c r="AA1037" s="230"/>
      <c r="AB1037" s="230"/>
      <c r="AC1037" s="230"/>
      <c r="AD1037" s="239"/>
    </row>
    <row r="1038" spans="1:30" ht="15.75" x14ac:dyDescent="0.25">
      <c r="A1038" s="230"/>
      <c r="B1038" s="231"/>
      <c r="C1038" s="231"/>
      <c r="D1038" s="231"/>
      <c r="E1038" s="230"/>
      <c r="F1038" s="230"/>
      <c r="G1038" s="230"/>
      <c r="H1038" s="230"/>
      <c r="I1038" s="230"/>
      <c r="J1038" s="230"/>
      <c r="K1038" s="230"/>
      <c r="L1038" s="230"/>
      <c r="M1038" s="230"/>
      <c r="N1038" s="230"/>
      <c r="O1038" s="230"/>
      <c r="P1038" s="230"/>
      <c r="Q1038" s="230"/>
      <c r="R1038" s="230"/>
      <c r="S1038" s="239"/>
      <c r="T1038" s="230"/>
      <c r="U1038" s="230"/>
      <c r="V1038" s="230"/>
      <c r="W1038" s="230"/>
      <c r="X1038" s="239"/>
      <c r="Y1038" s="239"/>
      <c r="Z1038" s="230"/>
      <c r="AA1038" s="230"/>
      <c r="AB1038" s="230"/>
      <c r="AC1038" s="230"/>
      <c r="AD1038" s="239"/>
    </row>
    <row r="1039" spans="1:30" ht="15.75" x14ac:dyDescent="0.25">
      <c r="A1039" s="230"/>
      <c r="B1039" s="231"/>
      <c r="C1039" s="231"/>
      <c r="D1039" s="231"/>
      <c r="E1039" s="230"/>
      <c r="F1039" s="230"/>
      <c r="G1039" s="230"/>
      <c r="H1039" s="230"/>
      <c r="I1039" s="230"/>
      <c r="J1039" s="230"/>
      <c r="K1039" s="230"/>
      <c r="L1039" s="230"/>
      <c r="M1039" s="230"/>
      <c r="N1039" s="230"/>
      <c r="O1039" s="230"/>
      <c r="P1039" s="230"/>
      <c r="Q1039" s="230"/>
      <c r="R1039" s="230"/>
      <c r="S1039" s="239"/>
      <c r="T1039" s="230"/>
      <c r="U1039" s="230"/>
      <c r="V1039" s="230"/>
      <c r="W1039" s="230"/>
      <c r="X1039" s="239"/>
      <c r="Y1039" s="239"/>
      <c r="Z1039" s="230"/>
      <c r="AA1039" s="230"/>
      <c r="AB1039" s="230"/>
      <c r="AC1039" s="230"/>
      <c r="AD1039" s="239"/>
    </row>
    <row r="1040" spans="1:30" ht="15.75" x14ac:dyDescent="0.25">
      <c r="A1040" s="230"/>
      <c r="B1040" s="231"/>
      <c r="C1040" s="231"/>
      <c r="D1040" s="231"/>
      <c r="E1040" s="230"/>
      <c r="F1040" s="230"/>
      <c r="G1040" s="230"/>
      <c r="H1040" s="230"/>
      <c r="I1040" s="230"/>
      <c r="J1040" s="230"/>
      <c r="K1040" s="230"/>
      <c r="L1040" s="230"/>
      <c r="M1040" s="230"/>
      <c r="N1040" s="230"/>
      <c r="O1040" s="230"/>
      <c r="P1040" s="230"/>
      <c r="Q1040" s="230"/>
      <c r="R1040" s="230"/>
      <c r="S1040" s="239"/>
      <c r="T1040" s="230"/>
      <c r="U1040" s="230"/>
      <c r="V1040" s="230"/>
      <c r="W1040" s="230"/>
      <c r="X1040" s="239"/>
      <c r="Y1040" s="239"/>
      <c r="Z1040" s="230"/>
      <c r="AA1040" s="230"/>
      <c r="AB1040" s="230"/>
      <c r="AC1040" s="230"/>
      <c r="AD1040" s="239"/>
    </row>
    <row r="1041" spans="1:30" ht="15.75" x14ac:dyDescent="0.25">
      <c r="A1041" s="230"/>
      <c r="B1041" s="231"/>
      <c r="C1041" s="231"/>
      <c r="D1041" s="231"/>
      <c r="E1041" s="230"/>
      <c r="F1041" s="230"/>
      <c r="G1041" s="230"/>
      <c r="H1041" s="230"/>
      <c r="I1041" s="230"/>
      <c r="J1041" s="230"/>
      <c r="K1041" s="230"/>
      <c r="L1041" s="230"/>
      <c r="M1041" s="230"/>
      <c r="N1041" s="230"/>
      <c r="O1041" s="230"/>
      <c r="P1041" s="230"/>
      <c r="Q1041" s="230"/>
      <c r="R1041" s="230"/>
      <c r="S1041" s="239"/>
      <c r="T1041" s="230"/>
      <c r="U1041" s="230"/>
      <c r="V1041" s="230"/>
      <c r="W1041" s="230"/>
      <c r="X1041" s="239"/>
      <c r="Y1041" s="239"/>
      <c r="Z1041" s="230"/>
      <c r="AA1041" s="230"/>
      <c r="AB1041" s="230"/>
      <c r="AC1041" s="230"/>
      <c r="AD1041" s="239"/>
    </row>
    <row r="1042" spans="1:30" ht="15.75" x14ac:dyDescent="0.25">
      <c r="A1042" s="230"/>
      <c r="B1042" s="231"/>
      <c r="C1042" s="231"/>
      <c r="D1042" s="231"/>
      <c r="E1042" s="230"/>
      <c r="F1042" s="230"/>
      <c r="G1042" s="230"/>
      <c r="H1042" s="230"/>
      <c r="I1042" s="230"/>
      <c r="J1042" s="230"/>
      <c r="K1042" s="230"/>
      <c r="L1042" s="230"/>
      <c r="M1042" s="230"/>
      <c r="N1042" s="230"/>
      <c r="O1042" s="230"/>
      <c r="P1042" s="230"/>
      <c r="Q1042" s="230"/>
      <c r="R1042" s="230"/>
      <c r="S1042" s="239"/>
      <c r="T1042" s="230"/>
      <c r="U1042" s="230"/>
      <c r="V1042" s="230"/>
      <c r="W1042" s="230"/>
      <c r="X1042" s="239"/>
      <c r="Y1042" s="239"/>
      <c r="Z1042" s="230"/>
      <c r="AA1042" s="230"/>
      <c r="AB1042" s="230"/>
      <c r="AC1042" s="230"/>
      <c r="AD1042" s="239"/>
    </row>
    <row r="1043" spans="1:30" ht="15.75" x14ac:dyDescent="0.25">
      <c r="A1043" s="230"/>
      <c r="B1043" s="231"/>
      <c r="C1043" s="231"/>
      <c r="D1043" s="231"/>
      <c r="E1043" s="230"/>
      <c r="F1043" s="230"/>
      <c r="G1043" s="230"/>
      <c r="H1043" s="230"/>
      <c r="I1043" s="230"/>
      <c r="J1043" s="230"/>
      <c r="K1043" s="230"/>
      <c r="L1043" s="230"/>
      <c r="M1043" s="230"/>
      <c r="N1043" s="230"/>
      <c r="O1043" s="230"/>
      <c r="P1043" s="230"/>
      <c r="Q1043" s="230"/>
      <c r="R1043" s="230"/>
      <c r="S1043" s="239"/>
      <c r="T1043" s="230"/>
      <c r="U1043" s="230"/>
      <c r="V1043" s="230"/>
      <c r="W1043" s="230"/>
      <c r="X1043" s="239"/>
      <c r="Y1043" s="239"/>
      <c r="Z1043" s="230"/>
      <c r="AA1043" s="230"/>
      <c r="AB1043" s="230"/>
      <c r="AC1043" s="230"/>
      <c r="AD1043" s="239"/>
    </row>
    <row r="1044" spans="1:30" ht="15.75" x14ac:dyDescent="0.25">
      <c r="A1044" s="230"/>
      <c r="B1044" s="231"/>
      <c r="C1044" s="231"/>
      <c r="D1044" s="231"/>
      <c r="E1044" s="230"/>
      <c r="F1044" s="230"/>
      <c r="G1044" s="230"/>
      <c r="H1044" s="230"/>
      <c r="I1044" s="230"/>
      <c r="J1044" s="230"/>
      <c r="K1044" s="230"/>
      <c r="L1044" s="230"/>
      <c r="M1044" s="230"/>
      <c r="N1044" s="230"/>
      <c r="O1044" s="230"/>
      <c r="P1044" s="230"/>
      <c r="Q1044" s="230"/>
      <c r="R1044" s="230"/>
      <c r="S1044" s="239"/>
      <c r="T1044" s="230"/>
      <c r="U1044" s="230"/>
      <c r="V1044" s="230"/>
      <c r="W1044" s="230"/>
      <c r="X1044" s="239"/>
      <c r="Y1044" s="239"/>
      <c r="Z1044" s="230"/>
      <c r="AA1044" s="230"/>
      <c r="AB1044" s="230"/>
      <c r="AC1044" s="230"/>
      <c r="AD1044" s="239"/>
    </row>
    <row r="1045" spans="1:30" ht="15.75" x14ac:dyDescent="0.25">
      <c r="A1045" s="230"/>
      <c r="B1045" s="231"/>
      <c r="C1045" s="231"/>
      <c r="D1045" s="231"/>
      <c r="E1045" s="230"/>
      <c r="F1045" s="230"/>
      <c r="G1045" s="230"/>
      <c r="H1045" s="230"/>
      <c r="I1045" s="230"/>
      <c r="J1045" s="230"/>
      <c r="K1045" s="230"/>
      <c r="L1045" s="230"/>
      <c r="M1045" s="230"/>
      <c r="N1045" s="230"/>
      <c r="O1045" s="230"/>
      <c r="P1045" s="230"/>
      <c r="Q1045" s="230"/>
      <c r="R1045" s="230"/>
      <c r="S1045" s="239"/>
      <c r="T1045" s="230"/>
      <c r="U1045" s="230"/>
      <c r="V1045" s="230"/>
      <c r="W1045" s="230"/>
      <c r="X1045" s="239"/>
      <c r="Y1045" s="239"/>
      <c r="Z1045" s="230"/>
      <c r="AA1045" s="230"/>
      <c r="AB1045" s="230"/>
      <c r="AC1045" s="230"/>
      <c r="AD1045" s="239"/>
    </row>
    <row r="1046" spans="1:30" ht="15.75" x14ac:dyDescent="0.25">
      <c r="A1046" s="230"/>
      <c r="B1046" s="231"/>
      <c r="C1046" s="231"/>
      <c r="D1046" s="231"/>
      <c r="E1046" s="230"/>
      <c r="F1046" s="230"/>
      <c r="G1046" s="230"/>
      <c r="H1046" s="230"/>
      <c r="I1046" s="230"/>
      <c r="J1046" s="230"/>
      <c r="K1046" s="230"/>
      <c r="L1046" s="230"/>
      <c r="M1046" s="230"/>
      <c r="N1046" s="230"/>
      <c r="O1046" s="230"/>
      <c r="P1046" s="230"/>
      <c r="Q1046" s="230"/>
      <c r="R1046" s="230"/>
      <c r="S1046" s="239"/>
      <c r="T1046" s="230"/>
      <c r="U1046" s="230"/>
      <c r="V1046" s="230"/>
      <c r="W1046" s="230"/>
      <c r="X1046" s="239"/>
      <c r="Y1046" s="239"/>
      <c r="Z1046" s="230"/>
      <c r="AA1046" s="230"/>
      <c r="AB1046" s="230"/>
      <c r="AC1046" s="230"/>
      <c r="AD1046" s="239"/>
    </row>
    <row r="1047" spans="1:30" ht="15.75" x14ac:dyDescent="0.25">
      <c r="A1047" s="230"/>
      <c r="B1047" s="231"/>
      <c r="C1047" s="231"/>
      <c r="D1047" s="231"/>
      <c r="E1047" s="230"/>
      <c r="F1047" s="230"/>
      <c r="G1047" s="230"/>
      <c r="H1047" s="230"/>
      <c r="I1047" s="230"/>
      <c r="J1047" s="230"/>
      <c r="K1047" s="230"/>
      <c r="L1047" s="230"/>
      <c r="M1047" s="230"/>
      <c r="N1047" s="230"/>
      <c r="O1047" s="230"/>
      <c r="P1047" s="230"/>
      <c r="Q1047" s="230"/>
      <c r="R1047" s="230"/>
      <c r="S1047" s="239"/>
      <c r="T1047" s="230"/>
      <c r="U1047" s="230"/>
      <c r="V1047" s="230"/>
      <c r="W1047" s="230"/>
      <c r="X1047" s="239"/>
      <c r="Y1047" s="239"/>
      <c r="Z1047" s="230"/>
      <c r="AA1047" s="230"/>
      <c r="AB1047" s="230"/>
      <c r="AC1047" s="230"/>
      <c r="AD1047" s="239"/>
    </row>
    <row r="1048" spans="1:30" ht="15.75" x14ac:dyDescent="0.25">
      <c r="A1048" s="230"/>
      <c r="B1048" s="231"/>
      <c r="C1048" s="231"/>
      <c r="D1048" s="231"/>
      <c r="E1048" s="230"/>
      <c r="F1048" s="230"/>
      <c r="G1048" s="230"/>
      <c r="H1048" s="230"/>
      <c r="I1048" s="230"/>
      <c r="J1048" s="230"/>
      <c r="K1048" s="230"/>
      <c r="L1048" s="230"/>
      <c r="M1048" s="230"/>
      <c r="N1048" s="230"/>
      <c r="O1048" s="230"/>
      <c r="P1048" s="230"/>
      <c r="Q1048" s="230"/>
      <c r="R1048" s="230"/>
      <c r="S1048" s="239"/>
      <c r="T1048" s="230"/>
      <c r="U1048" s="230"/>
      <c r="V1048" s="230"/>
      <c r="W1048" s="230"/>
      <c r="X1048" s="239"/>
      <c r="Y1048" s="239"/>
      <c r="Z1048" s="230"/>
      <c r="AA1048" s="230"/>
      <c r="AB1048" s="230"/>
      <c r="AC1048" s="230"/>
      <c r="AD1048" s="239"/>
    </row>
    <row r="1049" spans="1:30" ht="15.75" x14ac:dyDescent="0.25">
      <c r="A1049" s="230"/>
      <c r="B1049" s="231"/>
      <c r="C1049" s="231"/>
      <c r="D1049" s="231"/>
      <c r="E1049" s="230"/>
      <c r="F1049" s="230"/>
      <c r="G1049" s="230"/>
      <c r="H1049" s="230"/>
      <c r="I1049" s="230"/>
      <c r="J1049" s="230"/>
      <c r="K1049" s="230"/>
      <c r="L1049" s="230"/>
      <c r="M1049" s="230"/>
      <c r="N1049" s="230"/>
      <c r="O1049" s="230"/>
      <c r="P1049" s="230"/>
      <c r="Q1049" s="230"/>
      <c r="R1049" s="230"/>
      <c r="S1049" s="239"/>
      <c r="T1049" s="230"/>
      <c r="U1049" s="230"/>
      <c r="V1049" s="230"/>
      <c r="W1049" s="230"/>
      <c r="X1049" s="239"/>
      <c r="Y1049" s="239"/>
      <c r="Z1049" s="230"/>
      <c r="AA1049" s="230"/>
      <c r="AB1049" s="230"/>
      <c r="AC1049" s="230"/>
      <c r="AD1049" s="239"/>
    </row>
    <row r="1050" spans="1:30" ht="15.75" x14ac:dyDescent="0.25">
      <c r="A1050" s="230"/>
      <c r="B1050" s="231"/>
      <c r="C1050" s="231"/>
      <c r="D1050" s="231"/>
      <c r="E1050" s="230"/>
      <c r="F1050" s="230"/>
      <c r="G1050" s="230"/>
      <c r="H1050" s="230"/>
      <c r="I1050" s="230"/>
      <c r="J1050" s="230"/>
      <c r="K1050" s="230"/>
      <c r="L1050" s="230"/>
      <c r="M1050" s="230"/>
      <c r="N1050" s="230"/>
      <c r="O1050" s="230"/>
      <c r="P1050" s="230"/>
      <c r="Q1050" s="230"/>
      <c r="R1050" s="230"/>
      <c r="S1050" s="239"/>
      <c r="T1050" s="230"/>
      <c r="U1050" s="230"/>
      <c r="V1050" s="230"/>
      <c r="W1050" s="230"/>
      <c r="X1050" s="239"/>
      <c r="Y1050" s="239"/>
      <c r="Z1050" s="230"/>
      <c r="AA1050" s="230"/>
      <c r="AB1050" s="230"/>
      <c r="AC1050" s="230"/>
      <c r="AD1050" s="239"/>
    </row>
    <row r="1051" spans="1:30" ht="15.75" x14ac:dyDescent="0.25">
      <c r="A1051" s="230"/>
      <c r="B1051" s="231"/>
      <c r="C1051" s="231"/>
      <c r="D1051" s="231"/>
      <c r="E1051" s="230"/>
      <c r="F1051" s="230"/>
      <c r="G1051" s="230"/>
      <c r="H1051" s="230"/>
      <c r="I1051" s="230"/>
      <c r="J1051" s="230"/>
      <c r="K1051" s="230"/>
      <c r="L1051" s="230"/>
      <c r="M1051" s="230"/>
      <c r="N1051" s="230"/>
      <c r="O1051" s="230"/>
      <c r="P1051" s="230"/>
      <c r="Q1051" s="230"/>
      <c r="R1051" s="230"/>
      <c r="S1051" s="239"/>
      <c r="T1051" s="230"/>
      <c r="U1051" s="230"/>
      <c r="V1051" s="230"/>
      <c r="W1051" s="230"/>
      <c r="X1051" s="239"/>
      <c r="Y1051" s="239"/>
      <c r="Z1051" s="230"/>
      <c r="AA1051" s="230"/>
      <c r="AB1051" s="230"/>
      <c r="AC1051" s="230"/>
      <c r="AD1051" s="239"/>
    </row>
    <row r="1052" spans="1:30" ht="15.75" x14ac:dyDescent="0.25">
      <c r="A1052" s="230"/>
      <c r="B1052" s="231"/>
      <c r="C1052" s="231"/>
      <c r="D1052" s="231"/>
      <c r="E1052" s="230"/>
      <c r="F1052" s="230"/>
      <c r="G1052" s="230"/>
      <c r="H1052" s="230"/>
      <c r="I1052" s="230"/>
      <c r="J1052" s="230"/>
      <c r="K1052" s="230"/>
      <c r="L1052" s="230"/>
      <c r="M1052" s="230"/>
      <c r="N1052" s="230"/>
      <c r="O1052" s="230"/>
      <c r="P1052" s="230"/>
      <c r="Q1052" s="230"/>
      <c r="R1052" s="230"/>
      <c r="S1052" s="239"/>
      <c r="T1052" s="230"/>
      <c r="U1052" s="230"/>
      <c r="V1052" s="230"/>
      <c r="W1052" s="230"/>
      <c r="X1052" s="239"/>
      <c r="Y1052" s="239"/>
      <c r="Z1052" s="230"/>
      <c r="AA1052" s="230"/>
      <c r="AB1052" s="230"/>
      <c r="AC1052" s="230"/>
      <c r="AD1052" s="239"/>
    </row>
    <row r="1053" spans="1:30" ht="15.75" x14ac:dyDescent="0.25">
      <c r="A1053" s="230"/>
      <c r="B1053" s="231"/>
      <c r="C1053" s="231"/>
      <c r="D1053" s="231"/>
      <c r="E1053" s="230"/>
      <c r="F1053" s="230"/>
      <c r="G1053" s="230"/>
      <c r="H1053" s="230"/>
      <c r="I1053" s="230"/>
      <c r="J1053" s="230"/>
      <c r="K1053" s="230"/>
      <c r="L1053" s="230"/>
      <c r="M1053" s="230"/>
      <c r="N1053" s="230"/>
      <c r="O1053" s="230"/>
      <c r="P1053" s="230"/>
      <c r="Q1053" s="230"/>
      <c r="R1053" s="230"/>
      <c r="S1053" s="239"/>
      <c r="T1053" s="230"/>
      <c r="U1053" s="230"/>
      <c r="V1053" s="230"/>
      <c r="W1053" s="230"/>
      <c r="X1053" s="239"/>
      <c r="Y1053" s="239"/>
      <c r="Z1053" s="230"/>
      <c r="AA1053" s="230"/>
      <c r="AB1053" s="230"/>
      <c r="AC1053" s="230"/>
      <c r="AD1053" s="239"/>
    </row>
    <row r="1054" spans="1:30" ht="15.75" x14ac:dyDescent="0.25">
      <c r="A1054" s="230"/>
      <c r="B1054" s="231"/>
      <c r="C1054" s="231"/>
      <c r="D1054" s="231"/>
      <c r="E1054" s="230"/>
      <c r="F1054" s="230"/>
      <c r="G1054" s="230"/>
      <c r="H1054" s="230"/>
      <c r="I1054" s="230"/>
      <c r="J1054" s="230"/>
      <c r="K1054" s="230"/>
      <c r="L1054" s="230"/>
      <c r="M1054" s="230"/>
      <c r="N1054" s="230"/>
      <c r="O1054" s="230"/>
      <c r="P1054" s="230"/>
      <c r="Q1054" s="230"/>
      <c r="R1054" s="230"/>
      <c r="S1054" s="239"/>
      <c r="T1054" s="230"/>
      <c r="U1054" s="230"/>
      <c r="V1054" s="230"/>
      <c r="W1054" s="230"/>
      <c r="X1054" s="239"/>
      <c r="Y1054" s="239"/>
      <c r="Z1054" s="230"/>
      <c r="AA1054" s="230"/>
      <c r="AB1054" s="230"/>
      <c r="AC1054" s="230"/>
      <c r="AD1054" s="239"/>
    </row>
    <row r="1055" spans="1:30" ht="15.75" x14ac:dyDescent="0.25">
      <c r="A1055" s="230"/>
      <c r="B1055" s="231"/>
      <c r="C1055" s="231"/>
      <c r="D1055" s="231"/>
      <c r="E1055" s="230"/>
      <c r="F1055" s="230"/>
      <c r="G1055" s="230"/>
      <c r="H1055" s="230"/>
      <c r="I1055" s="230"/>
      <c r="J1055" s="230"/>
      <c r="K1055" s="230"/>
      <c r="L1055" s="230"/>
      <c r="M1055" s="230"/>
      <c r="N1055" s="230"/>
      <c r="O1055" s="230"/>
      <c r="P1055" s="230"/>
      <c r="Q1055" s="230"/>
      <c r="R1055" s="230"/>
      <c r="S1055" s="239"/>
      <c r="T1055" s="230"/>
      <c r="U1055" s="230"/>
      <c r="V1055" s="230"/>
      <c r="W1055" s="230"/>
      <c r="X1055" s="239"/>
      <c r="Y1055" s="239"/>
      <c r="Z1055" s="230"/>
      <c r="AA1055" s="230"/>
      <c r="AB1055" s="230"/>
      <c r="AC1055" s="230"/>
      <c r="AD1055" s="239"/>
    </row>
    <row r="1056" spans="1:30" ht="15.75" x14ac:dyDescent="0.25">
      <c r="A1056" s="230"/>
      <c r="B1056" s="231"/>
      <c r="C1056" s="231"/>
      <c r="D1056" s="231"/>
      <c r="E1056" s="230"/>
      <c r="F1056" s="230"/>
      <c r="G1056" s="230"/>
      <c r="H1056" s="230"/>
      <c r="I1056" s="230"/>
      <c r="J1056" s="230"/>
      <c r="K1056" s="230"/>
      <c r="L1056" s="230"/>
      <c r="M1056" s="230"/>
      <c r="N1056" s="230"/>
      <c r="O1056" s="230"/>
      <c r="P1056" s="230"/>
      <c r="Q1056" s="230"/>
      <c r="R1056" s="230"/>
      <c r="S1056" s="239"/>
      <c r="T1056" s="230"/>
      <c r="U1056" s="230"/>
      <c r="V1056" s="230"/>
      <c r="W1056" s="230"/>
      <c r="X1056" s="239"/>
      <c r="Y1056" s="239"/>
      <c r="Z1056" s="230"/>
      <c r="AA1056" s="230"/>
      <c r="AB1056" s="230"/>
      <c r="AC1056" s="230"/>
      <c r="AD1056" s="239"/>
    </row>
    <row r="1057" spans="1:30" ht="15.75" x14ac:dyDescent="0.25">
      <c r="A1057" s="230"/>
      <c r="B1057" s="231"/>
      <c r="C1057" s="231"/>
      <c r="D1057" s="231"/>
      <c r="E1057" s="230"/>
      <c r="F1057" s="230"/>
      <c r="G1057" s="230"/>
      <c r="H1057" s="230"/>
      <c r="I1057" s="230"/>
      <c r="J1057" s="230"/>
      <c r="K1057" s="230"/>
      <c r="L1057" s="230"/>
      <c r="M1057" s="230"/>
      <c r="N1057" s="230"/>
      <c r="O1057" s="230"/>
      <c r="P1057" s="230"/>
      <c r="Q1057" s="230"/>
      <c r="R1057" s="230"/>
      <c r="S1057" s="239"/>
      <c r="T1057" s="230"/>
      <c r="U1057" s="230"/>
      <c r="V1057" s="230"/>
      <c r="W1057" s="230"/>
      <c r="X1057" s="239"/>
      <c r="Y1057" s="239"/>
      <c r="Z1057" s="230"/>
      <c r="AA1057" s="230"/>
      <c r="AB1057" s="230"/>
      <c r="AC1057" s="230"/>
      <c r="AD1057" s="239"/>
    </row>
    <row r="1058" spans="1:30" ht="15.75" x14ac:dyDescent="0.25">
      <c r="A1058" s="230"/>
      <c r="B1058" s="231"/>
      <c r="C1058" s="231"/>
      <c r="D1058" s="231"/>
      <c r="E1058" s="230"/>
      <c r="F1058" s="230"/>
      <c r="G1058" s="230"/>
      <c r="H1058" s="230"/>
      <c r="I1058" s="230"/>
      <c r="J1058" s="230"/>
      <c r="K1058" s="230"/>
      <c r="L1058" s="230"/>
      <c r="M1058" s="230"/>
      <c r="N1058" s="230"/>
      <c r="O1058" s="230"/>
      <c r="P1058" s="230"/>
      <c r="Q1058" s="230"/>
      <c r="R1058" s="230"/>
      <c r="S1058" s="239"/>
      <c r="T1058" s="230"/>
      <c r="U1058" s="230"/>
      <c r="V1058" s="230"/>
      <c r="W1058" s="230"/>
      <c r="X1058" s="239"/>
      <c r="Y1058" s="239"/>
      <c r="Z1058" s="230"/>
      <c r="AA1058" s="230"/>
      <c r="AB1058" s="230"/>
      <c r="AC1058" s="230"/>
      <c r="AD1058" s="239"/>
    </row>
    <row r="1059" spans="1:30" ht="15.75" x14ac:dyDescent="0.25">
      <c r="A1059" s="230"/>
      <c r="B1059" s="231"/>
      <c r="C1059" s="231"/>
      <c r="D1059" s="231"/>
      <c r="E1059" s="230"/>
      <c r="F1059" s="230"/>
      <c r="G1059" s="230"/>
      <c r="H1059" s="230"/>
      <c r="I1059" s="230"/>
      <c r="J1059" s="230"/>
      <c r="K1059" s="230"/>
      <c r="L1059" s="230"/>
      <c r="M1059" s="230"/>
      <c r="N1059" s="230"/>
      <c r="O1059" s="230"/>
      <c r="P1059" s="230"/>
      <c r="Q1059" s="230"/>
      <c r="R1059" s="230"/>
      <c r="S1059" s="239"/>
      <c r="T1059" s="230"/>
      <c r="U1059" s="230"/>
      <c r="V1059" s="230"/>
      <c r="W1059" s="230"/>
      <c r="X1059" s="239"/>
      <c r="Y1059" s="239"/>
      <c r="Z1059" s="230"/>
      <c r="AA1059" s="230"/>
      <c r="AB1059" s="230"/>
      <c r="AC1059" s="230"/>
      <c r="AD1059" s="239"/>
    </row>
    <row r="1060" spans="1:30" ht="15.75" x14ac:dyDescent="0.25">
      <c r="A1060" s="230"/>
      <c r="B1060" s="231"/>
      <c r="C1060" s="231"/>
      <c r="D1060" s="231"/>
      <c r="E1060" s="230"/>
      <c r="F1060" s="230"/>
      <c r="G1060" s="230"/>
      <c r="H1060" s="230"/>
      <c r="I1060" s="230"/>
      <c r="J1060" s="230"/>
      <c r="K1060" s="230"/>
      <c r="L1060" s="230"/>
      <c r="M1060" s="230"/>
      <c r="N1060" s="230"/>
      <c r="O1060" s="230"/>
      <c r="P1060" s="230"/>
      <c r="Q1060" s="230"/>
      <c r="R1060" s="230"/>
      <c r="S1060" s="239"/>
      <c r="T1060" s="230"/>
      <c r="U1060" s="230"/>
      <c r="V1060" s="230"/>
      <c r="W1060" s="230"/>
      <c r="X1060" s="239"/>
      <c r="Y1060" s="239"/>
      <c r="Z1060" s="230"/>
      <c r="AA1060" s="230"/>
      <c r="AB1060" s="230"/>
      <c r="AC1060" s="230"/>
      <c r="AD1060" s="239"/>
    </row>
    <row r="1061" spans="1:30" ht="15.75" x14ac:dyDescent="0.25">
      <c r="A1061" s="230"/>
      <c r="B1061" s="231"/>
      <c r="C1061" s="231"/>
      <c r="D1061" s="231"/>
      <c r="E1061" s="230"/>
      <c r="F1061" s="230"/>
      <c r="G1061" s="230"/>
      <c r="H1061" s="230"/>
      <c r="I1061" s="230"/>
      <c r="J1061" s="230"/>
      <c r="K1061" s="230"/>
      <c r="L1061" s="230"/>
      <c r="M1061" s="230"/>
      <c r="N1061" s="230"/>
      <c r="O1061" s="230"/>
      <c r="P1061" s="230"/>
      <c r="Q1061" s="230"/>
      <c r="R1061" s="230"/>
      <c r="S1061" s="239"/>
      <c r="T1061" s="230"/>
      <c r="U1061" s="230"/>
      <c r="V1061" s="230"/>
      <c r="W1061" s="230"/>
      <c r="X1061" s="239"/>
      <c r="Y1061" s="239"/>
      <c r="Z1061" s="230"/>
      <c r="AA1061" s="230"/>
      <c r="AB1061" s="230"/>
      <c r="AC1061" s="230"/>
      <c r="AD1061" s="239"/>
    </row>
    <row r="1062" spans="1:30" ht="15.75" x14ac:dyDescent="0.25">
      <c r="A1062" s="230"/>
      <c r="B1062" s="231"/>
      <c r="C1062" s="231"/>
      <c r="D1062" s="231"/>
      <c r="E1062" s="230"/>
      <c r="F1062" s="230"/>
      <c r="G1062" s="230"/>
      <c r="H1062" s="230"/>
      <c r="I1062" s="230"/>
      <c r="J1062" s="230"/>
      <c r="K1062" s="230"/>
      <c r="L1062" s="230"/>
      <c r="M1062" s="230"/>
      <c r="N1062" s="230"/>
      <c r="O1062" s="230"/>
      <c r="P1062" s="230"/>
      <c r="Q1062" s="230"/>
      <c r="R1062" s="230"/>
      <c r="S1062" s="239"/>
      <c r="T1062" s="230"/>
      <c r="U1062" s="230"/>
      <c r="V1062" s="230"/>
      <c r="W1062" s="230"/>
      <c r="X1062" s="239"/>
      <c r="Y1062" s="239"/>
      <c r="Z1062" s="230"/>
      <c r="AA1062" s="230"/>
      <c r="AB1062" s="230"/>
      <c r="AC1062" s="230"/>
      <c r="AD1062" s="239"/>
    </row>
    <row r="1063" spans="1:30" ht="15.75" x14ac:dyDescent="0.25">
      <c r="A1063" s="230"/>
      <c r="B1063" s="231"/>
      <c r="C1063" s="231"/>
      <c r="D1063" s="231"/>
      <c r="E1063" s="230"/>
      <c r="F1063" s="230"/>
      <c r="G1063" s="230"/>
      <c r="H1063" s="230"/>
      <c r="I1063" s="230"/>
      <c r="J1063" s="230"/>
      <c r="K1063" s="230"/>
      <c r="L1063" s="230"/>
      <c r="M1063" s="230"/>
      <c r="N1063" s="230"/>
      <c r="O1063" s="230"/>
      <c r="P1063" s="230"/>
      <c r="Q1063" s="230"/>
      <c r="R1063" s="230"/>
      <c r="S1063" s="239"/>
      <c r="T1063" s="230"/>
      <c r="U1063" s="230"/>
      <c r="V1063" s="230"/>
      <c r="W1063" s="230"/>
      <c r="X1063" s="239"/>
      <c r="Y1063" s="239"/>
      <c r="Z1063" s="230"/>
      <c r="AA1063" s="230"/>
      <c r="AB1063" s="230"/>
      <c r="AC1063" s="230"/>
      <c r="AD1063" s="239"/>
    </row>
    <row r="1064" spans="1:30" ht="15.75" x14ac:dyDescent="0.25">
      <c r="A1064" s="230"/>
      <c r="B1064" s="231"/>
      <c r="C1064" s="231"/>
      <c r="D1064" s="231"/>
      <c r="E1064" s="230"/>
      <c r="F1064" s="230"/>
      <c r="G1064" s="230"/>
      <c r="H1064" s="230"/>
      <c r="I1064" s="230"/>
      <c r="J1064" s="230"/>
      <c r="K1064" s="230"/>
      <c r="L1064" s="230"/>
      <c r="M1064" s="230"/>
      <c r="N1064" s="230"/>
      <c r="O1064" s="230"/>
      <c r="P1064" s="230"/>
      <c r="Q1064" s="230"/>
      <c r="R1064" s="230"/>
      <c r="S1064" s="239"/>
      <c r="T1064" s="230"/>
      <c r="U1064" s="230"/>
      <c r="V1064" s="230"/>
      <c r="W1064" s="230"/>
      <c r="X1064" s="239"/>
      <c r="Y1064" s="239"/>
      <c r="Z1064" s="230"/>
      <c r="AA1064" s="230"/>
      <c r="AB1064" s="230"/>
      <c r="AC1064" s="230"/>
      <c r="AD1064" s="239"/>
    </row>
    <row r="1065" spans="1:30" ht="15.75" x14ac:dyDescent="0.25">
      <c r="A1065" s="230"/>
      <c r="B1065" s="231"/>
      <c r="C1065" s="231"/>
      <c r="D1065" s="231"/>
      <c r="E1065" s="230"/>
      <c r="F1065" s="230"/>
      <c r="G1065" s="230"/>
      <c r="H1065" s="230"/>
      <c r="I1065" s="230"/>
      <c r="J1065" s="230"/>
      <c r="K1065" s="230"/>
      <c r="L1065" s="230"/>
      <c r="M1065" s="230"/>
      <c r="N1065" s="230"/>
      <c r="O1065" s="230"/>
      <c r="P1065" s="230"/>
      <c r="Q1065" s="230"/>
      <c r="R1065" s="230"/>
      <c r="S1065" s="239"/>
      <c r="T1065" s="230"/>
      <c r="U1065" s="230"/>
      <c r="V1065" s="230"/>
      <c r="W1065" s="230"/>
      <c r="X1065" s="239"/>
      <c r="Y1065" s="239"/>
      <c r="Z1065" s="230"/>
      <c r="AA1065" s="230"/>
      <c r="AB1065" s="230"/>
      <c r="AC1065" s="230"/>
      <c r="AD1065" s="239"/>
    </row>
    <row r="1066" spans="1:30" ht="15.75" x14ac:dyDescent="0.25">
      <c r="A1066" s="230"/>
      <c r="B1066" s="231"/>
      <c r="C1066" s="231"/>
      <c r="D1066" s="231"/>
      <c r="E1066" s="230"/>
      <c r="F1066" s="230"/>
      <c r="G1066" s="230"/>
      <c r="H1066" s="230"/>
      <c r="I1066" s="230"/>
      <c r="J1066" s="230"/>
      <c r="K1066" s="230"/>
      <c r="L1066" s="230"/>
      <c r="M1066" s="230"/>
      <c r="N1066" s="230"/>
      <c r="O1066" s="230"/>
      <c r="P1066" s="230"/>
      <c r="Q1066" s="230"/>
      <c r="R1066" s="230"/>
      <c r="S1066" s="239"/>
      <c r="T1066" s="230"/>
      <c r="U1066" s="230"/>
      <c r="V1066" s="230"/>
      <c r="W1066" s="230"/>
      <c r="X1066" s="239"/>
      <c r="Y1066" s="239"/>
      <c r="Z1066" s="230"/>
      <c r="AA1066" s="230"/>
      <c r="AB1066" s="230"/>
      <c r="AC1066" s="230"/>
      <c r="AD1066" s="239"/>
    </row>
    <row r="1067" spans="1:30" ht="15.75" x14ac:dyDescent="0.25">
      <c r="A1067" s="230"/>
      <c r="B1067" s="231"/>
      <c r="C1067" s="231"/>
      <c r="D1067" s="231"/>
      <c r="E1067" s="230"/>
      <c r="F1067" s="230"/>
      <c r="G1067" s="230"/>
      <c r="H1067" s="230"/>
      <c r="I1067" s="230"/>
      <c r="J1067" s="230"/>
      <c r="K1067" s="230"/>
      <c r="L1067" s="230"/>
      <c r="M1067" s="230"/>
      <c r="N1067" s="230"/>
      <c r="O1067" s="230"/>
      <c r="P1067" s="230"/>
      <c r="Q1067" s="230"/>
      <c r="R1067" s="230"/>
      <c r="S1067" s="239"/>
      <c r="T1067" s="230"/>
      <c r="U1067" s="230"/>
      <c r="V1067" s="230"/>
      <c r="W1067" s="230"/>
      <c r="X1067" s="239"/>
      <c r="Y1067" s="239"/>
      <c r="Z1067" s="230"/>
      <c r="AA1067" s="230"/>
      <c r="AB1067" s="230"/>
      <c r="AC1067" s="230"/>
      <c r="AD1067" s="239"/>
    </row>
    <row r="1068" spans="1:30" ht="15.75" x14ac:dyDescent="0.25">
      <c r="A1068" s="230"/>
      <c r="B1068" s="231"/>
      <c r="C1068" s="231"/>
      <c r="D1068" s="231"/>
      <c r="E1068" s="230"/>
      <c r="F1068" s="230"/>
      <c r="G1068" s="230"/>
      <c r="H1068" s="230"/>
      <c r="I1068" s="230"/>
      <c r="J1068" s="230"/>
      <c r="K1068" s="230"/>
      <c r="L1068" s="230"/>
      <c r="M1068" s="230"/>
      <c r="N1068" s="230"/>
      <c r="O1068" s="230"/>
      <c r="P1068" s="230"/>
      <c r="Q1068" s="230"/>
      <c r="R1068" s="230"/>
      <c r="S1068" s="239"/>
      <c r="T1068" s="230"/>
      <c r="U1068" s="230"/>
      <c r="V1068" s="230"/>
      <c r="W1068" s="230"/>
      <c r="X1068" s="239"/>
      <c r="Y1068" s="239"/>
      <c r="Z1068" s="230"/>
      <c r="AA1068" s="230"/>
      <c r="AB1068" s="230"/>
      <c r="AC1068" s="230"/>
      <c r="AD1068" s="239"/>
    </row>
    <row r="1069" spans="1:30" ht="15.75" x14ac:dyDescent="0.25">
      <c r="A1069" s="230"/>
      <c r="B1069" s="231"/>
      <c r="C1069" s="231"/>
      <c r="D1069" s="231"/>
      <c r="E1069" s="230"/>
      <c r="F1069" s="230"/>
      <c r="G1069" s="230"/>
      <c r="H1069" s="230"/>
      <c r="I1069" s="230"/>
      <c r="J1069" s="230"/>
      <c r="K1069" s="230"/>
      <c r="L1069" s="230"/>
      <c r="M1069" s="230"/>
      <c r="N1069" s="230"/>
      <c r="O1069" s="230"/>
      <c r="P1069" s="230"/>
      <c r="Q1069" s="230"/>
      <c r="R1069" s="230"/>
      <c r="S1069" s="239"/>
      <c r="T1069" s="230"/>
      <c r="U1069" s="230"/>
      <c r="V1069" s="230"/>
      <c r="W1069" s="230"/>
      <c r="X1069" s="239"/>
      <c r="Y1069" s="239"/>
      <c r="Z1069" s="230"/>
      <c r="AA1069" s="230"/>
      <c r="AB1069" s="230"/>
      <c r="AC1069" s="230"/>
      <c r="AD1069" s="239"/>
    </row>
    <row r="1070" spans="1:30" ht="15.75" x14ac:dyDescent="0.25">
      <c r="A1070" s="230"/>
      <c r="B1070" s="231"/>
      <c r="C1070" s="231"/>
      <c r="D1070" s="231"/>
      <c r="E1070" s="230"/>
      <c r="F1070" s="230"/>
      <c r="G1070" s="230"/>
      <c r="H1070" s="230"/>
      <c r="I1070" s="230"/>
      <c r="J1070" s="230"/>
      <c r="K1070" s="230"/>
      <c r="L1070" s="230"/>
      <c r="M1070" s="230"/>
      <c r="N1070" s="230"/>
      <c r="O1070" s="230"/>
      <c r="P1070" s="230"/>
      <c r="Q1070" s="230"/>
      <c r="R1070" s="230"/>
      <c r="S1070" s="239"/>
      <c r="T1070" s="230"/>
      <c r="U1070" s="230"/>
      <c r="V1070" s="230"/>
      <c r="W1070" s="230"/>
      <c r="X1070" s="239"/>
      <c r="Y1070" s="239"/>
      <c r="Z1070" s="230"/>
      <c r="AA1070" s="230"/>
      <c r="AB1070" s="230"/>
      <c r="AC1070" s="230"/>
      <c r="AD1070" s="239"/>
    </row>
    <row r="1071" spans="1:30" ht="15.75" x14ac:dyDescent="0.25">
      <c r="A1071" s="230"/>
      <c r="B1071" s="231"/>
      <c r="C1071" s="231"/>
      <c r="D1071" s="231"/>
      <c r="E1071" s="230"/>
      <c r="F1071" s="230"/>
      <c r="G1071" s="230"/>
      <c r="H1071" s="230"/>
      <c r="I1071" s="230"/>
      <c r="J1071" s="230"/>
      <c r="K1071" s="230"/>
      <c r="L1071" s="230"/>
      <c r="M1071" s="230"/>
      <c r="N1071" s="230"/>
      <c r="O1071" s="230"/>
      <c r="P1071" s="230"/>
      <c r="Q1071" s="230"/>
      <c r="R1071" s="230"/>
      <c r="S1071" s="239"/>
      <c r="T1071" s="230"/>
      <c r="U1071" s="230"/>
      <c r="V1071" s="230"/>
      <c r="W1071" s="230"/>
      <c r="X1071" s="239"/>
      <c r="Y1071" s="239"/>
      <c r="Z1071" s="230"/>
      <c r="AA1071" s="230"/>
      <c r="AB1071" s="230"/>
      <c r="AC1071" s="230"/>
      <c r="AD1071" s="239"/>
    </row>
    <row r="1072" spans="1:30" ht="15.75" x14ac:dyDescent="0.25">
      <c r="A1072" s="230"/>
      <c r="B1072" s="231"/>
      <c r="C1072" s="231"/>
      <c r="D1072" s="231"/>
      <c r="E1072" s="230"/>
      <c r="F1072" s="230"/>
      <c r="G1072" s="230"/>
      <c r="H1072" s="230"/>
      <c r="I1072" s="230"/>
      <c r="J1072" s="230"/>
      <c r="K1072" s="230"/>
      <c r="L1072" s="230"/>
      <c r="M1072" s="230"/>
      <c r="N1072" s="230"/>
      <c r="O1072" s="230"/>
      <c r="P1072" s="230"/>
      <c r="Q1072" s="230"/>
      <c r="R1072" s="230"/>
      <c r="S1072" s="239"/>
      <c r="T1072" s="230"/>
      <c r="U1072" s="230"/>
      <c r="V1072" s="230"/>
      <c r="W1072" s="230"/>
      <c r="X1072" s="239"/>
      <c r="Y1072" s="239"/>
      <c r="Z1072" s="230"/>
      <c r="AA1072" s="230"/>
      <c r="AB1072" s="230"/>
      <c r="AC1072" s="230"/>
      <c r="AD1072" s="239"/>
    </row>
    <row r="1073" spans="1:30" ht="15.75" x14ac:dyDescent="0.25">
      <c r="A1073" s="230"/>
      <c r="B1073" s="231"/>
      <c r="C1073" s="231"/>
      <c r="D1073" s="231"/>
      <c r="E1073" s="230"/>
      <c r="F1073" s="230"/>
      <c r="G1073" s="230"/>
      <c r="H1073" s="230"/>
      <c r="I1073" s="230"/>
      <c r="J1073" s="230"/>
      <c r="K1073" s="230"/>
      <c r="L1073" s="230"/>
      <c r="M1073" s="230"/>
      <c r="N1073" s="230"/>
      <c r="O1073" s="230"/>
      <c r="P1073" s="230"/>
      <c r="Q1073" s="230"/>
      <c r="R1073" s="230"/>
      <c r="S1073" s="239"/>
      <c r="T1073" s="230"/>
      <c r="U1073" s="230"/>
      <c r="V1073" s="230"/>
      <c r="W1073" s="230"/>
      <c r="X1073" s="239"/>
      <c r="Y1073" s="239"/>
      <c r="Z1073" s="230"/>
      <c r="AA1073" s="230"/>
      <c r="AB1073" s="230"/>
      <c r="AC1073" s="230"/>
      <c r="AD1073" s="239"/>
    </row>
    <row r="1074" spans="1:30" ht="15.75" x14ac:dyDescent="0.25">
      <c r="A1074" s="230"/>
      <c r="B1074" s="231"/>
      <c r="C1074" s="231"/>
      <c r="D1074" s="231"/>
      <c r="E1074" s="230"/>
      <c r="F1074" s="230"/>
      <c r="G1074" s="230"/>
      <c r="H1074" s="230"/>
      <c r="I1074" s="230"/>
      <c r="J1074" s="230"/>
      <c r="K1074" s="230"/>
      <c r="L1074" s="230"/>
      <c r="M1074" s="230"/>
      <c r="N1074" s="230"/>
      <c r="O1074" s="230"/>
      <c r="P1074" s="230"/>
      <c r="Q1074" s="230"/>
      <c r="R1074" s="230"/>
      <c r="S1074" s="239"/>
      <c r="T1074" s="230"/>
      <c r="U1074" s="230"/>
      <c r="V1074" s="230"/>
      <c r="W1074" s="230"/>
      <c r="X1074" s="239"/>
      <c r="Y1074" s="239"/>
      <c r="Z1074" s="230"/>
      <c r="AA1074" s="230"/>
      <c r="AB1074" s="230"/>
      <c r="AC1074" s="230"/>
      <c r="AD1074" s="239"/>
    </row>
    <row r="1075" spans="1:30" ht="15.75" x14ac:dyDescent="0.25">
      <c r="A1075" s="230"/>
      <c r="B1075" s="231"/>
      <c r="C1075" s="231"/>
      <c r="D1075" s="231"/>
      <c r="E1075" s="230"/>
      <c r="F1075" s="230"/>
      <c r="G1075" s="230"/>
      <c r="H1075" s="230"/>
      <c r="I1075" s="230"/>
      <c r="J1075" s="230"/>
      <c r="K1075" s="230"/>
      <c r="L1075" s="230"/>
      <c r="M1075" s="230"/>
      <c r="N1075" s="230"/>
      <c r="O1075" s="230"/>
      <c r="P1075" s="230"/>
      <c r="Q1075" s="230"/>
      <c r="R1075" s="230"/>
      <c r="S1075" s="239"/>
      <c r="T1075" s="230"/>
      <c r="U1075" s="230"/>
      <c r="V1075" s="230"/>
      <c r="W1075" s="230"/>
      <c r="X1075" s="239"/>
      <c r="Y1075" s="239"/>
      <c r="Z1075" s="230"/>
      <c r="AA1075" s="230"/>
      <c r="AB1075" s="230"/>
      <c r="AC1075" s="230"/>
      <c r="AD1075" s="239"/>
    </row>
    <row r="1076" spans="1:30" ht="15.75" x14ac:dyDescent="0.25">
      <c r="A1076" s="230"/>
      <c r="B1076" s="231"/>
      <c r="C1076" s="231"/>
      <c r="D1076" s="231"/>
      <c r="E1076" s="230"/>
      <c r="F1076" s="230"/>
      <c r="G1076" s="230"/>
      <c r="H1076" s="230"/>
      <c r="I1076" s="230"/>
      <c r="J1076" s="230"/>
      <c r="K1076" s="230"/>
      <c r="L1076" s="230"/>
      <c r="M1076" s="230"/>
      <c r="N1076" s="230"/>
      <c r="O1076" s="230"/>
      <c r="P1076" s="230"/>
      <c r="Q1076" s="230"/>
      <c r="R1076" s="230"/>
      <c r="S1076" s="239"/>
      <c r="T1076" s="230"/>
      <c r="U1076" s="230"/>
      <c r="V1076" s="230"/>
      <c r="W1076" s="230"/>
      <c r="X1076" s="239"/>
      <c r="Y1076" s="239"/>
      <c r="Z1076" s="230"/>
      <c r="AA1076" s="230"/>
      <c r="AB1076" s="230"/>
      <c r="AC1076" s="230"/>
      <c r="AD1076" s="239"/>
    </row>
    <row r="1077" spans="1:30" ht="15.75" x14ac:dyDescent="0.25">
      <c r="A1077" s="230"/>
      <c r="B1077" s="231"/>
      <c r="C1077" s="231"/>
      <c r="D1077" s="231"/>
      <c r="E1077" s="230"/>
      <c r="F1077" s="230"/>
      <c r="G1077" s="230"/>
      <c r="H1077" s="230"/>
      <c r="I1077" s="230"/>
      <c r="J1077" s="230"/>
      <c r="K1077" s="230"/>
      <c r="L1077" s="230"/>
      <c r="M1077" s="230"/>
      <c r="N1077" s="230"/>
      <c r="O1077" s="230"/>
      <c r="P1077" s="230"/>
      <c r="Q1077" s="230"/>
      <c r="R1077" s="230"/>
      <c r="S1077" s="239"/>
      <c r="T1077" s="230"/>
      <c r="U1077" s="230"/>
      <c r="V1077" s="230"/>
      <c r="W1077" s="230"/>
      <c r="X1077" s="239"/>
      <c r="Y1077" s="239"/>
      <c r="Z1077" s="230"/>
      <c r="AA1077" s="230"/>
      <c r="AB1077" s="230"/>
      <c r="AC1077" s="230"/>
      <c r="AD1077" s="239"/>
    </row>
    <row r="1078" spans="1:30" ht="15.75" x14ac:dyDescent="0.25">
      <c r="A1078" s="230"/>
      <c r="B1078" s="231"/>
      <c r="C1078" s="231"/>
      <c r="D1078" s="231"/>
      <c r="E1078" s="230"/>
      <c r="F1078" s="230"/>
      <c r="G1078" s="230"/>
      <c r="H1078" s="230"/>
      <c r="I1078" s="230"/>
      <c r="J1078" s="230"/>
      <c r="K1078" s="230"/>
      <c r="L1078" s="230"/>
      <c r="M1078" s="230"/>
      <c r="N1078" s="230"/>
      <c r="O1078" s="230"/>
      <c r="P1078" s="230"/>
      <c r="Q1078" s="230"/>
      <c r="R1078" s="230"/>
      <c r="S1078" s="239"/>
      <c r="T1078" s="230"/>
      <c r="U1078" s="230"/>
      <c r="V1078" s="230"/>
      <c r="W1078" s="230"/>
      <c r="X1078" s="239"/>
      <c r="Y1078" s="239"/>
      <c r="Z1078" s="230"/>
      <c r="AA1078" s="230"/>
      <c r="AB1078" s="230"/>
      <c r="AC1078" s="230"/>
      <c r="AD1078" s="239"/>
    </row>
    <row r="1079" spans="1:30" ht="15.75" x14ac:dyDescent="0.25">
      <c r="A1079" s="230"/>
      <c r="B1079" s="231"/>
      <c r="C1079" s="231"/>
      <c r="D1079" s="231"/>
      <c r="E1079" s="230"/>
      <c r="F1079" s="230"/>
      <c r="G1079" s="230"/>
      <c r="H1079" s="230"/>
      <c r="I1079" s="230"/>
      <c r="J1079" s="230"/>
      <c r="K1079" s="230"/>
      <c r="L1079" s="230"/>
      <c r="M1079" s="230"/>
      <c r="N1079" s="230"/>
      <c r="O1079" s="230"/>
      <c r="P1079" s="230"/>
      <c r="Q1079" s="230"/>
      <c r="R1079" s="230"/>
      <c r="S1079" s="239"/>
      <c r="T1079" s="230"/>
      <c r="U1079" s="230"/>
      <c r="V1079" s="230"/>
      <c r="W1079" s="230"/>
      <c r="X1079" s="239"/>
      <c r="Y1079" s="239"/>
      <c r="Z1079" s="230"/>
      <c r="AA1079" s="230"/>
      <c r="AB1079" s="230"/>
      <c r="AC1079" s="230"/>
      <c r="AD1079" s="239"/>
    </row>
    <row r="1080" spans="1:30" ht="15.75" x14ac:dyDescent="0.25">
      <c r="A1080" s="230"/>
      <c r="B1080" s="231"/>
      <c r="C1080" s="231"/>
      <c r="D1080" s="231"/>
      <c r="E1080" s="230"/>
      <c r="F1080" s="230"/>
      <c r="G1080" s="230"/>
      <c r="H1080" s="230"/>
      <c r="I1080" s="230"/>
      <c r="J1080" s="230"/>
      <c r="K1080" s="230"/>
      <c r="L1080" s="230"/>
      <c r="M1080" s="230"/>
      <c r="N1080" s="230"/>
      <c r="O1080" s="230"/>
      <c r="P1080" s="230"/>
      <c r="Q1080" s="230"/>
      <c r="R1080" s="230"/>
      <c r="S1080" s="239"/>
      <c r="T1080" s="230"/>
      <c r="U1080" s="230"/>
      <c r="V1080" s="230"/>
      <c r="W1080" s="230"/>
      <c r="X1080" s="239"/>
      <c r="Y1080" s="239"/>
      <c r="Z1080" s="230"/>
      <c r="AA1080" s="230"/>
      <c r="AB1080" s="230"/>
      <c r="AC1080" s="230"/>
      <c r="AD1080" s="239"/>
    </row>
    <row r="1081" spans="1:30" ht="15.75" x14ac:dyDescent="0.25">
      <c r="A1081" s="230"/>
      <c r="B1081" s="231"/>
      <c r="C1081" s="231"/>
      <c r="D1081" s="231"/>
      <c r="E1081" s="230"/>
      <c r="F1081" s="230"/>
      <c r="G1081" s="230"/>
      <c r="H1081" s="230"/>
      <c r="I1081" s="230"/>
      <c r="J1081" s="230"/>
      <c r="K1081" s="230"/>
      <c r="L1081" s="230"/>
      <c r="M1081" s="230"/>
      <c r="N1081" s="230"/>
      <c r="O1081" s="230"/>
      <c r="P1081" s="230"/>
      <c r="Q1081" s="230"/>
      <c r="R1081" s="230"/>
      <c r="S1081" s="239"/>
      <c r="T1081" s="230"/>
      <c r="U1081" s="230"/>
      <c r="V1081" s="230"/>
      <c r="W1081" s="230"/>
      <c r="X1081" s="239"/>
      <c r="Y1081" s="239"/>
      <c r="Z1081" s="230"/>
      <c r="AA1081" s="230"/>
      <c r="AB1081" s="230"/>
      <c r="AC1081" s="230"/>
      <c r="AD1081" s="239"/>
    </row>
    <row r="1082" spans="1:30" ht="15.75" x14ac:dyDescent="0.25">
      <c r="A1082" s="230"/>
      <c r="B1082" s="231"/>
      <c r="C1082" s="231"/>
      <c r="D1082" s="231"/>
      <c r="E1082" s="230"/>
      <c r="F1082" s="230"/>
      <c r="G1082" s="230"/>
      <c r="H1082" s="230"/>
      <c r="I1082" s="230"/>
      <c r="J1082" s="230"/>
      <c r="K1082" s="230"/>
      <c r="L1082" s="230"/>
      <c r="M1082" s="230"/>
      <c r="N1082" s="230"/>
      <c r="O1082" s="230"/>
      <c r="P1082" s="230"/>
      <c r="Q1082" s="230"/>
      <c r="R1082" s="230"/>
      <c r="S1082" s="239"/>
      <c r="T1082" s="230"/>
      <c r="U1082" s="230"/>
      <c r="V1082" s="230"/>
      <c r="W1082" s="230"/>
      <c r="X1082" s="239"/>
      <c r="Y1082" s="239"/>
      <c r="Z1082" s="230"/>
      <c r="AA1082" s="230"/>
      <c r="AB1082" s="230"/>
      <c r="AC1082" s="230"/>
      <c r="AD1082" s="239"/>
    </row>
    <row r="1083" spans="1:30" ht="15.75" x14ac:dyDescent="0.25">
      <c r="A1083" s="230"/>
      <c r="B1083" s="231"/>
      <c r="C1083" s="231"/>
      <c r="D1083" s="231"/>
      <c r="E1083" s="230"/>
      <c r="F1083" s="230"/>
      <c r="G1083" s="230"/>
      <c r="H1083" s="230"/>
      <c r="I1083" s="230"/>
      <c r="J1083" s="230"/>
      <c r="K1083" s="230"/>
      <c r="L1083" s="230"/>
      <c r="M1083" s="230"/>
      <c r="N1083" s="230"/>
      <c r="O1083" s="230"/>
      <c r="P1083" s="230"/>
      <c r="Q1083" s="230"/>
      <c r="R1083" s="230"/>
      <c r="S1083" s="239"/>
      <c r="T1083" s="230"/>
      <c r="U1083" s="230"/>
      <c r="V1083" s="230"/>
      <c r="W1083" s="230"/>
      <c r="X1083" s="239"/>
      <c r="Y1083" s="239"/>
      <c r="Z1083" s="230"/>
      <c r="AA1083" s="230"/>
      <c r="AB1083" s="230"/>
      <c r="AC1083" s="230"/>
      <c r="AD1083" s="239"/>
    </row>
    <row r="1084" spans="1:30" ht="15.75" x14ac:dyDescent="0.25">
      <c r="A1084" s="230"/>
      <c r="B1084" s="231"/>
      <c r="C1084" s="231"/>
      <c r="D1084" s="231"/>
      <c r="E1084" s="230"/>
      <c r="F1084" s="230"/>
      <c r="G1084" s="230"/>
      <c r="H1084" s="230"/>
      <c r="I1084" s="230"/>
      <c r="J1084" s="230"/>
      <c r="K1084" s="230"/>
      <c r="L1084" s="230"/>
      <c r="M1084" s="230"/>
      <c r="N1084" s="230"/>
      <c r="O1084" s="230"/>
      <c r="P1084" s="230"/>
      <c r="Q1084" s="230"/>
      <c r="R1084" s="230"/>
      <c r="S1084" s="239"/>
      <c r="T1084" s="230"/>
      <c r="U1084" s="230"/>
      <c r="V1084" s="230"/>
      <c r="W1084" s="230"/>
      <c r="X1084" s="239"/>
      <c r="Y1084" s="239"/>
      <c r="Z1084" s="230"/>
      <c r="AA1084" s="230"/>
      <c r="AB1084" s="230"/>
      <c r="AC1084" s="230"/>
      <c r="AD1084" s="239"/>
    </row>
    <row r="1085" spans="1:30" ht="15.75" x14ac:dyDescent="0.25">
      <c r="A1085" s="230"/>
      <c r="B1085" s="231"/>
      <c r="C1085" s="231"/>
      <c r="D1085" s="231"/>
      <c r="E1085" s="230"/>
      <c r="F1085" s="230"/>
      <c r="G1085" s="230"/>
      <c r="H1085" s="230"/>
      <c r="I1085" s="230"/>
      <c r="J1085" s="230"/>
      <c r="K1085" s="230"/>
      <c r="L1085" s="230"/>
      <c r="M1085" s="230"/>
      <c r="N1085" s="230"/>
      <c r="O1085" s="230"/>
      <c r="P1085" s="230"/>
      <c r="Q1085" s="230"/>
      <c r="R1085" s="230"/>
      <c r="S1085" s="239"/>
      <c r="T1085" s="230"/>
      <c r="U1085" s="230"/>
      <c r="V1085" s="230"/>
      <c r="W1085" s="230"/>
      <c r="X1085" s="239"/>
      <c r="Y1085" s="239"/>
      <c r="Z1085" s="230"/>
      <c r="AA1085" s="230"/>
      <c r="AB1085" s="230"/>
      <c r="AC1085" s="230"/>
      <c r="AD1085" s="239"/>
    </row>
    <row r="1086" spans="1:30" ht="15.75" x14ac:dyDescent="0.25">
      <c r="A1086" s="230"/>
      <c r="B1086" s="231"/>
      <c r="C1086" s="231"/>
      <c r="D1086" s="231"/>
      <c r="E1086" s="230"/>
      <c r="F1086" s="230"/>
      <c r="G1086" s="230"/>
      <c r="H1086" s="230"/>
      <c r="I1086" s="230"/>
      <c r="J1086" s="230"/>
      <c r="K1086" s="230"/>
      <c r="L1086" s="230"/>
      <c r="M1086" s="230"/>
      <c r="N1086" s="230"/>
      <c r="O1086" s="230"/>
      <c r="P1086" s="230"/>
      <c r="Q1086" s="230"/>
      <c r="R1086" s="230"/>
      <c r="S1086" s="239"/>
      <c r="T1086" s="230"/>
      <c r="U1086" s="230"/>
      <c r="V1086" s="230"/>
      <c r="W1086" s="230"/>
      <c r="X1086" s="239"/>
      <c r="Y1086" s="239"/>
      <c r="Z1086" s="230"/>
      <c r="AA1086" s="230"/>
      <c r="AB1086" s="230"/>
      <c r="AC1086" s="230"/>
      <c r="AD1086" s="239"/>
    </row>
    <row r="1087" spans="1:30" ht="15.75" x14ac:dyDescent="0.25">
      <c r="A1087" s="230"/>
      <c r="B1087" s="231"/>
      <c r="C1087" s="231"/>
      <c r="D1087" s="231"/>
      <c r="E1087" s="230"/>
      <c r="F1087" s="230"/>
      <c r="G1087" s="230"/>
      <c r="H1087" s="230"/>
      <c r="I1087" s="230"/>
      <c r="J1087" s="230"/>
      <c r="K1087" s="230"/>
      <c r="L1087" s="230"/>
      <c r="M1087" s="230"/>
      <c r="N1087" s="230"/>
      <c r="O1087" s="230"/>
      <c r="P1087" s="230"/>
      <c r="Q1087" s="230"/>
      <c r="R1087" s="230"/>
      <c r="S1087" s="239"/>
      <c r="T1087" s="230"/>
      <c r="U1087" s="230"/>
      <c r="V1087" s="230"/>
      <c r="W1087" s="230"/>
      <c r="X1087" s="239"/>
      <c r="Y1087" s="239"/>
      <c r="Z1087" s="230"/>
      <c r="AA1087" s="230"/>
      <c r="AB1087" s="230"/>
      <c r="AC1087" s="230"/>
      <c r="AD1087" s="239"/>
    </row>
    <row r="1088" spans="1:30" ht="15.75" x14ac:dyDescent="0.25">
      <c r="A1088" s="230"/>
      <c r="B1088" s="231"/>
      <c r="C1088" s="231"/>
      <c r="D1088" s="231"/>
      <c r="E1088" s="230"/>
      <c r="F1088" s="230"/>
      <c r="G1088" s="230"/>
      <c r="H1088" s="230"/>
      <c r="I1088" s="230"/>
      <c r="J1088" s="230"/>
      <c r="K1088" s="230"/>
      <c r="L1088" s="230"/>
      <c r="M1088" s="230"/>
      <c r="N1088" s="230"/>
      <c r="O1088" s="230"/>
      <c r="P1088" s="230"/>
      <c r="Q1088" s="230"/>
      <c r="R1088" s="230"/>
      <c r="S1088" s="239"/>
      <c r="T1088" s="230"/>
      <c r="U1088" s="230"/>
      <c r="V1088" s="230"/>
      <c r="W1088" s="230"/>
      <c r="X1088" s="239"/>
      <c r="Y1088" s="239"/>
      <c r="Z1088" s="230"/>
      <c r="AA1088" s="230"/>
      <c r="AB1088" s="230"/>
      <c r="AC1088" s="230"/>
      <c r="AD1088" s="239"/>
    </row>
    <row r="1089" spans="1:30" ht="15.75" x14ac:dyDescent="0.25">
      <c r="A1089" s="230"/>
      <c r="B1089" s="231"/>
      <c r="C1089" s="231"/>
      <c r="D1089" s="231"/>
      <c r="E1089" s="230"/>
      <c r="F1089" s="230"/>
      <c r="G1089" s="230"/>
      <c r="H1089" s="230"/>
      <c r="I1089" s="230"/>
      <c r="J1089" s="230"/>
      <c r="K1089" s="230"/>
      <c r="L1089" s="230"/>
      <c r="M1089" s="230"/>
      <c r="N1089" s="230"/>
      <c r="O1089" s="230"/>
      <c r="P1089" s="230"/>
      <c r="Q1089" s="230"/>
      <c r="R1089" s="230"/>
      <c r="S1089" s="239"/>
      <c r="T1089" s="230"/>
      <c r="U1089" s="230"/>
      <c r="V1089" s="230"/>
      <c r="W1089" s="230"/>
      <c r="X1089" s="239"/>
      <c r="Y1089" s="239"/>
      <c r="Z1089" s="230"/>
      <c r="AA1089" s="230"/>
      <c r="AB1089" s="230"/>
      <c r="AC1089" s="230"/>
      <c r="AD1089" s="239"/>
    </row>
    <row r="1090" spans="1:30" ht="15.75" x14ac:dyDescent="0.25">
      <c r="A1090" s="230"/>
      <c r="B1090" s="231"/>
      <c r="C1090" s="231"/>
      <c r="D1090" s="231"/>
      <c r="E1090" s="230"/>
      <c r="F1090" s="230"/>
      <c r="G1090" s="230"/>
      <c r="H1090" s="230"/>
      <c r="I1090" s="230"/>
      <c r="J1090" s="230"/>
      <c r="K1090" s="230"/>
      <c r="L1090" s="230"/>
      <c r="M1090" s="230"/>
      <c r="N1090" s="230"/>
      <c r="O1090" s="230"/>
      <c r="P1090" s="230"/>
      <c r="Q1090" s="230"/>
      <c r="R1090" s="230"/>
      <c r="S1090" s="239"/>
      <c r="T1090" s="230"/>
      <c r="U1090" s="230"/>
      <c r="V1090" s="230"/>
      <c r="W1090" s="230"/>
      <c r="X1090" s="239"/>
      <c r="Y1090" s="239"/>
      <c r="Z1090" s="230"/>
      <c r="AA1090" s="230"/>
      <c r="AB1090" s="230"/>
      <c r="AC1090" s="230"/>
      <c r="AD1090" s="239"/>
    </row>
    <row r="1091" spans="1:30" ht="15.75" x14ac:dyDescent="0.25">
      <c r="A1091" s="230"/>
      <c r="B1091" s="231"/>
      <c r="C1091" s="231"/>
      <c r="D1091" s="231"/>
      <c r="E1091" s="230"/>
      <c r="F1091" s="230"/>
      <c r="G1091" s="230"/>
      <c r="H1091" s="230"/>
      <c r="I1091" s="230"/>
      <c r="J1091" s="230"/>
      <c r="K1091" s="230"/>
      <c r="L1091" s="230"/>
      <c r="M1091" s="230"/>
      <c r="N1091" s="230"/>
      <c r="O1091" s="230"/>
      <c r="P1091" s="230"/>
      <c r="Q1091" s="230"/>
      <c r="R1091" s="230"/>
      <c r="S1091" s="239"/>
      <c r="T1091" s="230"/>
      <c r="U1091" s="230"/>
      <c r="V1091" s="230"/>
      <c r="W1091" s="230"/>
      <c r="X1091" s="239"/>
      <c r="Y1091" s="239"/>
      <c r="Z1091" s="230"/>
      <c r="AA1091" s="230"/>
      <c r="AB1091" s="230"/>
      <c r="AC1091" s="230"/>
      <c r="AD1091" s="239"/>
    </row>
    <row r="1092" spans="1:30" ht="15.75" x14ac:dyDescent="0.25">
      <c r="A1092" s="230"/>
      <c r="B1092" s="231"/>
      <c r="C1092" s="231"/>
      <c r="D1092" s="231"/>
      <c r="E1092" s="230"/>
      <c r="F1092" s="230"/>
      <c r="G1092" s="230"/>
      <c r="H1092" s="230"/>
      <c r="I1092" s="230"/>
      <c r="J1092" s="230"/>
      <c r="K1092" s="230"/>
      <c r="L1092" s="230"/>
      <c r="M1092" s="230"/>
      <c r="N1092" s="230"/>
      <c r="O1092" s="230"/>
      <c r="P1092" s="230"/>
      <c r="Q1092" s="230"/>
      <c r="R1092" s="230"/>
      <c r="S1092" s="239"/>
      <c r="T1092" s="230"/>
      <c r="U1092" s="230"/>
      <c r="V1092" s="230"/>
      <c r="W1092" s="230"/>
      <c r="X1092" s="239"/>
      <c r="Y1092" s="239"/>
      <c r="Z1092" s="230"/>
      <c r="AA1092" s="230"/>
      <c r="AB1092" s="230"/>
      <c r="AC1092" s="230"/>
      <c r="AD1092" s="239"/>
    </row>
    <row r="1093" spans="1:30" ht="15.75" x14ac:dyDescent="0.25">
      <c r="A1093" s="230"/>
      <c r="B1093" s="231"/>
      <c r="C1093" s="231"/>
      <c r="D1093" s="231"/>
      <c r="E1093" s="230"/>
      <c r="F1093" s="230"/>
      <c r="G1093" s="230"/>
      <c r="H1093" s="230"/>
      <c r="I1093" s="230"/>
      <c r="J1093" s="230"/>
      <c r="K1093" s="230"/>
      <c r="L1093" s="230"/>
      <c r="M1093" s="230"/>
      <c r="N1093" s="230"/>
      <c r="O1093" s="230"/>
      <c r="P1093" s="230"/>
      <c r="Q1093" s="230"/>
      <c r="R1093" s="230"/>
      <c r="S1093" s="239"/>
      <c r="T1093" s="230"/>
      <c r="U1093" s="230"/>
      <c r="V1093" s="230"/>
      <c r="W1093" s="230"/>
      <c r="X1093" s="239"/>
      <c r="Y1093" s="239"/>
      <c r="Z1093" s="230"/>
      <c r="AA1093" s="230"/>
      <c r="AB1093" s="230"/>
      <c r="AC1093" s="230"/>
      <c r="AD1093" s="239"/>
    </row>
    <row r="1094" spans="1:30" ht="15.75" x14ac:dyDescent="0.25">
      <c r="A1094" s="230"/>
      <c r="B1094" s="231"/>
      <c r="C1094" s="231"/>
      <c r="D1094" s="231"/>
      <c r="E1094" s="230"/>
      <c r="F1094" s="230"/>
      <c r="G1094" s="230"/>
      <c r="H1094" s="230"/>
      <c r="I1094" s="230"/>
      <c r="J1094" s="230"/>
      <c r="K1094" s="230"/>
      <c r="L1094" s="230"/>
      <c r="M1094" s="230"/>
      <c r="N1094" s="230"/>
      <c r="O1094" s="230"/>
      <c r="P1094" s="230"/>
      <c r="Q1094" s="230"/>
      <c r="R1094" s="230"/>
      <c r="S1094" s="239"/>
      <c r="T1094" s="230"/>
      <c r="U1094" s="230"/>
      <c r="V1094" s="230"/>
      <c r="W1094" s="230"/>
      <c r="X1094" s="239"/>
      <c r="Y1094" s="239"/>
      <c r="Z1094" s="230"/>
      <c r="AA1094" s="230"/>
      <c r="AB1094" s="230"/>
      <c r="AC1094" s="230"/>
      <c r="AD1094" s="239"/>
    </row>
    <row r="1095" spans="1:30" ht="15.75" x14ac:dyDescent="0.25">
      <c r="A1095" s="230"/>
      <c r="B1095" s="231"/>
      <c r="C1095" s="231"/>
      <c r="D1095" s="231"/>
      <c r="E1095" s="230"/>
      <c r="F1095" s="230"/>
      <c r="G1095" s="230"/>
      <c r="H1095" s="230"/>
      <c r="I1095" s="230"/>
      <c r="J1095" s="230"/>
      <c r="K1095" s="230"/>
      <c r="L1095" s="230"/>
      <c r="M1095" s="230"/>
      <c r="N1095" s="230"/>
      <c r="O1095" s="230"/>
      <c r="P1095" s="230"/>
      <c r="Q1095" s="230"/>
      <c r="R1095" s="230"/>
      <c r="S1095" s="239"/>
      <c r="T1095" s="230"/>
      <c r="U1095" s="230"/>
      <c r="V1095" s="230"/>
      <c r="W1095" s="230"/>
      <c r="X1095" s="239"/>
      <c r="Y1095" s="239"/>
      <c r="Z1095" s="230"/>
      <c r="AA1095" s="230"/>
      <c r="AB1095" s="230"/>
      <c r="AC1095" s="230"/>
      <c r="AD1095" s="239"/>
    </row>
    <row r="1096" spans="1:30" ht="15.75" x14ac:dyDescent="0.25">
      <c r="A1096" s="230"/>
      <c r="B1096" s="231"/>
      <c r="C1096" s="231"/>
      <c r="D1096" s="231"/>
      <c r="E1096" s="230"/>
      <c r="F1096" s="230"/>
      <c r="G1096" s="230"/>
      <c r="H1096" s="230"/>
      <c r="I1096" s="230"/>
      <c r="J1096" s="230"/>
      <c r="K1096" s="230"/>
      <c r="L1096" s="230"/>
      <c r="M1096" s="230"/>
      <c r="N1096" s="230"/>
      <c r="O1096" s="230"/>
      <c r="P1096" s="230"/>
      <c r="Q1096" s="230"/>
      <c r="R1096" s="230"/>
      <c r="S1096" s="239"/>
      <c r="T1096" s="230"/>
      <c r="U1096" s="230"/>
      <c r="V1096" s="230"/>
      <c r="W1096" s="230"/>
      <c r="X1096" s="239"/>
      <c r="Y1096" s="239"/>
      <c r="Z1096" s="230"/>
      <c r="AA1096" s="230"/>
      <c r="AB1096" s="230"/>
      <c r="AC1096" s="230"/>
      <c r="AD1096" s="239"/>
    </row>
    <row r="1097" spans="1:30" ht="15.75" x14ac:dyDescent="0.25">
      <c r="A1097" s="230"/>
      <c r="B1097" s="231"/>
      <c r="C1097" s="231"/>
      <c r="D1097" s="231"/>
      <c r="E1097" s="230"/>
      <c r="F1097" s="230"/>
      <c r="G1097" s="230"/>
      <c r="H1097" s="230"/>
      <c r="I1097" s="230"/>
      <c r="J1097" s="230"/>
      <c r="K1097" s="230"/>
      <c r="L1097" s="230"/>
      <c r="M1097" s="230"/>
      <c r="N1097" s="230"/>
      <c r="O1097" s="230"/>
      <c r="P1097" s="230"/>
      <c r="Q1097" s="230"/>
      <c r="R1097" s="230"/>
      <c r="S1097" s="239"/>
      <c r="T1097" s="230"/>
      <c r="U1097" s="230"/>
      <c r="V1097" s="230"/>
      <c r="W1097" s="230"/>
      <c r="X1097" s="239"/>
      <c r="Y1097" s="239"/>
      <c r="Z1097" s="230"/>
      <c r="AA1097" s="230"/>
      <c r="AB1097" s="230"/>
      <c r="AC1097" s="230"/>
      <c r="AD1097" s="239"/>
    </row>
    <row r="1098" spans="1:30" ht="15.75" x14ac:dyDescent="0.25">
      <c r="A1098" s="230"/>
      <c r="B1098" s="231"/>
      <c r="C1098" s="231"/>
      <c r="D1098" s="231"/>
      <c r="E1098" s="230"/>
      <c r="F1098" s="230"/>
      <c r="G1098" s="230"/>
      <c r="H1098" s="230"/>
      <c r="I1098" s="230"/>
      <c r="J1098" s="230"/>
      <c r="K1098" s="230"/>
      <c r="L1098" s="230"/>
      <c r="M1098" s="230"/>
      <c r="N1098" s="230"/>
      <c r="O1098" s="230"/>
      <c r="P1098" s="230"/>
      <c r="Q1098" s="230"/>
      <c r="R1098" s="230"/>
      <c r="S1098" s="239"/>
      <c r="T1098" s="230"/>
      <c r="U1098" s="230"/>
      <c r="V1098" s="230"/>
      <c r="W1098" s="230"/>
      <c r="X1098" s="239"/>
      <c r="Y1098" s="239"/>
      <c r="Z1098" s="230"/>
      <c r="AA1098" s="230"/>
      <c r="AB1098" s="230"/>
      <c r="AC1098" s="230"/>
      <c r="AD1098" s="239"/>
    </row>
    <row r="1099" spans="1:30" ht="15.75" x14ac:dyDescent="0.25">
      <c r="A1099" s="230"/>
      <c r="B1099" s="231"/>
      <c r="C1099" s="231"/>
      <c r="D1099" s="231"/>
      <c r="E1099" s="230"/>
      <c r="F1099" s="230"/>
      <c r="G1099" s="230"/>
      <c r="H1099" s="230"/>
      <c r="I1099" s="230"/>
      <c r="J1099" s="230"/>
      <c r="K1099" s="230"/>
      <c r="L1099" s="230"/>
      <c r="M1099" s="230"/>
      <c r="N1099" s="230"/>
      <c r="O1099" s="230"/>
      <c r="P1099" s="230"/>
      <c r="Q1099" s="230"/>
      <c r="R1099" s="230"/>
      <c r="S1099" s="239"/>
      <c r="T1099" s="230"/>
      <c r="U1099" s="230"/>
      <c r="V1099" s="230"/>
      <c r="W1099" s="230"/>
      <c r="X1099" s="239"/>
      <c r="Y1099" s="239"/>
      <c r="Z1099" s="230"/>
      <c r="AA1099" s="230"/>
      <c r="AB1099" s="230"/>
      <c r="AC1099" s="230"/>
      <c r="AD1099" s="239"/>
    </row>
    <row r="1100" spans="1:30" ht="15.75" x14ac:dyDescent="0.25">
      <c r="A1100" s="230"/>
      <c r="B1100" s="231"/>
      <c r="C1100" s="231"/>
      <c r="D1100" s="231"/>
      <c r="E1100" s="230"/>
      <c r="F1100" s="230"/>
      <c r="G1100" s="230"/>
      <c r="H1100" s="230"/>
      <c r="I1100" s="230"/>
      <c r="J1100" s="230"/>
      <c r="K1100" s="230"/>
      <c r="L1100" s="230"/>
      <c r="M1100" s="230"/>
      <c r="N1100" s="230"/>
      <c r="O1100" s="230"/>
      <c r="P1100" s="230"/>
      <c r="Q1100" s="230"/>
      <c r="R1100" s="230"/>
      <c r="S1100" s="239"/>
      <c r="T1100" s="230"/>
      <c r="U1100" s="230"/>
      <c r="V1100" s="230"/>
      <c r="W1100" s="230"/>
      <c r="X1100" s="239"/>
      <c r="Y1100" s="239"/>
      <c r="Z1100" s="230"/>
      <c r="AA1100" s="230"/>
      <c r="AB1100" s="230"/>
      <c r="AC1100" s="230"/>
      <c r="AD1100" s="239"/>
    </row>
    <row r="1101" spans="1:30" ht="15.75" x14ac:dyDescent="0.25">
      <c r="A1101" s="230"/>
      <c r="B1101" s="231"/>
      <c r="C1101" s="231"/>
      <c r="D1101" s="231"/>
      <c r="E1101" s="230"/>
      <c r="F1101" s="230"/>
      <c r="G1101" s="230"/>
      <c r="H1101" s="230"/>
      <c r="I1101" s="230"/>
      <c r="J1101" s="230"/>
      <c r="K1101" s="230"/>
      <c r="L1101" s="230"/>
      <c r="M1101" s="230"/>
      <c r="N1101" s="230"/>
      <c r="O1101" s="230"/>
      <c r="P1101" s="230"/>
      <c r="Q1101" s="230"/>
      <c r="R1101" s="230"/>
      <c r="S1101" s="239"/>
      <c r="T1101" s="230"/>
      <c r="U1101" s="230"/>
      <c r="V1101" s="230"/>
      <c r="W1101" s="230"/>
      <c r="X1101" s="239"/>
      <c r="Y1101" s="239"/>
      <c r="Z1101" s="230"/>
      <c r="AA1101" s="230"/>
      <c r="AB1101" s="230"/>
      <c r="AC1101" s="230"/>
      <c r="AD1101" s="239"/>
    </row>
    <row r="1102" spans="1:30" ht="15.75" x14ac:dyDescent="0.25">
      <c r="A1102" s="230"/>
      <c r="B1102" s="231"/>
      <c r="C1102" s="231"/>
      <c r="D1102" s="231"/>
      <c r="E1102" s="230"/>
      <c r="F1102" s="230"/>
      <c r="G1102" s="230"/>
      <c r="H1102" s="230"/>
      <c r="I1102" s="230"/>
      <c r="J1102" s="230"/>
      <c r="K1102" s="230"/>
      <c r="L1102" s="230"/>
      <c r="M1102" s="230"/>
      <c r="N1102" s="230"/>
      <c r="O1102" s="230"/>
      <c r="P1102" s="230"/>
      <c r="Q1102" s="230"/>
      <c r="R1102" s="230"/>
      <c r="S1102" s="239"/>
      <c r="T1102" s="230"/>
      <c r="U1102" s="230"/>
      <c r="V1102" s="230"/>
      <c r="W1102" s="230"/>
      <c r="X1102" s="239"/>
      <c r="Y1102" s="239"/>
      <c r="Z1102" s="230"/>
      <c r="AA1102" s="230"/>
      <c r="AB1102" s="230"/>
      <c r="AC1102" s="230"/>
      <c r="AD1102" s="239"/>
    </row>
    <row r="1103" spans="1:30" ht="15.75" x14ac:dyDescent="0.25">
      <c r="A1103" s="230"/>
      <c r="B1103" s="231"/>
      <c r="C1103" s="231"/>
      <c r="D1103" s="231"/>
      <c r="E1103" s="230"/>
      <c r="F1103" s="230"/>
      <c r="G1103" s="230"/>
      <c r="H1103" s="230"/>
      <c r="I1103" s="230"/>
      <c r="J1103" s="230"/>
      <c r="K1103" s="230"/>
      <c r="L1103" s="230"/>
      <c r="M1103" s="230"/>
      <c r="N1103" s="230"/>
      <c r="O1103" s="230"/>
      <c r="P1103" s="230"/>
      <c r="Q1103" s="230"/>
      <c r="R1103" s="230"/>
      <c r="S1103" s="239"/>
      <c r="T1103" s="230"/>
      <c r="U1103" s="230"/>
      <c r="V1103" s="230"/>
      <c r="W1103" s="230"/>
      <c r="X1103" s="239"/>
      <c r="Y1103" s="239"/>
      <c r="Z1103" s="230"/>
      <c r="AA1103" s="230"/>
      <c r="AB1103" s="230"/>
      <c r="AC1103" s="230"/>
      <c r="AD1103" s="239"/>
    </row>
    <row r="1104" spans="1:30" ht="15.75" x14ac:dyDescent="0.25">
      <c r="A1104" s="230"/>
      <c r="B1104" s="231"/>
      <c r="C1104" s="231"/>
      <c r="D1104" s="231"/>
      <c r="E1104" s="230"/>
      <c r="F1104" s="230"/>
      <c r="G1104" s="230"/>
      <c r="H1104" s="230"/>
      <c r="I1104" s="230"/>
      <c r="J1104" s="230"/>
      <c r="K1104" s="230"/>
      <c r="L1104" s="230"/>
      <c r="M1104" s="230"/>
      <c r="N1104" s="230"/>
      <c r="O1104" s="230"/>
      <c r="P1104" s="230"/>
      <c r="Q1104" s="230"/>
      <c r="R1104" s="230"/>
      <c r="S1104" s="239"/>
      <c r="T1104" s="230"/>
      <c r="U1104" s="230"/>
      <c r="V1104" s="230"/>
      <c r="W1104" s="230"/>
      <c r="X1104" s="239"/>
      <c r="Y1104" s="239"/>
      <c r="Z1104" s="230"/>
      <c r="AA1104" s="230"/>
      <c r="AB1104" s="230"/>
      <c r="AC1104" s="230"/>
      <c r="AD1104" s="239"/>
    </row>
    <row r="1105" spans="1:30" ht="15.75" x14ac:dyDescent="0.25">
      <c r="A1105" s="230"/>
      <c r="B1105" s="231"/>
      <c r="C1105" s="231"/>
      <c r="D1105" s="231"/>
      <c r="E1105" s="230"/>
      <c r="F1105" s="230"/>
      <c r="G1105" s="230"/>
      <c r="H1105" s="230"/>
      <c r="I1105" s="230"/>
      <c r="J1105" s="230"/>
      <c r="K1105" s="230"/>
      <c r="L1105" s="230"/>
      <c r="M1105" s="230"/>
      <c r="N1105" s="230"/>
      <c r="O1105" s="230"/>
      <c r="P1105" s="230"/>
      <c r="Q1105" s="230"/>
      <c r="R1105" s="230"/>
      <c r="S1105" s="239"/>
      <c r="T1105" s="230"/>
      <c r="U1105" s="230"/>
      <c r="V1105" s="230"/>
      <c r="W1105" s="230"/>
      <c r="X1105" s="239"/>
      <c r="Y1105" s="239"/>
      <c r="Z1105" s="230"/>
      <c r="AA1105" s="230"/>
      <c r="AB1105" s="230"/>
      <c r="AC1105" s="230"/>
      <c r="AD1105" s="239"/>
    </row>
    <row r="1106" spans="1:30" ht="15.75" x14ac:dyDescent="0.25">
      <c r="A1106" s="230"/>
      <c r="B1106" s="231"/>
      <c r="C1106" s="231"/>
      <c r="D1106" s="231"/>
      <c r="E1106" s="230"/>
      <c r="F1106" s="230"/>
      <c r="G1106" s="230"/>
      <c r="H1106" s="230"/>
      <c r="I1106" s="230"/>
      <c r="J1106" s="230"/>
      <c r="K1106" s="230"/>
      <c r="L1106" s="230"/>
      <c r="M1106" s="230"/>
      <c r="N1106" s="230"/>
      <c r="O1106" s="230"/>
      <c r="P1106" s="230"/>
      <c r="Q1106" s="230"/>
      <c r="R1106" s="230"/>
      <c r="S1106" s="239"/>
      <c r="T1106" s="230"/>
      <c r="U1106" s="230"/>
      <c r="V1106" s="230"/>
      <c r="W1106" s="230"/>
      <c r="X1106" s="239"/>
      <c r="Y1106" s="239"/>
      <c r="Z1106" s="230"/>
      <c r="AA1106" s="230"/>
      <c r="AB1106" s="230"/>
      <c r="AC1106" s="230"/>
      <c r="AD1106" s="239"/>
    </row>
    <row r="1107" spans="1:30" ht="15.75" x14ac:dyDescent="0.25">
      <c r="A1107" s="230"/>
      <c r="B1107" s="231"/>
      <c r="C1107" s="231"/>
      <c r="D1107" s="231"/>
      <c r="E1107" s="230"/>
      <c r="F1107" s="230"/>
      <c r="G1107" s="230"/>
      <c r="H1107" s="230"/>
      <c r="I1107" s="230"/>
      <c r="J1107" s="230"/>
      <c r="K1107" s="230"/>
      <c r="L1107" s="230"/>
      <c r="M1107" s="230"/>
      <c r="N1107" s="230"/>
      <c r="O1107" s="230"/>
      <c r="P1107" s="230"/>
      <c r="Q1107" s="230"/>
      <c r="R1107" s="230"/>
      <c r="S1107" s="239"/>
      <c r="T1107" s="230"/>
      <c r="U1107" s="230"/>
      <c r="V1107" s="230"/>
      <c r="W1107" s="230"/>
      <c r="X1107" s="239"/>
      <c r="Y1107" s="239"/>
      <c r="Z1107" s="230"/>
      <c r="AA1107" s="230"/>
      <c r="AB1107" s="230"/>
      <c r="AC1107" s="230"/>
      <c r="AD1107" s="239"/>
    </row>
    <row r="1108" spans="1:30" ht="15.75" x14ac:dyDescent="0.25">
      <c r="A1108" s="230"/>
      <c r="B1108" s="231"/>
      <c r="C1108" s="231"/>
      <c r="D1108" s="231"/>
      <c r="E1108" s="230"/>
      <c r="F1108" s="230"/>
      <c r="G1108" s="230"/>
      <c r="H1108" s="230"/>
      <c r="I1108" s="230"/>
      <c r="J1108" s="230"/>
      <c r="K1108" s="230"/>
      <c r="L1108" s="230"/>
      <c r="M1108" s="230"/>
      <c r="N1108" s="230"/>
      <c r="O1108" s="230"/>
      <c r="P1108" s="230"/>
      <c r="Q1108" s="230"/>
      <c r="R1108" s="230"/>
      <c r="S1108" s="239"/>
      <c r="T1108" s="230"/>
      <c r="U1108" s="230"/>
      <c r="V1108" s="230"/>
      <c r="W1108" s="230"/>
      <c r="X1108" s="239"/>
      <c r="Y1108" s="239"/>
      <c r="Z1108" s="230"/>
      <c r="AA1108" s="230"/>
      <c r="AB1108" s="230"/>
      <c r="AC1108" s="230"/>
      <c r="AD1108" s="239"/>
    </row>
    <row r="1109" spans="1:30" ht="15.75" x14ac:dyDescent="0.25">
      <c r="A1109" s="230"/>
      <c r="B1109" s="231"/>
      <c r="C1109" s="231"/>
      <c r="D1109" s="231"/>
      <c r="E1109" s="230"/>
      <c r="F1109" s="230"/>
      <c r="G1109" s="230"/>
      <c r="H1109" s="230"/>
      <c r="I1109" s="230"/>
      <c r="J1109" s="230"/>
      <c r="K1109" s="230"/>
      <c r="L1109" s="230"/>
      <c r="M1109" s="230"/>
      <c r="N1109" s="230"/>
      <c r="O1109" s="230"/>
      <c r="P1109" s="230"/>
      <c r="Q1109" s="230"/>
      <c r="R1109" s="230"/>
      <c r="S1109" s="239"/>
      <c r="T1109" s="230"/>
      <c r="U1109" s="230"/>
      <c r="V1109" s="230"/>
      <c r="W1109" s="230"/>
      <c r="X1109" s="239"/>
      <c r="Y1109" s="239"/>
      <c r="Z1109" s="230"/>
      <c r="AA1109" s="230"/>
      <c r="AB1109" s="230"/>
      <c r="AC1109" s="230"/>
      <c r="AD1109" s="239"/>
    </row>
    <row r="1110" spans="1:30" ht="15.75" x14ac:dyDescent="0.25">
      <c r="A1110" s="230"/>
      <c r="B1110" s="231"/>
      <c r="C1110" s="231"/>
      <c r="D1110" s="231"/>
      <c r="E1110" s="230"/>
      <c r="F1110" s="230"/>
      <c r="G1110" s="230"/>
      <c r="H1110" s="230"/>
      <c r="I1110" s="230"/>
      <c r="J1110" s="230"/>
      <c r="K1110" s="230"/>
      <c r="L1110" s="230"/>
      <c r="M1110" s="230"/>
      <c r="N1110" s="230"/>
      <c r="O1110" s="230"/>
      <c r="P1110" s="230"/>
      <c r="Q1110" s="230"/>
      <c r="R1110" s="230"/>
      <c r="S1110" s="239"/>
      <c r="T1110" s="230"/>
      <c r="U1110" s="230"/>
      <c r="V1110" s="230"/>
      <c r="W1110" s="230"/>
      <c r="X1110" s="239"/>
      <c r="Y1110" s="239"/>
      <c r="Z1110" s="230"/>
      <c r="AA1110" s="230"/>
      <c r="AB1110" s="230"/>
      <c r="AC1110" s="230"/>
      <c r="AD1110" s="239"/>
    </row>
    <row r="1111" spans="1:30" ht="15.75" x14ac:dyDescent="0.25">
      <c r="A1111" s="230"/>
      <c r="B1111" s="231"/>
      <c r="C1111" s="231"/>
      <c r="D1111" s="231"/>
      <c r="E1111" s="230"/>
      <c r="F1111" s="230"/>
      <c r="G1111" s="230"/>
      <c r="H1111" s="230"/>
      <c r="I1111" s="230"/>
      <c r="J1111" s="230"/>
      <c r="K1111" s="230"/>
      <c r="L1111" s="230"/>
      <c r="M1111" s="230"/>
      <c r="N1111" s="230"/>
      <c r="O1111" s="230"/>
      <c r="P1111" s="230"/>
      <c r="Q1111" s="230"/>
      <c r="R1111" s="230"/>
      <c r="S1111" s="239"/>
      <c r="T1111" s="230"/>
      <c r="U1111" s="230"/>
      <c r="V1111" s="230"/>
      <c r="W1111" s="230"/>
      <c r="X1111" s="239"/>
      <c r="Y1111" s="239"/>
      <c r="Z1111" s="230"/>
      <c r="AA1111" s="230"/>
      <c r="AB1111" s="230"/>
      <c r="AC1111" s="230"/>
      <c r="AD1111" s="239"/>
    </row>
    <row r="1112" spans="1:30" ht="15.75" x14ac:dyDescent="0.25">
      <c r="A1112" s="230"/>
      <c r="B1112" s="231"/>
      <c r="C1112" s="231"/>
      <c r="D1112" s="231"/>
      <c r="E1112" s="230"/>
      <c r="F1112" s="230"/>
      <c r="G1112" s="230"/>
      <c r="H1112" s="230"/>
      <c r="I1112" s="230"/>
      <c r="J1112" s="230"/>
      <c r="K1112" s="230"/>
      <c r="L1112" s="230"/>
      <c r="M1112" s="230"/>
      <c r="N1112" s="230"/>
      <c r="O1112" s="230"/>
      <c r="P1112" s="230"/>
      <c r="Q1112" s="230"/>
      <c r="R1112" s="230"/>
      <c r="S1112" s="239"/>
      <c r="T1112" s="230"/>
      <c r="U1112" s="230"/>
      <c r="V1112" s="230"/>
      <c r="W1112" s="230"/>
      <c r="X1112" s="239"/>
      <c r="Y1112" s="239"/>
      <c r="Z1112" s="230"/>
      <c r="AA1112" s="230"/>
      <c r="AB1112" s="230"/>
      <c r="AC1112" s="230"/>
      <c r="AD1112" s="239"/>
    </row>
    <row r="1113" spans="1:30" ht="15.75" x14ac:dyDescent="0.25">
      <c r="A1113" s="230"/>
      <c r="B1113" s="231"/>
      <c r="C1113" s="231"/>
      <c r="D1113" s="231"/>
      <c r="E1113" s="230"/>
      <c r="F1113" s="230"/>
      <c r="G1113" s="230"/>
      <c r="H1113" s="230"/>
      <c r="I1113" s="230"/>
      <c r="J1113" s="230"/>
      <c r="K1113" s="230"/>
      <c r="L1113" s="230"/>
      <c r="M1113" s="230"/>
      <c r="N1113" s="230"/>
      <c r="O1113" s="230"/>
      <c r="P1113" s="230"/>
      <c r="Q1113" s="230"/>
      <c r="R1113" s="230"/>
      <c r="S1113" s="239"/>
      <c r="T1113" s="230"/>
      <c r="U1113" s="230"/>
      <c r="V1113" s="230"/>
      <c r="W1113" s="230"/>
      <c r="X1113" s="239"/>
      <c r="Y1113" s="239"/>
      <c r="Z1113" s="230"/>
      <c r="AA1113" s="230"/>
      <c r="AB1113" s="230"/>
      <c r="AC1113" s="230"/>
      <c r="AD1113" s="239"/>
    </row>
    <row r="1114" spans="1:30" ht="15.75" x14ac:dyDescent="0.25">
      <c r="A1114" s="230"/>
      <c r="B1114" s="231"/>
      <c r="C1114" s="231"/>
      <c r="D1114" s="231"/>
      <c r="E1114" s="230"/>
      <c r="F1114" s="230"/>
      <c r="G1114" s="230"/>
      <c r="H1114" s="230"/>
      <c r="I1114" s="230"/>
      <c r="J1114" s="230"/>
      <c r="K1114" s="230"/>
      <c r="L1114" s="230"/>
      <c r="M1114" s="230"/>
      <c r="N1114" s="230"/>
      <c r="O1114" s="230"/>
      <c r="P1114" s="230"/>
      <c r="Q1114" s="230"/>
      <c r="R1114" s="230"/>
      <c r="S1114" s="239"/>
      <c r="T1114" s="230"/>
      <c r="U1114" s="230"/>
      <c r="V1114" s="230"/>
      <c r="W1114" s="230"/>
      <c r="X1114" s="239"/>
      <c r="Y1114" s="239"/>
      <c r="Z1114" s="230"/>
      <c r="AA1114" s="230"/>
      <c r="AB1114" s="230"/>
      <c r="AC1114" s="230"/>
      <c r="AD1114" s="239"/>
    </row>
    <row r="1115" spans="1:30" ht="15.75" x14ac:dyDescent="0.25">
      <c r="A1115" s="230"/>
      <c r="B1115" s="231"/>
      <c r="C1115" s="231"/>
      <c r="D1115" s="231"/>
      <c r="E1115" s="230"/>
      <c r="F1115" s="230"/>
      <c r="G1115" s="230"/>
      <c r="H1115" s="230"/>
      <c r="I1115" s="230"/>
      <c r="J1115" s="230"/>
      <c r="K1115" s="230"/>
      <c r="L1115" s="230"/>
      <c r="M1115" s="230"/>
      <c r="N1115" s="230"/>
      <c r="O1115" s="230"/>
      <c r="P1115" s="230"/>
      <c r="Q1115" s="230"/>
      <c r="R1115" s="230"/>
      <c r="S1115" s="239"/>
      <c r="T1115" s="230"/>
      <c r="U1115" s="230"/>
      <c r="V1115" s="230"/>
      <c r="W1115" s="230"/>
      <c r="X1115" s="239"/>
      <c r="Y1115" s="239"/>
      <c r="Z1115" s="230"/>
      <c r="AA1115" s="230"/>
      <c r="AB1115" s="230"/>
      <c r="AC1115" s="230"/>
      <c r="AD1115" s="239"/>
    </row>
    <row r="1116" spans="1:30" ht="15.75" x14ac:dyDescent="0.25">
      <c r="A1116" s="230"/>
      <c r="B1116" s="231"/>
      <c r="C1116" s="231"/>
      <c r="D1116" s="231"/>
      <c r="E1116" s="230"/>
      <c r="F1116" s="230"/>
      <c r="G1116" s="230"/>
      <c r="H1116" s="230"/>
      <c r="I1116" s="230"/>
      <c r="J1116" s="230"/>
      <c r="K1116" s="230"/>
      <c r="L1116" s="230"/>
      <c r="M1116" s="230"/>
      <c r="N1116" s="230"/>
      <c r="O1116" s="230"/>
      <c r="P1116" s="230"/>
      <c r="Q1116" s="230"/>
      <c r="R1116" s="230"/>
      <c r="S1116" s="239"/>
      <c r="T1116" s="230"/>
      <c r="U1116" s="230"/>
      <c r="V1116" s="230"/>
      <c r="W1116" s="230"/>
      <c r="X1116" s="239"/>
      <c r="Y1116" s="239"/>
      <c r="Z1116" s="230"/>
      <c r="AA1116" s="230"/>
      <c r="AB1116" s="230"/>
      <c r="AC1116" s="230"/>
      <c r="AD1116" s="239"/>
    </row>
    <row r="1117" spans="1:30" ht="15.75" x14ac:dyDescent="0.25">
      <c r="A1117" s="230"/>
      <c r="B1117" s="231"/>
      <c r="C1117" s="231"/>
      <c r="D1117" s="231"/>
      <c r="E1117" s="230"/>
      <c r="F1117" s="230"/>
      <c r="G1117" s="230"/>
      <c r="H1117" s="230"/>
      <c r="I1117" s="230"/>
      <c r="J1117" s="230"/>
      <c r="K1117" s="230"/>
      <c r="L1117" s="230"/>
      <c r="M1117" s="230"/>
      <c r="N1117" s="230"/>
      <c r="O1117" s="230"/>
      <c r="P1117" s="230"/>
      <c r="Q1117" s="230"/>
      <c r="R1117" s="230"/>
      <c r="S1117" s="239"/>
      <c r="T1117" s="230"/>
      <c r="U1117" s="230"/>
      <c r="V1117" s="230"/>
      <c r="W1117" s="230"/>
      <c r="X1117" s="239"/>
      <c r="Y1117" s="239"/>
      <c r="Z1117" s="230"/>
      <c r="AA1117" s="230"/>
      <c r="AB1117" s="230"/>
      <c r="AC1117" s="230"/>
      <c r="AD1117" s="239"/>
    </row>
    <row r="1118" spans="1:30" ht="15.75" x14ac:dyDescent="0.25">
      <c r="A1118" s="230"/>
      <c r="B1118" s="231"/>
      <c r="C1118" s="231"/>
      <c r="D1118" s="231"/>
      <c r="E1118" s="230"/>
      <c r="F1118" s="230"/>
      <c r="G1118" s="230"/>
      <c r="H1118" s="230"/>
      <c r="I1118" s="230"/>
      <c r="J1118" s="230"/>
      <c r="K1118" s="230"/>
      <c r="L1118" s="230"/>
      <c r="M1118" s="230"/>
      <c r="N1118" s="230"/>
      <c r="O1118" s="230"/>
      <c r="P1118" s="230"/>
      <c r="Q1118" s="230"/>
      <c r="R1118" s="230"/>
      <c r="S1118" s="239"/>
      <c r="T1118" s="230"/>
      <c r="U1118" s="230"/>
      <c r="V1118" s="230"/>
      <c r="W1118" s="230"/>
      <c r="X1118" s="239"/>
      <c r="Y1118" s="239"/>
      <c r="Z1118" s="230"/>
      <c r="AA1118" s="230"/>
      <c r="AB1118" s="230"/>
      <c r="AC1118" s="230"/>
      <c r="AD1118" s="239"/>
    </row>
    <row r="1119" spans="1:30" ht="15.75" x14ac:dyDescent="0.25">
      <c r="A1119" s="230"/>
      <c r="B1119" s="231"/>
      <c r="C1119" s="231"/>
      <c r="D1119" s="231"/>
      <c r="E1119" s="230"/>
      <c r="F1119" s="230"/>
      <c r="G1119" s="230"/>
      <c r="H1119" s="230"/>
      <c r="I1119" s="230"/>
      <c r="J1119" s="230"/>
      <c r="K1119" s="230"/>
      <c r="L1119" s="230"/>
      <c r="M1119" s="230"/>
      <c r="N1119" s="230"/>
      <c r="O1119" s="230"/>
      <c r="P1119" s="230"/>
      <c r="Q1119" s="230"/>
      <c r="R1119" s="230"/>
      <c r="S1119" s="239"/>
      <c r="T1119" s="230"/>
      <c r="U1119" s="230"/>
      <c r="V1119" s="230"/>
      <c r="W1119" s="230"/>
      <c r="X1119" s="239"/>
      <c r="Y1119" s="239"/>
      <c r="Z1119" s="230"/>
      <c r="AA1119" s="230"/>
      <c r="AB1119" s="230"/>
      <c r="AC1119" s="230"/>
      <c r="AD1119" s="239"/>
    </row>
    <row r="1120" spans="1:30" ht="15.75" x14ac:dyDescent="0.25">
      <c r="A1120" s="230"/>
      <c r="B1120" s="231"/>
      <c r="C1120" s="231"/>
      <c r="D1120" s="231"/>
      <c r="E1120" s="230"/>
      <c r="F1120" s="230"/>
      <c r="G1120" s="230"/>
      <c r="H1120" s="230"/>
      <c r="I1120" s="230"/>
      <c r="J1120" s="230"/>
      <c r="K1120" s="230"/>
      <c r="L1120" s="230"/>
      <c r="M1120" s="230"/>
      <c r="N1120" s="230"/>
      <c r="O1120" s="230"/>
      <c r="P1120" s="230"/>
      <c r="Q1120" s="230"/>
      <c r="R1120" s="230"/>
      <c r="S1120" s="239"/>
      <c r="T1120" s="230"/>
      <c r="U1120" s="230"/>
      <c r="V1120" s="230"/>
      <c r="W1120" s="230"/>
      <c r="X1120" s="239"/>
      <c r="Y1120" s="239"/>
      <c r="Z1120" s="230"/>
      <c r="AA1120" s="230"/>
      <c r="AB1120" s="230"/>
      <c r="AC1120" s="230"/>
      <c r="AD1120" s="239"/>
    </row>
    <row r="1121" spans="1:30" ht="15.75" x14ac:dyDescent="0.25">
      <c r="A1121" s="230"/>
      <c r="B1121" s="231"/>
      <c r="C1121" s="231"/>
      <c r="D1121" s="231"/>
      <c r="E1121" s="230"/>
      <c r="F1121" s="230"/>
      <c r="G1121" s="230"/>
      <c r="H1121" s="230"/>
      <c r="I1121" s="230"/>
      <c r="J1121" s="230"/>
      <c r="K1121" s="230"/>
      <c r="L1121" s="230"/>
      <c r="M1121" s="230"/>
      <c r="N1121" s="230"/>
      <c r="O1121" s="230"/>
      <c r="P1121" s="230"/>
      <c r="Q1121" s="230"/>
      <c r="R1121" s="230"/>
      <c r="S1121" s="239"/>
      <c r="T1121" s="230"/>
      <c r="U1121" s="230"/>
      <c r="V1121" s="230"/>
      <c r="W1121" s="230"/>
      <c r="X1121" s="239"/>
      <c r="Y1121" s="239"/>
      <c r="Z1121" s="230"/>
      <c r="AA1121" s="230"/>
      <c r="AB1121" s="230"/>
      <c r="AC1121" s="230"/>
      <c r="AD1121" s="239"/>
    </row>
    <row r="1122" spans="1:30" ht="15.75" x14ac:dyDescent="0.25">
      <c r="A1122" s="230"/>
      <c r="B1122" s="231"/>
      <c r="C1122" s="231"/>
      <c r="D1122" s="231"/>
      <c r="E1122" s="230"/>
      <c r="F1122" s="230"/>
      <c r="G1122" s="230"/>
      <c r="H1122" s="230"/>
      <c r="I1122" s="230"/>
      <c r="J1122" s="230"/>
      <c r="K1122" s="230"/>
      <c r="L1122" s="230"/>
      <c r="M1122" s="230"/>
      <c r="N1122" s="230"/>
      <c r="O1122" s="230"/>
      <c r="P1122" s="230"/>
      <c r="Q1122" s="230"/>
      <c r="R1122" s="230"/>
      <c r="S1122" s="239"/>
      <c r="T1122" s="230"/>
      <c r="U1122" s="230"/>
      <c r="V1122" s="230"/>
      <c r="W1122" s="230"/>
      <c r="X1122" s="239"/>
      <c r="Y1122" s="239"/>
      <c r="Z1122" s="230"/>
      <c r="AA1122" s="230"/>
      <c r="AB1122" s="230"/>
      <c r="AC1122" s="230"/>
      <c r="AD1122" s="239"/>
    </row>
    <row r="1123" spans="1:30" ht="15.75" x14ac:dyDescent="0.25">
      <c r="A1123" s="230"/>
      <c r="B1123" s="231"/>
      <c r="C1123" s="231"/>
      <c r="D1123" s="231"/>
      <c r="E1123" s="230"/>
      <c r="F1123" s="230"/>
      <c r="G1123" s="230"/>
      <c r="H1123" s="230"/>
      <c r="I1123" s="230"/>
      <c r="J1123" s="230"/>
      <c r="K1123" s="230"/>
      <c r="L1123" s="230"/>
      <c r="M1123" s="230"/>
      <c r="N1123" s="230"/>
      <c r="O1123" s="230"/>
      <c r="P1123" s="230"/>
      <c r="Q1123" s="230"/>
      <c r="R1123" s="230"/>
      <c r="S1123" s="239"/>
      <c r="T1123" s="230"/>
      <c r="U1123" s="230"/>
      <c r="V1123" s="230"/>
      <c r="W1123" s="230"/>
      <c r="X1123" s="239"/>
      <c r="Y1123" s="239"/>
      <c r="Z1123" s="230"/>
      <c r="AA1123" s="230"/>
      <c r="AB1123" s="230"/>
      <c r="AC1123" s="230"/>
      <c r="AD1123" s="239"/>
    </row>
    <row r="1124" spans="1:30" ht="15.75" x14ac:dyDescent="0.25">
      <c r="A1124" s="230"/>
      <c r="B1124" s="231"/>
      <c r="C1124" s="231"/>
      <c r="D1124" s="231"/>
      <c r="E1124" s="230"/>
      <c r="F1124" s="230"/>
      <c r="G1124" s="230"/>
      <c r="H1124" s="230"/>
      <c r="I1124" s="230"/>
      <c r="J1124" s="230"/>
      <c r="K1124" s="230"/>
      <c r="L1124" s="230"/>
      <c r="M1124" s="230"/>
      <c r="N1124" s="230"/>
      <c r="O1124" s="230"/>
      <c r="P1124" s="230"/>
      <c r="Q1124" s="230"/>
      <c r="R1124" s="230"/>
      <c r="S1124" s="239"/>
      <c r="T1124" s="230"/>
      <c r="U1124" s="230"/>
      <c r="V1124" s="230"/>
      <c r="W1124" s="230"/>
      <c r="X1124" s="239"/>
      <c r="Y1124" s="239"/>
      <c r="Z1124" s="230"/>
      <c r="AA1124" s="230"/>
      <c r="AB1124" s="230"/>
      <c r="AC1124" s="230"/>
      <c r="AD1124" s="239"/>
    </row>
    <row r="1125" spans="1:30" ht="15.75" x14ac:dyDescent="0.25">
      <c r="A1125" s="230"/>
      <c r="B1125" s="231"/>
      <c r="C1125" s="231"/>
      <c r="D1125" s="231"/>
      <c r="E1125" s="230"/>
      <c r="F1125" s="230"/>
      <c r="G1125" s="230"/>
      <c r="H1125" s="230"/>
      <c r="I1125" s="230"/>
      <c r="J1125" s="230"/>
      <c r="K1125" s="230"/>
      <c r="L1125" s="230"/>
      <c r="M1125" s="230"/>
      <c r="N1125" s="230"/>
      <c r="O1125" s="230"/>
      <c r="P1125" s="230"/>
      <c r="Q1125" s="230"/>
      <c r="R1125" s="230"/>
      <c r="S1125" s="239"/>
      <c r="T1125" s="230"/>
      <c r="U1125" s="230"/>
      <c r="V1125" s="230"/>
      <c r="W1125" s="230"/>
      <c r="X1125" s="239"/>
      <c r="Y1125" s="239"/>
      <c r="Z1125" s="230"/>
      <c r="AA1125" s="230"/>
      <c r="AB1125" s="230"/>
      <c r="AC1125" s="230"/>
      <c r="AD1125" s="239"/>
    </row>
    <row r="1126" spans="1:30" ht="15.75" x14ac:dyDescent="0.25">
      <c r="A1126" s="230"/>
      <c r="B1126" s="231"/>
      <c r="C1126" s="231"/>
      <c r="D1126" s="231"/>
      <c r="E1126" s="230"/>
      <c r="F1126" s="230"/>
      <c r="G1126" s="230"/>
      <c r="H1126" s="230"/>
      <c r="I1126" s="230"/>
      <c r="J1126" s="230"/>
      <c r="K1126" s="230"/>
      <c r="L1126" s="230"/>
      <c r="M1126" s="230"/>
      <c r="N1126" s="230"/>
      <c r="O1126" s="230"/>
      <c r="P1126" s="230"/>
      <c r="Q1126" s="230"/>
      <c r="R1126" s="230"/>
      <c r="S1126" s="239"/>
      <c r="T1126" s="230"/>
      <c r="U1126" s="230"/>
      <c r="V1126" s="230"/>
      <c r="W1126" s="230"/>
      <c r="X1126" s="239"/>
      <c r="Y1126" s="239"/>
      <c r="Z1126" s="230"/>
      <c r="AA1126" s="230"/>
      <c r="AB1126" s="230"/>
      <c r="AC1126" s="230"/>
      <c r="AD1126" s="239"/>
    </row>
    <row r="1127" spans="1:30" ht="15.75" x14ac:dyDescent="0.25">
      <c r="A1127" s="230"/>
      <c r="B1127" s="231"/>
      <c r="C1127" s="231"/>
      <c r="D1127" s="231"/>
      <c r="E1127" s="230"/>
      <c r="F1127" s="230"/>
      <c r="G1127" s="230"/>
      <c r="H1127" s="230"/>
      <c r="I1127" s="230"/>
      <c r="J1127" s="230"/>
      <c r="K1127" s="230"/>
      <c r="L1127" s="230"/>
      <c r="M1127" s="230"/>
      <c r="N1127" s="230"/>
      <c r="O1127" s="230"/>
      <c r="P1127" s="230"/>
      <c r="Q1127" s="230"/>
      <c r="R1127" s="230"/>
      <c r="S1127" s="239"/>
      <c r="T1127" s="230"/>
      <c r="U1127" s="230"/>
      <c r="V1127" s="230"/>
      <c r="W1127" s="230"/>
      <c r="X1127" s="239"/>
      <c r="Y1127" s="239"/>
      <c r="Z1127" s="230"/>
      <c r="AA1127" s="230"/>
      <c r="AB1127" s="230"/>
      <c r="AC1127" s="230"/>
      <c r="AD1127" s="239"/>
    </row>
    <row r="1128" spans="1:30" ht="15.75" x14ac:dyDescent="0.25">
      <c r="A1128" s="230"/>
      <c r="B1128" s="231"/>
      <c r="C1128" s="231"/>
      <c r="D1128" s="231"/>
      <c r="E1128" s="230"/>
      <c r="F1128" s="230"/>
      <c r="G1128" s="230"/>
      <c r="H1128" s="230"/>
      <c r="I1128" s="230"/>
      <c r="J1128" s="230"/>
      <c r="K1128" s="230"/>
      <c r="L1128" s="230"/>
      <c r="M1128" s="230"/>
      <c r="N1128" s="230"/>
      <c r="O1128" s="230"/>
      <c r="P1128" s="230"/>
      <c r="Q1128" s="230"/>
      <c r="R1128" s="230"/>
      <c r="S1128" s="239"/>
      <c r="T1128" s="230"/>
      <c r="U1128" s="230"/>
      <c r="V1128" s="230"/>
      <c r="W1128" s="230"/>
      <c r="X1128" s="239"/>
      <c r="Y1128" s="239"/>
      <c r="Z1128" s="230"/>
      <c r="AA1128" s="230"/>
      <c r="AB1128" s="230"/>
      <c r="AC1128" s="230"/>
      <c r="AD1128" s="239"/>
    </row>
    <row r="1129" spans="1:30" ht="15.75" x14ac:dyDescent="0.25">
      <c r="A1129" s="230"/>
      <c r="B1129" s="231"/>
      <c r="C1129" s="231"/>
      <c r="D1129" s="231"/>
      <c r="E1129" s="230"/>
      <c r="F1129" s="230"/>
      <c r="G1129" s="230"/>
      <c r="H1129" s="230"/>
      <c r="I1129" s="230"/>
      <c r="J1129" s="230"/>
      <c r="K1129" s="230"/>
      <c r="L1129" s="230"/>
      <c r="M1129" s="230"/>
      <c r="N1129" s="230"/>
      <c r="O1129" s="230"/>
      <c r="P1129" s="230"/>
      <c r="Q1129" s="230"/>
      <c r="R1129" s="230"/>
      <c r="S1129" s="239"/>
      <c r="T1129" s="230"/>
      <c r="U1129" s="230"/>
      <c r="V1129" s="230"/>
      <c r="W1129" s="230"/>
      <c r="X1129" s="239"/>
      <c r="Y1129" s="239"/>
      <c r="Z1129" s="230"/>
      <c r="AA1129" s="230"/>
      <c r="AB1129" s="230"/>
      <c r="AC1129" s="230"/>
      <c r="AD1129" s="239"/>
    </row>
    <row r="1130" spans="1:30" ht="15.75" x14ac:dyDescent="0.25">
      <c r="A1130" s="230"/>
      <c r="B1130" s="231"/>
      <c r="C1130" s="231"/>
      <c r="D1130" s="231"/>
      <c r="E1130" s="230"/>
      <c r="F1130" s="230"/>
      <c r="G1130" s="230"/>
      <c r="H1130" s="230"/>
      <c r="I1130" s="230"/>
      <c r="J1130" s="230"/>
      <c r="K1130" s="230"/>
      <c r="L1130" s="230"/>
      <c r="M1130" s="230"/>
      <c r="N1130" s="230"/>
      <c r="O1130" s="230"/>
      <c r="P1130" s="230"/>
      <c r="Q1130" s="230"/>
      <c r="R1130" s="230"/>
      <c r="S1130" s="239"/>
      <c r="T1130" s="230"/>
      <c r="U1130" s="230"/>
      <c r="V1130" s="230"/>
      <c r="W1130" s="230"/>
      <c r="X1130" s="239"/>
      <c r="Y1130" s="239"/>
      <c r="Z1130" s="230"/>
      <c r="AA1130" s="230"/>
      <c r="AB1130" s="230"/>
      <c r="AC1130" s="230"/>
      <c r="AD1130" s="239"/>
    </row>
    <row r="1131" spans="1:30" ht="15.75" x14ac:dyDescent="0.25">
      <c r="A1131" s="230"/>
      <c r="B1131" s="231"/>
      <c r="C1131" s="231"/>
      <c r="D1131" s="231"/>
      <c r="E1131" s="230"/>
      <c r="F1131" s="230"/>
      <c r="G1131" s="230"/>
      <c r="H1131" s="230"/>
      <c r="I1131" s="230"/>
      <c r="J1131" s="230"/>
      <c r="K1131" s="230"/>
      <c r="L1131" s="230"/>
      <c r="M1131" s="230"/>
      <c r="N1131" s="230"/>
      <c r="O1131" s="230"/>
      <c r="P1131" s="230"/>
      <c r="Q1131" s="230"/>
      <c r="R1131" s="230"/>
      <c r="S1131" s="239"/>
      <c r="T1131" s="230"/>
      <c r="U1131" s="230"/>
      <c r="V1131" s="230"/>
      <c r="W1131" s="230"/>
      <c r="X1131" s="239"/>
      <c r="Y1131" s="239"/>
      <c r="Z1131" s="230"/>
      <c r="AA1131" s="230"/>
      <c r="AB1131" s="230"/>
      <c r="AC1131" s="230"/>
      <c r="AD1131" s="239"/>
    </row>
    <row r="1132" spans="1:30" ht="15.75" x14ac:dyDescent="0.25">
      <c r="A1132" s="230"/>
      <c r="B1132" s="231"/>
      <c r="C1132" s="231"/>
      <c r="D1132" s="231"/>
      <c r="E1132" s="230"/>
      <c r="F1132" s="230"/>
      <c r="G1132" s="230"/>
      <c r="H1132" s="230"/>
      <c r="I1132" s="230"/>
      <c r="J1132" s="230"/>
      <c r="K1132" s="230"/>
      <c r="L1132" s="230"/>
      <c r="M1132" s="230"/>
      <c r="N1132" s="230"/>
      <c r="O1132" s="230"/>
      <c r="P1132" s="230"/>
      <c r="Q1132" s="230"/>
      <c r="R1132" s="230"/>
      <c r="S1132" s="239"/>
      <c r="T1132" s="230"/>
      <c r="U1132" s="230"/>
      <c r="V1132" s="230"/>
      <c r="W1132" s="230"/>
      <c r="X1132" s="239"/>
      <c r="Y1132" s="239"/>
      <c r="Z1132" s="230"/>
      <c r="AA1132" s="230"/>
      <c r="AB1132" s="230"/>
      <c r="AC1132" s="230"/>
      <c r="AD1132" s="239"/>
    </row>
    <row r="1133" spans="1:30" ht="15.75" x14ac:dyDescent="0.25">
      <c r="A1133" s="230"/>
      <c r="B1133" s="231"/>
      <c r="C1133" s="231"/>
      <c r="D1133" s="231"/>
      <c r="E1133" s="230"/>
      <c r="F1133" s="230"/>
      <c r="G1133" s="230"/>
      <c r="H1133" s="230"/>
      <c r="I1133" s="230"/>
      <c r="J1133" s="230"/>
      <c r="K1133" s="230"/>
      <c r="L1133" s="230"/>
      <c r="M1133" s="230"/>
      <c r="N1133" s="230"/>
      <c r="O1133" s="230"/>
      <c r="P1133" s="230"/>
      <c r="Q1133" s="230"/>
      <c r="R1133" s="230"/>
      <c r="S1133" s="239"/>
      <c r="T1133" s="230"/>
      <c r="U1133" s="230"/>
      <c r="V1133" s="230"/>
      <c r="W1133" s="230"/>
      <c r="X1133" s="239"/>
      <c r="Y1133" s="239"/>
      <c r="Z1133" s="230"/>
      <c r="AA1133" s="230"/>
      <c r="AB1133" s="230"/>
      <c r="AC1133" s="230"/>
      <c r="AD1133" s="239"/>
    </row>
    <row r="1134" spans="1:30" ht="15.75" x14ac:dyDescent="0.25">
      <c r="A1134" s="230"/>
      <c r="B1134" s="231"/>
      <c r="C1134" s="231"/>
      <c r="D1134" s="231"/>
      <c r="E1134" s="230"/>
      <c r="F1134" s="230"/>
      <c r="G1134" s="230"/>
      <c r="H1134" s="230"/>
      <c r="I1134" s="230"/>
      <c r="J1134" s="230"/>
      <c r="K1134" s="230"/>
      <c r="L1134" s="230"/>
      <c r="M1134" s="230"/>
      <c r="N1134" s="230"/>
      <c r="O1134" s="230"/>
      <c r="P1134" s="230"/>
      <c r="Q1134" s="230"/>
      <c r="R1134" s="230"/>
      <c r="S1134" s="239"/>
      <c r="T1134" s="230"/>
      <c r="U1134" s="230"/>
      <c r="V1134" s="230"/>
      <c r="W1134" s="230"/>
      <c r="X1134" s="239"/>
      <c r="Y1134" s="239"/>
      <c r="Z1134" s="230"/>
      <c r="AA1134" s="230"/>
      <c r="AB1134" s="230"/>
      <c r="AC1134" s="230"/>
      <c r="AD1134" s="239"/>
    </row>
    <row r="1135" spans="1:30" ht="15.75" x14ac:dyDescent="0.25">
      <c r="A1135" s="230"/>
      <c r="B1135" s="231"/>
      <c r="C1135" s="231"/>
      <c r="D1135" s="231"/>
      <c r="E1135" s="230"/>
      <c r="F1135" s="230"/>
      <c r="G1135" s="230"/>
      <c r="H1135" s="230"/>
      <c r="I1135" s="230"/>
      <c r="J1135" s="230"/>
      <c r="K1135" s="230"/>
      <c r="L1135" s="230"/>
      <c r="M1135" s="230"/>
      <c r="N1135" s="230"/>
      <c r="O1135" s="230"/>
      <c r="P1135" s="230"/>
      <c r="Q1135" s="230"/>
      <c r="R1135" s="230"/>
      <c r="S1135" s="239"/>
      <c r="T1135" s="230"/>
      <c r="U1135" s="230"/>
      <c r="V1135" s="230"/>
      <c r="W1135" s="230"/>
      <c r="X1135" s="239"/>
      <c r="Y1135" s="239"/>
      <c r="Z1135" s="230"/>
      <c r="AA1135" s="230"/>
      <c r="AB1135" s="230"/>
      <c r="AC1135" s="230"/>
      <c r="AD1135" s="239"/>
    </row>
    <row r="1136" spans="1:30" ht="15.75" x14ac:dyDescent="0.25">
      <c r="A1136" s="230"/>
      <c r="B1136" s="231"/>
      <c r="C1136" s="231"/>
      <c r="D1136" s="231"/>
      <c r="E1136" s="230"/>
      <c r="F1136" s="230"/>
      <c r="G1136" s="230"/>
      <c r="H1136" s="230"/>
      <c r="I1136" s="230"/>
      <c r="J1136" s="230"/>
      <c r="K1136" s="230"/>
      <c r="L1136" s="230"/>
      <c r="M1136" s="230"/>
      <c r="N1136" s="230"/>
      <c r="O1136" s="230"/>
      <c r="P1136" s="230"/>
      <c r="Q1136" s="230"/>
      <c r="R1136" s="230"/>
      <c r="S1136" s="239"/>
      <c r="T1136" s="230"/>
      <c r="U1136" s="230"/>
      <c r="V1136" s="230"/>
      <c r="W1136" s="230"/>
      <c r="X1136" s="239"/>
      <c r="Y1136" s="239"/>
      <c r="Z1136" s="230"/>
      <c r="AA1136" s="230"/>
      <c r="AB1136" s="230"/>
      <c r="AC1136" s="230"/>
      <c r="AD1136" s="239"/>
    </row>
    <row r="1137" spans="1:30" ht="15.75" x14ac:dyDescent="0.25">
      <c r="A1137" s="230"/>
      <c r="B1137" s="231"/>
      <c r="C1137" s="231"/>
      <c r="D1137" s="231"/>
      <c r="E1137" s="230"/>
      <c r="F1137" s="230"/>
      <c r="G1137" s="230"/>
      <c r="H1137" s="230"/>
      <c r="I1137" s="230"/>
      <c r="J1137" s="230"/>
      <c r="K1137" s="230"/>
      <c r="L1137" s="230"/>
      <c r="M1137" s="230"/>
      <c r="N1137" s="230"/>
      <c r="O1137" s="230"/>
      <c r="P1137" s="230"/>
      <c r="Q1137" s="230"/>
      <c r="R1137" s="230"/>
      <c r="S1137" s="239"/>
      <c r="T1137" s="230"/>
      <c r="U1137" s="230"/>
      <c r="V1137" s="230"/>
      <c r="W1137" s="230"/>
      <c r="X1137" s="239"/>
      <c r="Y1137" s="239"/>
      <c r="Z1137" s="230"/>
      <c r="AA1137" s="230"/>
      <c r="AB1137" s="230"/>
      <c r="AC1137" s="230"/>
      <c r="AD1137" s="239"/>
    </row>
    <row r="1138" spans="1:30" ht="15.75" x14ac:dyDescent="0.25">
      <c r="A1138" s="230"/>
      <c r="B1138" s="231"/>
      <c r="C1138" s="231"/>
      <c r="D1138" s="231"/>
      <c r="E1138" s="230"/>
      <c r="F1138" s="230"/>
      <c r="G1138" s="230"/>
      <c r="H1138" s="230"/>
      <c r="I1138" s="230"/>
      <c r="J1138" s="230"/>
      <c r="K1138" s="230"/>
      <c r="L1138" s="230"/>
      <c r="M1138" s="230"/>
      <c r="N1138" s="230"/>
      <c r="O1138" s="230"/>
      <c r="P1138" s="230"/>
      <c r="Q1138" s="230"/>
      <c r="R1138" s="230"/>
      <c r="S1138" s="239"/>
      <c r="T1138" s="230"/>
      <c r="U1138" s="230"/>
      <c r="V1138" s="230"/>
      <c r="W1138" s="230"/>
      <c r="X1138" s="239"/>
      <c r="Y1138" s="239"/>
      <c r="Z1138" s="230"/>
      <c r="AA1138" s="230"/>
      <c r="AB1138" s="230"/>
      <c r="AC1138" s="230"/>
      <c r="AD1138" s="239"/>
    </row>
    <row r="1139" spans="1:30" ht="15.75" x14ac:dyDescent="0.25">
      <c r="A1139" s="230"/>
      <c r="B1139" s="231"/>
      <c r="C1139" s="231"/>
      <c r="D1139" s="231"/>
      <c r="E1139" s="230"/>
      <c r="F1139" s="230"/>
      <c r="G1139" s="230"/>
      <c r="H1139" s="230"/>
      <c r="I1139" s="230"/>
      <c r="J1139" s="230"/>
      <c r="K1139" s="230"/>
      <c r="L1139" s="230"/>
      <c r="M1139" s="230"/>
      <c r="N1139" s="230"/>
      <c r="O1139" s="230"/>
      <c r="P1139" s="230"/>
      <c r="Q1139" s="230"/>
      <c r="R1139" s="230"/>
      <c r="S1139" s="239"/>
      <c r="T1139" s="230"/>
      <c r="U1139" s="230"/>
      <c r="V1139" s="230"/>
      <c r="W1139" s="230"/>
      <c r="X1139" s="239"/>
      <c r="Y1139" s="239"/>
      <c r="Z1139" s="230"/>
      <c r="AA1139" s="230"/>
      <c r="AB1139" s="230"/>
      <c r="AC1139" s="230"/>
      <c r="AD1139" s="239"/>
    </row>
    <row r="1140" spans="1:30" ht="15.75" x14ac:dyDescent="0.25">
      <c r="A1140" s="230"/>
      <c r="B1140" s="231"/>
      <c r="C1140" s="231"/>
      <c r="D1140" s="231"/>
      <c r="E1140" s="230"/>
      <c r="F1140" s="230"/>
      <c r="G1140" s="230"/>
      <c r="H1140" s="230"/>
      <c r="I1140" s="230"/>
      <c r="J1140" s="230"/>
      <c r="K1140" s="230"/>
      <c r="L1140" s="230"/>
      <c r="M1140" s="230"/>
      <c r="N1140" s="230"/>
      <c r="O1140" s="230"/>
      <c r="P1140" s="230"/>
      <c r="Q1140" s="230"/>
      <c r="R1140" s="230"/>
      <c r="S1140" s="239"/>
      <c r="T1140" s="230"/>
      <c r="U1140" s="230"/>
      <c r="V1140" s="230"/>
      <c r="W1140" s="230"/>
      <c r="X1140" s="239"/>
      <c r="Y1140" s="239"/>
      <c r="Z1140" s="230"/>
      <c r="AA1140" s="230"/>
      <c r="AB1140" s="230"/>
      <c r="AC1140" s="230"/>
      <c r="AD1140" s="239"/>
    </row>
    <row r="1141" spans="1:30" ht="15.75" x14ac:dyDescent="0.25">
      <c r="A1141" s="230"/>
      <c r="B1141" s="231"/>
      <c r="C1141" s="231"/>
      <c r="D1141" s="231"/>
      <c r="E1141" s="230"/>
      <c r="F1141" s="230"/>
      <c r="G1141" s="230"/>
      <c r="H1141" s="230"/>
      <c r="I1141" s="230"/>
      <c r="J1141" s="230"/>
      <c r="K1141" s="230"/>
      <c r="L1141" s="230"/>
      <c r="M1141" s="230"/>
      <c r="N1141" s="230"/>
      <c r="O1141" s="230"/>
      <c r="P1141" s="230"/>
      <c r="Q1141" s="230"/>
      <c r="R1141" s="230"/>
      <c r="S1141" s="239"/>
      <c r="T1141" s="230"/>
      <c r="U1141" s="230"/>
      <c r="V1141" s="230"/>
      <c r="W1141" s="230"/>
      <c r="X1141" s="239"/>
      <c r="Y1141" s="239"/>
      <c r="Z1141" s="230"/>
      <c r="AA1141" s="230"/>
      <c r="AB1141" s="230"/>
      <c r="AC1141" s="230"/>
      <c r="AD1141" s="239"/>
    </row>
    <row r="1142" spans="1:30" ht="15.75" x14ac:dyDescent="0.25">
      <c r="A1142" s="230"/>
      <c r="B1142" s="231"/>
      <c r="C1142" s="231"/>
      <c r="D1142" s="231"/>
      <c r="E1142" s="230"/>
      <c r="F1142" s="230"/>
      <c r="G1142" s="230"/>
      <c r="H1142" s="230"/>
      <c r="I1142" s="230"/>
      <c r="J1142" s="230"/>
      <c r="K1142" s="230"/>
      <c r="L1142" s="230"/>
      <c r="M1142" s="230"/>
      <c r="N1142" s="230"/>
      <c r="O1142" s="230"/>
      <c r="P1142" s="230"/>
      <c r="Q1142" s="230"/>
      <c r="R1142" s="230"/>
      <c r="S1142" s="239"/>
      <c r="T1142" s="230"/>
      <c r="U1142" s="230"/>
      <c r="V1142" s="230"/>
      <c r="W1142" s="230"/>
      <c r="X1142" s="239"/>
      <c r="Y1142" s="239"/>
      <c r="Z1142" s="230"/>
      <c r="AA1142" s="230"/>
      <c r="AB1142" s="230"/>
      <c r="AC1142" s="230"/>
      <c r="AD1142" s="239"/>
    </row>
    <row r="1143" spans="1:30" ht="15.75" x14ac:dyDescent="0.25">
      <c r="A1143" s="230"/>
      <c r="B1143" s="231"/>
      <c r="C1143" s="231"/>
      <c r="D1143" s="231"/>
      <c r="E1143" s="230"/>
      <c r="F1143" s="230"/>
      <c r="G1143" s="230"/>
      <c r="H1143" s="230"/>
      <c r="I1143" s="230"/>
      <c r="J1143" s="230"/>
      <c r="K1143" s="230"/>
      <c r="L1143" s="230"/>
      <c r="M1143" s="230"/>
      <c r="N1143" s="230"/>
      <c r="O1143" s="230"/>
      <c r="P1143" s="230"/>
      <c r="Q1143" s="230"/>
      <c r="R1143" s="230"/>
      <c r="S1143" s="239"/>
      <c r="T1143" s="230"/>
      <c r="U1143" s="230"/>
      <c r="V1143" s="230"/>
      <c r="W1143" s="230"/>
      <c r="X1143" s="239"/>
      <c r="Y1143" s="239"/>
      <c r="Z1143" s="230"/>
      <c r="AA1143" s="230"/>
      <c r="AB1143" s="230"/>
      <c r="AC1143" s="230"/>
      <c r="AD1143" s="239"/>
    </row>
    <row r="1144" spans="1:30" ht="15.75" x14ac:dyDescent="0.25">
      <c r="A1144" s="230"/>
      <c r="B1144" s="231"/>
      <c r="C1144" s="231"/>
      <c r="D1144" s="231"/>
      <c r="E1144" s="230"/>
      <c r="F1144" s="230"/>
      <c r="G1144" s="230"/>
      <c r="H1144" s="230"/>
      <c r="I1144" s="230"/>
      <c r="J1144" s="230"/>
      <c r="K1144" s="230"/>
      <c r="L1144" s="230"/>
      <c r="M1144" s="230"/>
      <c r="N1144" s="230"/>
      <c r="O1144" s="230"/>
      <c r="P1144" s="230"/>
      <c r="Q1144" s="230"/>
      <c r="R1144" s="230"/>
      <c r="S1144" s="239"/>
      <c r="T1144" s="230"/>
      <c r="U1144" s="230"/>
      <c r="V1144" s="230"/>
      <c r="W1144" s="230"/>
      <c r="X1144" s="239"/>
      <c r="Y1144" s="239"/>
      <c r="Z1144" s="230"/>
      <c r="AA1144" s="230"/>
      <c r="AB1144" s="230"/>
      <c r="AC1144" s="230"/>
      <c r="AD1144" s="239"/>
    </row>
    <row r="1145" spans="1:30" ht="15.75" x14ac:dyDescent="0.25">
      <c r="A1145" s="230"/>
      <c r="B1145" s="231"/>
      <c r="C1145" s="231"/>
      <c r="D1145" s="231"/>
      <c r="E1145" s="230"/>
      <c r="F1145" s="230"/>
      <c r="G1145" s="230"/>
      <c r="H1145" s="230"/>
      <c r="I1145" s="230"/>
      <c r="J1145" s="230"/>
      <c r="K1145" s="230"/>
      <c r="L1145" s="230"/>
      <c r="M1145" s="230"/>
      <c r="N1145" s="230"/>
      <c r="O1145" s="230"/>
      <c r="P1145" s="230"/>
      <c r="Q1145" s="230"/>
      <c r="R1145" s="230"/>
      <c r="S1145" s="239"/>
      <c r="T1145" s="230"/>
      <c r="U1145" s="230"/>
      <c r="V1145" s="230"/>
      <c r="W1145" s="230"/>
      <c r="X1145" s="239"/>
      <c r="Y1145" s="239"/>
      <c r="Z1145" s="230"/>
      <c r="AA1145" s="230"/>
      <c r="AB1145" s="230"/>
      <c r="AC1145" s="230"/>
      <c r="AD1145" s="239"/>
    </row>
    <row r="1146" spans="1:30" ht="15.75" x14ac:dyDescent="0.25">
      <c r="A1146" s="230"/>
      <c r="B1146" s="231"/>
      <c r="C1146" s="231"/>
      <c r="D1146" s="231"/>
      <c r="E1146" s="230"/>
      <c r="F1146" s="230"/>
      <c r="G1146" s="230"/>
      <c r="H1146" s="230"/>
      <c r="I1146" s="230"/>
      <c r="J1146" s="230"/>
      <c r="K1146" s="230"/>
      <c r="L1146" s="230"/>
      <c r="M1146" s="230"/>
      <c r="N1146" s="230"/>
      <c r="O1146" s="230"/>
      <c r="P1146" s="230"/>
      <c r="Q1146" s="230"/>
      <c r="R1146" s="230"/>
      <c r="S1146" s="239"/>
      <c r="T1146" s="230"/>
      <c r="U1146" s="230"/>
      <c r="V1146" s="230"/>
      <c r="W1146" s="230"/>
      <c r="X1146" s="239"/>
      <c r="Y1146" s="239"/>
      <c r="Z1146" s="230"/>
      <c r="AA1146" s="230"/>
      <c r="AB1146" s="230"/>
      <c r="AC1146" s="230"/>
      <c r="AD1146" s="239"/>
    </row>
    <row r="1147" spans="1:30" ht="15.75" x14ac:dyDescent="0.25">
      <c r="A1147" s="230"/>
      <c r="B1147" s="231"/>
      <c r="C1147" s="231"/>
      <c r="D1147" s="231"/>
      <c r="E1147" s="230"/>
      <c r="F1147" s="230"/>
      <c r="G1147" s="230"/>
      <c r="H1147" s="230"/>
      <c r="I1147" s="230"/>
      <c r="J1147" s="230"/>
      <c r="K1147" s="230"/>
      <c r="L1147" s="230"/>
      <c r="M1147" s="230"/>
      <c r="N1147" s="230"/>
      <c r="O1147" s="230"/>
      <c r="P1147" s="230"/>
      <c r="Q1147" s="230"/>
      <c r="R1147" s="230"/>
      <c r="S1147" s="239"/>
      <c r="T1147" s="230"/>
      <c r="U1147" s="230"/>
      <c r="V1147" s="230"/>
      <c r="W1147" s="230"/>
      <c r="X1147" s="239"/>
      <c r="Y1147" s="239"/>
      <c r="Z1147" s="230"/>
      <c r="AA1147" s="230"/>
      <c r="AB1147" s="230"/>
      <c r="AC1147" s="230"/>
      <c r="AD1147" s="239"/>
    </row>
    <row r="1148" spans="1:30" ht="15.75" x14ac:dyDescent="0.25">
      <c r="A1148" s="230"/>
      <c r="B1148" s="231"/>
      <c r="C1148" s="231"/>
      <c r="D1148" s="231"/>
      <c r="E1148" s="230"/>
      <c r="F1148" s="230"/>
      <c r="G1148" s="230"/>
      <c r="H1148" s="230"/>
      <c r="I1148" s="230"/>
      <c r="J1148" s="230"/>
      <c r="K1148" s="230"/>
      <c r="L1148" s="230"/>
      <c r="M1148" s="230"/>
      <c r="N1148" s="230"/>
      <c r="O1148" s="230"/>
      <c r="P1148" s="230"/>
      <c r="Q1148" s="230"/>
      <c r="R1148" s="230"/>
      <c r="S1148" s="239"/>
      <c r="T1148" s="230"/>
      <c r="U1148" s="230"/>
      <c r="V1148" s="230"/>
      <c r="W1148" s="230"/>
      <c r="X1148" s="239"/>
      <c r="Y1148" s="239"/>
      <c r="Z1148" s="230"/>
      <c r="AA1148" s="230"/>
      <c r="AB1148" s="230"/>
      <c r="AC1148" s="230"/>
      <c r="AD1148" s="239"/>
    </row>
    <row r="1149" spans="1:30" ht="15.75" x14ac:dyDescent="0.25">
      <c r="A1149" s="230"/>
      <c r="B1149" s="231"/>
      <c r="C1149" s="231"/>
      <c r="D1149" s="231"/>
      <c r="E1149" s="230"/>
      <c r="F1149" s="230"/>
      <c r="G1149" s="230"/>
      <c r="H1149" s="230"/>
      <c r="I1149" s="230"/>
      <c r="J1149" s="230"/>
      <c r="K1149" s="230"/>
      <c r="L1149" s="230"/>
      <c r="M1149" s="230"/>
      <c r="N1149" s="230"/>
      <c r="O1149" s="230"/>
      <c r="P1149" s="230"/>
      <c r="Q1149" s="230"/>
      <c r="R1149" s="230"/>
      <c r="S1149" s="239"/>
      <c r="T1149" s="230"/>
      <c r="U1149" s="230"/>
      <c r="V1149" s="230"/>
      <c r="W1149" s="230"/>
      <c r="X1149" s="239"/>
      <c r="Y1149" s="239"/>
      <c r="Z1149" s="230"/>
      <c r="AA1149" s="230"/>
      <c r="AB1149" s="230"/>
      <c r="AC1149" s="230"/>
      <c r="AD1149" s="239"/>
    </row>
    <row r="1150" spans="1:30" ht="15.75" x14ac:dyDescent="0.25">
      <c r="A1150" s="230"/>
      <c r="B1150" s="231"/>
      <c r="C1150" s="231"/>
      <c r="D1150" s="231"/>
      <c r="E1150" s="230"/>
      <c r="F1150" s="230"/>
      <c r="G1150" s="230"/>
      <c r="H1150" s="230"/>
      <c r="I1150" s="230"/>
      <c r="J1150" s="230"/>
      <c r="K1150" s="230"/>
      <c r="L1150" s="230"/>
      <c r="M1150" s="230"/>
      <c r="N1150" s="230"/>
      <c r="O1150" s="230"/>
      <c r="P1150" s="230"/>
      <c r="Q1150" s="230"/>
      <c r="R1150" s="230"/>
      <c r="S1150" s="239"/>
      <c r="T1150" s="230"/>
      <c r="U1150" s="230"/>
      <c r="V1150" s="230"/>
      <c r="W1150" s="230"/>
      <c r="X1150" s="239"/>
      <c r="Y1150" s="239"/>
      <c r="Z1150" s="230"/>
      <c r="AA1150" s="230"/>
      <c r="AB1150" s="230"/>
      <c r="AC1150" s="230"/>
      <c r="AD1150" s="239"/>
    </row>
    <row r="1151" spans="1:30" ht="15.75" x14ac:dyDescent="0.25">
      <c r="A1151" s="230"/>
      <c r="B1151" s="231"/>
      <c r="C1151" s="231"/>
      <c r="D1151" s="231"/>
      <c r="E1151" s="230"/>
      <c r="F1151" s="230"/>
      <c r="G1151" s="230"/>
      <c r="H1151" s="230"/>
      <c r="I1151" s="230"/>
      <c r="J1151" s="230"/>
      <c r="K1151" s="230"/>
      <c r="L1151" s="230"/>
      <c r="M1151" s="230"/>
      <c r="N1151" s="230"/>
      <c r="O1151" s="230"/>
      <c r="P1151" s="230"/>
      <c r="Q1151" s="230"/>
      <c r="R1151" s="230"/>
      <c r="S1151" s="239"/>
      <c r="T1151" s="230"/>
      <c r="U1151" s="230"/>
      <c r="V1151" s="230"/>
      <c r="W1151" s="230"/>
      <c r="X1151" s="239"/>
      <c r="Y1151" s="239"/>
      <c r="Z1151" s="230"/>
      <c r="AA1151" s="230"/>
      <c r="AB1151" s="230"/>
      <c r="AC1151" s="230"/>
      <c r="AD1151" s="239"/>
    </row>
    <row r="1152" spans="1:30" ht="15.75" x14ac:dyDescent="0.25">
      <c r="A1152" s="230"/>
      <c r="B1152" s="231"/>
      <c r="C1152" s="231"/>
      <c r="D1152" s="231"/>
      <c r="E1152" s="230"/>
      <c r="F1152" s="230"/>
      <c r="G1152" s="230"/>
      <c r="H1152" s="230"/>
      <c r="I1152" s="230"/>
      <c r="J1152" s="230"/>
      <c r="K1152" s="230"/>
      <c r="L1152" s="230"/>
      <c r="M1152" s="230"/>
      <c r="N1152" s="230"/>
      <c r="O1152" s="230"/>
      <c r="P1152" s="230"/>
      <c r="Q1152" s="230"/>
      <c r="R1152" s="230"/>
      <c r="S1152" s="239"/>
      <c r="T1152" s="230"/>
      <c r="U1152" s="230"/>
      <c r="V1152" s="230"/>
      <c r="W1152" s="230"/>
      <c r="X1152" s="239"/>
      <c r="Y1152" s="239"/>
      <c r="Z1152" s="230"/>
      <c r="AA1152" s="230"/>
      <c r="AB1152" s="230"/>
      <c r="AC1152" s="230"/>
      <c r="AD1152" s="239"/>
    </row>
    <row r="1153" spans="1:30" ht="15.75" x14ac:dyDescent="0.25">
      <c r="A1153" s="230"/>
      <c r="B1153" s="231"/>
      <c r="C1153" s="231"/>
      <c r="D1153" s="231"/>
      <c r="E1153" s="230"/>
      <c r="F1153" s="230"/>
      <c r="G1153" s="230"/>
      <c r="H1153" s="230"/>
      <c r="I1153" s="230"/>
      <c r="J1153" s="230"/>
      <c r="K1153" s="230"/>
      <c r="L1153" s="230"/>
      <c r="M1153" s="230"/>
      <c r="N1153" s="230"/>
      <c r="O1153" s="230"/>
      <c r="P1153" s="230"/>
      <c r="Q1153" s="230"/>
      <c r="R1153" s="230"/>
      <c r="S1153" s="239"/>
      <c r="T1153" s="230"/>
      <c r="U1153" s="230"/>
      <c r="V1153" s="230"/>
      <c r="W1153" s="230"/>
      <c r="X1153" s="239"/>
      <c r="Y1153" s="239"/>
      <c r="Z1153" s="230"/>
      <c r="AA1153" s="230"/>
      <c r="AB1153" s="230"/>
      <c r="AC1153" s="230"/>
      <c r="AD1153" s="239"/>
    </row>
    <row r="1154" spans="1:30" ht="15.75" x14ac:dyDescent="0.25">
      <c r="A1154" s="230"/>
      <c r="B1154" s="231"/>
      <c r="C1154" s="231"/>
      <c r="D1154" s="231"/>
      <c r="E1154" s="230"/>
      <c r="F1154" s="230"/>
      <c r="G1154" s="230"/>
      <c r="H1154" s="230"/>
      <c r="I1154" s="230"/>
      <c r="J1154" s="230"/>
      <c r="K1154" s="230"/>
      <c r="L1154" s="230"/>
      <c r="M1154" s="230"/>
      <c r="N1154" s="230"/>
      <c r="O1154" s="230"/>
      <c r="P1154" s="230"/>
      <c r="Q1154" s="230"/>
      <c r="R1154" s="230"/>
      <c r="S1154" s="239"/>
      <c r="T1154" s="230"/>
      <c r="U1154" s="230"/>
      <c r="V1154" s="230"/>
      <c r="W1154" s="230"/>
      <c r="X1154" s="239"/>
      <c r="Y1154" s="239"/>
      <c r="Z1154" s="230"/>
      <c r="AA1154" s="230"/>
      <c r="AB1154" s="230"/>
      <c r="AC1154" s="230"/>
      <c r="AD1154" s="239"/>
    </row>
    <row r="1155" spans="1:30" ht="15.75" x14ac:dyDescent="0.25">
      <c r="A1155" s="230"/>
      <c r="B1155" s="231"/>
      <c r="C1155" s="231"/>
      <c r="D1155" s="231"/>
      <c r="E1155" s="230"/>
      <c r="F1155" s="230"/>
      <c r="G1155" s="230"/>
      <c r="H1155" s="230"/>
      <c r="I1155" s="230"/>
      <c r="J1155" s="230"/>
      <c r="K1155" s="230"/>
      <c r="L1155" s="230"/>
      <c r="M1155" s="230"/>
      <c r="N1155" s="230"/>
      <c r="O1155" s="230"/>
      <c r="P1155" s="230"/>
      <c r="Q1155" s="230"/>
      <c r="R1155" s="230"/>
      <c r="S1155" s="239"/>
      <c r="T1155" s="230"/>
      <c r="U1155" s="230"/>
      <c r="V1155" s="230"/>
      <c r="W1155" s="230"/>
      <c r="X1155" s="239"/>
      <c r="Y1155" s="239"/>
      <c r="Z1155" s="230"/>
      <c r="AA1155" s="230"/>
      <c r="AB1155" s="230"/>
      <c r="AC1155" s="230"/>
      <c r="AD1155" s="239"/>
    </row>
    <row r="1156" spans="1:30" ht="15.75" x14ac:dyDescent="0.25">
      <c r="A1156" s="230"/>
      <c r="B1156" s="231"/>
      <c r="C1156" s="231"/>
      <c r="D1156" s="231"/>
      <c r="E1156" s="230"/>
      <c r="F1156" s="230"/>
      <c r="G1156" s="230"/>
      <c r="H1156" s="230"/>
      <c r="I1156" s="230"/>
      <c r="J1156" s="230"/>
      <c r="K1156" s="230"/>
      <c r="L1156" s="230"/>
      <c r="M1156" s="230"/>
      <c r="N1156" s="230"/>
      <c r="O1156" s="230"/>
      <c r="P1156" s="230"/>
      <c r="Q1156" s="230"/>
      <c r="R1156" s="230"/>
      <c r="S1156" s="239"/>
      <c r="T1156" s="230"/>
      <c r="U1156" s="230"/>
      <c r="V1156" s="230"/>
      <c r="W1156" s="230"/>
      <c r="X1156" s="239"/>
      <c r="Y1156" s="239"/>
      <c r="Z1156" s="230"/>
      <c r="AA1156" s="230"/>
      <c r="AB1156" s="230"/>
      <c r="AC1156" s="230"/>
      <c r="AD1156" s="239"/>
    </row>
    <row r="1157" spans="1:30" ht="15.75" x14ac:dyDescent="0.25">
      <c r="A1157" s="230"/>
      <c r="B1157" s="231"/>
      <c r="C1157" s="231"/>
      <c r="D1157" s="231"/>
      <c r="E1157" s="230"/>
      <c r="F1157" s="230"/>
      <c r="G1157" s="230"/>
      <c r="H1157" s="230"/>
      <c r="I1157" s="230"/>
      <c r="J1157" s="230"/>
      <c r="K1157" s="230"/>
      <c r="L1157" s="230"/>
      <c r="M1157" s="230"/>
      <c r="N1157" s="230"/>
      <c r="O1157" s="230"/>
      <c r="P1157" s="230"/>
      <c r="Q1157" s="230"/>
      <c r="R1157" s="230"/>
      <c r="S1157" s="239"/>
      <c r="T1157" s="230"/>
      <c r="U1157" s="230"/>
      <c r="V1157" s="230"/>
      <c r="W1157" s="230"/>
      <c r="X1157" s="239"/>
      <c r="Y1157" s="239"/>
      <c r="Z1157" s="230"/>
      <c r="AA1157" s="230"/>
      <c r="AB1157" s="230"/>
      <c r="AC1157" s="230"/>
      <c r="AD1157" s="239"/>
    </row>
    <row r="1158" spans="1:30" ht="15.75" x14ac:dyDescent="0.25">
      <c r="A1158" s="230"/>
      <c r="B1158" s="231"/>
      <c r="C1158" s="231"/>
      <c r="D1158" s="231"/>
      <c r="E1158" s="230"/>
      <c r="F1158" s="230"/>
      <c r="G1158" s="230"/>
      <c r="H1158" s="230"/>
      <c r="I1158" s="230"/>
      <c r="J1158" s="230"/>
      <c r="K1158" s="230"/>
      <c r="L1158" s="230"/>
      <c r="M1158" s="230"/>
      <c r="N1158" s="230"/>
      <c r="O1158" s="230"/>
      <c r="P1158" s="230"/>
      <c r="Q1158" s="230"/>
      <c r="R1158" s="230"/>
      <c r="S1158" s="239"/>
      <c r="T1158" s="230"/>
      <c r="U1158" s="230"/>
      <c r="V1158" s="230"/>
      <c r="W1158" s="230"/>
      <c r="X1158" s="239"/>
      <c r="Y1158" s="239"/>
      <c r="Z1158" s="230"/>
      <c r="AA1158" s="230"/>
      <c r="AB1158" s="230"/>
      <c r="AC1158" s="230"/>
      <c r="AD1158" s="239"/>
    </row>
    <row r="1159" spans="1:30" ht="15.75" x14ac:dyDescent="0.25">
      <c r="A1159" s="230"/>
      <c r="B1159" s="231"/>
      <c r="C1159" s="231"/>
      <c r="D1159" s="231"/>
      <c r="E1159" s="230"/>
      <c r="F1159" s="230"/>
      <c r="G1159" s="230"/>
      <c r="H1159" s="230"/>
      <c r="I1159" s="230"/>
      <c r="J1159" s="230"/>
      <c r="K1159" s="230"/>
      <c r="L1159" s="230"/>
      <c r="M1159" s="230"/>
      <c r="N1159" s="230"/>
      <c r="O1159" s="230"/>
      <c r="P1159" s="230"/>
      <c r="Q1159" s="230"/>
      <c r="R1159" s="230"/>
      <c r="S1159" s="239"/>
      <c r="T1159" s="230"/>
      <c r="U1159" s="230"/>
      <c r="V1159" s="230"/>
      <c r="W1159" s="230"/>
      <c r="X1159" s="239"/>
      <c r="Y1159" s="239"/>
      <c r="Z1159" s="230"/>
      <c r="AA1159" s="230"/>
      <c r="AB1159" s="230"/>
      <c r="AC1159" s="230"/>
      <c r="AD1159" s="239"/>
    </row>
    <row r="1160" spans="1:30" ht="15.75" x14ac:dyDescent="0.25">
      <c r="A1160" s="230"/>
      <c r="B1160" s="231"/>
      <c r="C1160" s="231"/>
      <c r="D1160" s="231"/>
      <c r="E1160" s="230"/>
      <c r="F1160" s="230"/>
      <c r="G1160" s="230"/>
      <c r="H1160" s="230"/>
      <c r="I1160" s="230"/>
      <c r="J1160" s="230"/>
      <c r="K1160" s="230"/>
      <c r="L1160" s="230"/>
      <c r="M1160" s="230"/>
      <c r="N1160" s="230"/>
      <c r="O1160" s="230"/>
      <c r="P1160" s="230"/>
      <c r="Q1160" s="230"/>
      <c r="R1160" s="230"/>
      <c r="S1160" s="239"/>
      <c r="T1160" s="230"/>
      <c r="U1160" s="230"/>
      <c r="V1160" s="230"/>
      <c r="W1160" s="230"/>
      <c r="X1160" s="239"/>
      <c r="Y1160" s="239"/>
      <c r="Z1160" s="230"/>
      <c r="AA1160" s="230"/>
      <c r="AB1160" s="230"/>
      <c r="AC1160" s="230"/>
      <c r="AD1160" s="239"/>
    </row>
    <row r="1161" spans="1:30" ht="15.75" x14ac:dyDescent="0.25">
      <c r="A1161" s="230"/>
      <c r="B1161" s="231"/>
      <c r="C1161" s="231"/>
      <c r="D1161" s="231"/>
      <c r="E1161" s="230"/>
      <c r="F1161" s="230"/>
      <c r="G1161" s="230"/>
      <c r="H1161" s="230"/>
      <c r="I1161" s="230"/>
      <c r="J1161" s="230"/>
      <c r="K1161" s="230"/>
      <c r="L1161" s="230"/>
      <c r="M1161" s="230"/>
      <c r="N1161" s="230"/>
      <c r="O1161" s="230"/>
      <c r="P1161" s="230"/>
      <c r="Q1161" s="230"/>
      <c r="R1161" s="230"/>
      <c r="S1161" s="239"/>
      <c r="T1161" s="230"/>
      <c r="U1161" s="230"/>
      <c r="V1161" s="230"/>
      <c r="W1161" s="230"/>
      <c r="X1161" s="239"/>
      <c r="Y1161" s="239"/>
      <c r="Z1161" s="230"/>
      <c r="AA1161" s="230"/>
      <c r="AB1161" s="230"/>
      <c r="AC1161" s="230"/>
      <c r="AD1161" s="239"/>
    </row>
    <row r="1162" spans="1:30" ht="15.75" x14ac:dyDescent="0.25">
      <c r="A1162" s="230"/>
      <c r="B1162" s="231"/>
      <c r="C1162" s="231"/>
      <c r="D1162" s="231"/>
      <c r="E1162" s="230"/>
      <c r="F1162" s="230"/>
      <c r="G1162" s="230"/>
      <c r="H1162" s="230"/>
      <c r="I1162" s="230"/>
      <c r="J1162" s="230"/>
      <c r="K1162" s="230"/>
      <c r="L1162" s="230"/>
      <c r="M1162" s="230"/>
      <c r="N1162" s="230"/>
      <c r="O1162" s="230"/>
      <c r="P1162" s="230"/>
      <c r="Q1162" s="230"/>
      <c r="R1162" s="230"/>
      <c r="S1162" s="239"/>
      <c r="T1162" s="230"/>
      <c r="U1162" s="230"/>
      <c r="V1162" s="230"/>
      <c r="W1162" s="230"/>
      <c r="X1162" s="239"/>
      <c r="Y1162" s="239"/>
      <c r="Z1162" s="230"/>
      <c r="AA1162" s="230"/>
      <c r="AB1162" s="230"/>
      <c r="AC1162" s="230"/>
      <c r="AD1162" s="239"/>
    </row>
    <row r="1163" spans="1:30" ht="15.75" x14ac:dyDescent="0.25">
      <c r="A1163" s="230"/>
      <c r="B1163" s="231"/>
      <c r="C1163" s="231"/>
      <c r="D1163" s="231"/>
      <c r="E1163" s="230"/>
      <c r="F1163" s="230"/>
      <c r="G1163" s="230"/>
      <c r="H1163" s="230"/>
      <c r="I1163" s="230"/>
      <c r="J1163" s="230"/>
      <c r="K1163" s="230"/>
      <c r="L1163" s="230"/>
      <c r="M1163" s="230"/>
      <c r="N1163" s="230"/>
      <c r="O1163" s="230"/>
      <c r="P1163" s="230"/>
      <c r="Q1163" s="230"/>
      <c r="R1163" s="230"/>
      <c r="S1163" s="239"/>
      <c r="T1163" s="230"/>
      <c r="U1163" s="230"/>
      <c r="V1163" s="230"/>
      <c r="W1163" s="230"/>
      <c r="X1163" s="239"/>
      <c r="Y1163" s="239"/>
      <c r="Z1163" s="230"/>
      <c r="AA1163" s="230"/>
      <c r="AB1163" s="230"/>
      <c r="AC1163" s="230"/>
      <c r="AD1163" s="239"/>
    </row>
    <row r="1164" spans="1:30" ht="15.75" x14ac:dyDescent="0.25">
      <c r="A1164" s="230"/>
      <c r="B1164" s="231"/>
      <c r="C1164" s="231"/>
      <c r="D1164" s="231"/>
      <c r="E1164" s="230"/>
      <c r="F1164" s="230"/>
      <c r="G1164" s="230"/>
      <c r="H1164" s="230"/>
      <c r="I1164" s="230"/>
      <c r="J1164" s="230"/>
      <c r="K1164" s="230"/>
      <c r="L1164" s="230"/>
      <c r="M1164" s="230"/>
      <c r="N1164" s="230"/>
      <c r="O1164" s="230"/>
      <c r="P1164" s="230"/>
      <c r="Q1164" s="230"/>
      <c r="R1164" s="230"/>
      <c r="S1164" s="239"/>
      <c r="T1164" s="230"/>
      <c r="U1164" s="230"/>
      <c r="V1164" s="230"/>
      <c r="W1164" s="230"/>
      <c r="X1164" s="239"/>
      <c r="Y1164" s="239"/>
      <c r="Z1164" s="230"/>
      <c r="AA1164" s="230"/>
      <c r="AB1164" s="230"/>
      <c r="AC1164" s="230"/>
      <c r="AD1164" s="239"/>
    </row>
    <row r="1165" spans="1:30" ht="15.75" x14ac:dyDescent="0.25">
      <c r="A1165" s="230"/>
      <c r="B1165" s="231"/>
      <c r="C1165" s="231"/>
      <c r="D1165" s="231"/>
      <c r="E1165" s="230"/>
      <c r="F1165" s="230"/>
      <c r="G1165" s="230"/>
      <c r="H1165" s="230"/>
      <c r="I1165" s="230"/>
      <c r="J1165" s="230"/>
      <c r="K1165" s="230"/>
      <c r="L1165" s="230"/>
      <c r="M1165" s="230"/>
      <c r="N1165" s="230"/>
      <c r="O1165" s="230"/>
      <c r="P1165" s="230"/>
      <c r="Q1165" s="230"/>
      <c r="R1165" s="230"/>
      <c r="S1165" s="239"/>
      <c r="T1165" s="230"/>
      <c r="U1165" s="230"/>
      <c r="V1165" s="230"/>
      <c r="W1165" s="230"/>
      <c r="X1165" s="239"/>
      <c r="Y1165" s="239"/>
      <c r="Z1165" s="230"/>
      <c r="AA1165" s="230"/>
      <c r="AB1165" s="230"/>
      <c r="AC1165" s="230"/>
      <c r="AD1165" s="239"/>
    </row>
    <row r="1166" spans="1:30" ht="15.75" x14ac:dyDescent="0.25">
      <c r="A1166" s="230"/>
      <c r="B1166" s="231"/>
      <c r="C1166" s="231"/>
      <c r="D1166" s="231"/>
      <c r="E1166" s="230"/>
      <c r="F1166" s="230"/>
      <c r="G1166" s="230"/>
      <c r="H1166" s="230"/>
      <c r="I1166" s="230"/>
      <c r="J1166" s="230"/>
      <c r="K1166" s="230"/>
      <c r="L1166" s="230"/>
      <c r="M1166" s="230"/>
      <c r="N1166" s="230"/>
      <c r="O1166" s="230"/>
      <c r="P1166" s="230"/>
      <c r="Q1166" s="230"/>
      <c r="R1166" s="230"/>
      <c r="S1166" s="239"/>
      <c r="T1166" s="230"/>
      <c r="U1166" s="230"/>
      <c r="V1166" s="230"/>
      <c r="W1166" s="230"/>
      <c r="X1166" s="239"/>
      <c r="Y1166" s="239"/>
      <c r="Z1166" s="230"/>
      <c r="AA1166" s="230"/>
      <c r="AB1166" s="230"/>
      <c r="AC1166" s="230"/>
      <c r="AD1166" s="239"/>
    </row>
    <row r="1167" spans="1:30" ht="15.75" x14ac:dyDescent="0.25">
      <c r="A1167" s="230"/>
      <c r="B1167" s="231"/>
      <c r="C1167" s="231"/>
      <c r="D1167" s="231"/>
      <c r="E1167" s="230"/>
      <c r="F1167" s="230"/>
      <c r="G1167" s="230"/>
      <c r="H1167" s="230"/>
      <c r="I1167" s="230"/>
      <c r="J1167" s="230"/>
      <c r="K1167" s="230"/>
      <c r="L1167" s="230"/>
      <c r="M1167" s="230"/>
      <c r="N1167" s="230"/>
      <c r="O1167" s="230"/>
      <c r="P1167" s="230"/>
      <c r="Q1167" s="230"/>
      <c r="R1167" s="230"/>
      <c r="S1167" s="239"/>
      <c r="T1167" s="230"/>
      <c r="U1167" s="230"/>
      <c r="V1167" s="230"/>
      <c r="W1167" s="230"/>
      <c r="X1167" s="239"/>
      <c r="Y1167" s="239"/>
      <c r="Z1167" s="230"/>
      <c r="AA1167" s="230"/>
      <c r="AB1167" s="230"/>
      <c r="AC1167" s="230"/>
      <c r="AD1167" s="239"/>
    </row>
    <row r="1168" spans="1:30" ht="15.75" x14ac:dyDescent="0.25">
      <c r="A1168" s="230"/>
      <c r="B1168" s="231"/>
      <c r="C1168" s="231"/>
      <c r="D1168" s="231"/>
      <c r="E1168" s="230"/>
      <c r="F1168" s="230"/>
      <c r="G1168" s="230"/>
      <c r="H1168" s="230"/>
      <c r="I1168" s="230"/>
      <c r="J1168" s="230"/>
      <c r="K1168" s="230"/>
      <c r="L1168" s="230"/>
      <c r="M1168" s="230"/>
      <c r="N1168" s="230"/>
      <c r="O1168" s="230"/>
      <c r="P1168" s="230"/>
      <c r="Q1168" s="230"/>
      <c r="R1168" s="230"/>
      <c r="S1168" s="239"/>
      <c r="T1168" s="230"/>
      <c r="U1168" s="230"/>
      <c r="V1168" s="230"/>
      <c r="W1168" s="230"/>
      <c r="X1168" s="239"/>
      <c r="Y1168" s="239"/>
      <c r="Z1168" s="230"/>
      <c r="AA1168" s="230"/>
      <c r="AB1168" s="230"/>
      <c r="AC1168" s="230"/>
      <c r="AD1168" s="239"/>
    </row>
    <row r="1169" spans="1:30" ht="15.75" x14ac:dyDescent="0.25">
      <c r="A1169" s="230"/>
      <c r="B1169" s="231"/>
      <c r="C1169" s="231"/>
      <c r="D1169" s="231"/>
      <c r="E1169" s="230"/>
      <c r="F1169" s="230"/>
      <c r="G1169" s="230"/>
      <c r="H1169" s="230"/>
      <c r="I1169" s="230"/>
      <c r="J1169" s="230"/>
      <c r="K1169" s="230"/>
      <c r="L1169" s="230"/>
      <c r="M1169" s="230"/>
      <c r="N1169" s="230"/>
      <c r="O1169" s="230"/>
      <c r="P1169" s="230"/>
      <c r="Q1169" s="230"/>
      <c r="R1169" s="230"/>
      <c r="S1169" s="239"/>
      <c r="T1169" s="230"/>
      <c r="U1169" s="230"/>
      <c r="V1169" s="230"/>
      <c r="W1169" s="230"/>
      <c r="X1169" s="239"/>
      <c r="Y1169" s="239"/>
      <c r="Z1169" s="230"/>
      <c r="AA1169" s="230"/>
      <c r="AB1169" s="230"/>
      <c r="AC1169" s="230"/>
      <c r="AD1169" s="239"/>
    </row>
    <row r="1170" spans="1:30" ht="15.75" x14ac:dyDescent="0.25">
      <c r="A1170" s="230"/>
      <c r="B1170" s="231"/>
      <c r="C1170" s="231"/>
      <c r="D1170" s="231"/>
      <c r="E1170" s="230"/>
      <c r="F1170" s="230"/>
      <c r="G1170" s="230"/>
      <c r="H1170" s="230"/>
      <c r="I1170" s="230"/>
      <c r="J1170" s="230"/>
      <c r="K1170" s="230"/>
      <c r="L1170" s="230"/>
      <c r="M1170" s="230"/>
      <c r="N1170" s="230"/>
      <c r="O1170" s="230"/>
      <c r="P1170" s="230"/>
      <c r="Q1170" s="230"/>
      <c r="R1170" s="230"/>
      <c r="S1170" s="239"/>
      <c r="T1170" s="230"/>
      <c r="U1170" s="230"/>
      <c r="V1170" s="230"/>
      <c r="W1170" s="230"/>
      <c r="X1170" s="239"/>
      <c r="Y1170" s="239"/>
      <c r="Z1170" s="230"/>
      <c r="AA1170" s="230"/>
      <c r="AB1170" s="230"/>
      <c r="AC1170" s="230"/>
      <c r="AD1170" s="239"/>
    </row>
    <row r="1171" spans="1:30" ht="15.75" x14ac:dyDescent="0.25">
      <c r="A1171" s="230"/>
      <c r="B1171" s="231"/>
      <c r="C1171" s="231"/>
      <c r="D1171" s="231"/>
      <c r="E1171" s="230"/>
      <c r="F1171" s="230"/>
      <c r="G1171" s="230"/>
      <c r="H1171" s="230"/>
      <c r="I1171" s="230"/>
      <c r="J1171" s="230"/>
      <c r="K1171" s="230"/>
      <c r="L1171" s="230"/>
      <c r="M1171" s="230"/>
      <c r="N1171" s="230"/>
      <c r="O1171" s="230"/>
      <c r="P1171" s="230"/>
      <c r="Q1171" s="230"/>
      <c r="R1171" s="230"/>
      <c r="S1171" s="239"/>
      <c r="T1171" s="230"/>
      <c r="U1171" s="230"/>
      <c r="V1171" s="230"/>
      <c r="W1171" s="230"/>
      <c r="X1171" s="239"/>
      <c r="Y1171" s="239"/>
      <c r="Z1171" s="230"/>
      <c r="AA1171" s="230"/>
      <c r="AB1171" s="230"/>
      <c r="AC1171" s="230"/>
      <c r="AD1171" s="239"/>
    </row>
    <row r="1172" spans="1:30" ht="15.75" x14ac:dyDescent="0.25">
      <c r="A1172" s="230"/>
      <c r="B1172" s="231"/>
      <c r="C1172" s="231"/>
      <c r="D1172" s="231"/>
      <c r="E1172" s="230"/>
      <c r="F1172" s="230"/>
      <c r="G1172" s="230"/>
      <c r="H1172" s="230"/>
      <c r="I1172" s="230"/>
      <c r="J1172" s="230"/>
      <c r="K1172" s="230"/>
      <c r="L1172" s="230"/>
      <c r="M1172" s="230"/>
      <c r="N1172" s="230"/>
      <c r="O1172" s="230"/>
      <c r="P1172" s="230"/>
      <c r="Q1172" s="230"/>
      <c r="R1172" s="230"/>
      <c r="S1172" s="239"/>
      <c r="T1172" s="230"/>
      <c r="U1172" s="230"/>
      <c r="V1172" s="230"/>
      <c r="W1172" s="230"/>
      <c r="X1172" s="239"/>
      <c r="Y1172" s="239"/>
      <c r="Z1172" s="230"/>
      <c r="AA1172" s="230"/>
      <c r="AB1172" s="230"/>
      <c r="AC1172" s="230"/>
      <c r="AD1172" s="239"/>
    </row>
    <row r="1173" spans="1:30" ht="15.75" x14ac:dyDescent="0.25">
      <c r="A1173" s="230"/>
      <c r="B1173" s="231"/>
      <c r="C1173" s="231"/>
      <c r="D1173" s="231"/>
      <c r="E1173" s="230"/>
      <c r="F1173" s="230"/>
      <c r="G1173" s="230"/>
      <c r="H1173" s="230"/>
      <c r="I1173" s="230"/>
      <c r="J1173" s="230"/>
      <c r="K1173" s="230"/>
      <c r="L1173" s="230"/>
      <c r="M1173" s="230"/>
      <c r="N1173" s="230"/>
      <c r="O1173" s="230"/>
      <c r="P1173" s="230"/>
      <c r="Q1173" s="230"/>
      <c r="R1173" s="230"/>
      <c r="S1173" s="239"/>
      <c r="T1173" s="230"/>
      <c r="U1173" s="230"/>
      <c r="V1173" s="230"/>
      <c r="W1173" s="230"/>
      <c r="X1173" s="239"/>
      <c r="Y1173" s="239"/>
      <c r="Z1173" s="230"/>
      <c r="AA1173" s="230"/>
      <c r="AB1173" s="230"/>
      <c r="AC1173" s="230"/>
      <c r="AD1173" s="239"/>
    </row>
    <row r="1174" spans="1:30" ht="15.75" x14ac:dyDescent="0.25">
      <c r="A1174" s="230"/>
      <c r="B1174" s="231"/>
      <c r="C1174" s="231"/>
      <c r="D1174" s="231"/>
      <c r="E1174" s="230"/>
      <c r="F1174" s="230"/>
      <c r="G1174" s="230"/>
      <c r="H1174" s="230"/>
      <c r="I1174" s="230"/>
      <c r="J1174" s="230"/>
      <c r="K1174" s="230"/>
      <c r="L1174" s="230"/>
      <c r="M1174" s="230"/>
      <c r="N1174" s="230"/>
      <c r="O1174" s="230"/>
      <c r="P1174" s="230"/>
      <c r="Q1174" s="230"/>
      <c r="R1174" s="230"/>
      <c r="S1174" s="239"/>
      <c r="T1174" s="230"/>
      <c r="U1174" s="230"/>
      <c r="V1174" s="230"/>
      <c r="W1174" s="230"/>
      <c r="X1174" s="239"/>
      <c r="Y1174" s="239"/>
      <c r="Z1174" s="230"/>
      <c r="AA1174" s="230"/>
      <c r="AB1174" s="230"/>
      <c r="AC1174" s="230"/>
      <c r="AD1174" s="239"/>
    </row>
    <row r="1175" spans="1:30" ht="15.75" x14ac:dyDescent="0.25">
      <c r="A1175" s="230"/>
      <c r="B1175" s="231"/>
      <c r="C1175" s="231"/>
      <c r="D1175" s="231"/>
      <c r="E1175" s="230"/>
      <c r="F1175" s="230"/>
      <c r="G1175" s="230"/>
      <c r="H1175" s="230"/>
      <c r="I1175" s="230"/>
      <c r="J1175" s="230"/>
      <c r="K1175" s="230"/>
      <c r="L1175" s="230"/>
      <c r="M1175" s="230"/>
      <c r="N1175" s="230"/>
      <c r="O1175" s="230"/>
      <c r="P1175" s="230"/>
      <c r="Q1175" s="230"/>
      <c r="R1175" s="230"/>
      <c r="S1175" s="239"/>
      <c r="T1175" s="230"/>
      <c r="U1175" s="230"/>
      <c r="V1175" s="230"/>
      <c r="W1175" s="230"/>
      <c r="X1175" s="239"/>
      <c r="Y1175" s="239"/>
      <c r="Z1175" s="230"/>
      <c r="AA1175" s="230"/>
      <c r="AB1175" s="230"/>
      <c r="AC1175" s="230"/>
      <c r="AD1175" s="239"/>
    </row>
    <row r="1176" spans="1:30" ht="15.75" x14ac:dyDescent="0.25">
      <c r="A1176" s="230"/>
      <c r="B1176" s="231"/>
      <c r="C1176" s="231"/>
      <c r="D1176" s="231"/>
      <c r="E1176" s="230"/>
      <c r="F1176" s="230"/>
      <c r="G1176" s="230"/>
      <c r="H1176" s="230"/>
      <c r="I1176" s="230"/>
      <c r="J1176" s="230"/>
      <c r="K1176" s="230"/>
      <c r="L1176" s="230"/>
      <c r="M1176" s="230"/>
      <c r="N1176" s="230"/>
      <c r="O1176" s="230"/>
      <c r="P1176" s="230"/>
      <c r="Q1176" s="230"/>
      <c r="R1176" s="230"/>
      <c r="S1176" s="239"/>
      <c r="T1176" s="230"/>
      <c r="U1176" s="230"/>
      <c r="V1176" s="230"/>
      <c r="W1176" s="230"/>
      <c r="X1176" s="239"/>
      <c r="Y1176" s="239"/>
      <c r="Z1176" s="230"/>
      <c r="AA1176" s="230"/>
      <c r="AB1176" s="230"/>
      <c r="AC1176" s="230"/>
      <c r="AD1176" s="239"/>
    </row>
    <row r="1177" spans="1:30" ht="15.75" x14ac:dyDescent="0.25">
      <c r="A1177" s="230"/>
      <c r="B1177" s="231"/>
      <c r="C1177" s="231"/>
      <c r="D1177" s="231"/>
      <c r="E1177" s="230"/>
      <c r="F1177" s="230"/>
      <c r="G1177" s="230"/>
      <c r="H1177" s="230"/>
      <c r="I1177" s="230"/>
      <c r="J1177" s="230"/>
      <c r="K1177" s="230"/>
      <c r="L1177" s="230"/>
      <c r="M1177" s="230"/>
      <c r="N1177" s="230"/>
      <c r="O1177" s="230"/>
      <c r="P1177" s="230"/>
      <c r="Q1177" s="230"/>
      <c r="R1177" s="230"/>
      <c r="S1177" s="239"/>
      <c r="T1177" s="230"/>
      <c r="U1177" s="230"/>
      <c r="V1177" s="230"/>
      <c r="W1177" s="230"/>
      <c r="X1177" s="239"/>
      <c r="Y1177" s="239"/>
      <c r="Z1177" s="230"/>
      <c r="AA1177" s="230"/>
      <c r="AB1177" s="230"/>
      <c r="AC1177" s="230"/>
      <c r="AD1177" s="239"/>
    </row>
    <row r="1178" spans="1:30" ht="15.75" x14ac:dyDescent="0.25">
      <c r="A1178" s="230"/>
      <c r="B1178" s="231"/>
      <c r="C1178" s="231"/>
      <c r="D1178" s="231"/>
      <c r="E1178" s="230"/>
      <c r="F1178" s="230"/>
      <c r="G1178" s="230"/>
      <c r="H1178" s="230"/>
      <c r="I1178" s="230"/>
      <c r="J1178" s="230"/>
      <c r="K1178" s="230"/>
      <c r="L1178" s="230"/>
      <c r="M1178" s="230"/>
      <c r="N1178" s="230"/>
      <c r="O1178" s="230"/>
      <c r="P1178" s="230"/>
      <c r="Q1178" s="230"/>
      <c r="R1178" s="230"/>
      <c r="S1178" s="239"/>
      <c r="T1178" s="230"/>
      <c r="U1178" s="230"/>
      <c r="V1178" s="230"/>
      <c r="W1178" s="230"/>
      <c r="X1178" s="239"/>
      <c r="Y1178" s="239"/>
      <c r="Z1178" s="230"/>
      <c r="AA1178" s="230"/>
      <c r="AB1178" s="230"/>
      <c r="AC1178" s="230"/>
      <c r="AD1178" s="239"/>
    </row>
    <row r="1179" spans="1:30" ht="15.75" x14ac:dyDescent="0.25">
      <c r="A1179" s="230"/>
      <c r="B1179" s="231"/>
      <c r="C1179" s="231"/>
      <c r="D1179" s="231"/>
      <c r="E1179" s="230"/>
      <c r="F1179" s="230"/>
      <c r="G1179" s="230"/>
      <c r="H1179" s="230"/>
      <c r="I1179" s="230"/>
      <c r="J1179" s="230"/>
      <c r="K1179" s="230"/>
      <c r="L1179" s="230"/>
      <c r="M1179" s="230"/>
      <c r="N1179" s="230"/>
      <c r="O1179" s="230"/>
      <c r="P1179" s="230"/>
      <c r="Q1179" s="230"/>
      <c r="R1179" s="230"/>
      <c r="S1179" s="239"/>
      <c r="T1179" s="230"/>
      <c r="U1179" s="230"/>
      <c r="V1179" s="230"/>
      <c r="W1179" s="230"/>
      <c r="X1179" s="239"/>
      <c r="Y1179" s="239"/>
      <c r="Z1179" s="230"/>
      <c r="AA1179" s="230"/>
      <c r="AB1179" s="230"/>
      <c r="AC1179" s="230"/>
      <c r="AD1179" s="239"/>
    </row>
    <row r="1180" spans="1:30" ht="15.75" x14ac:dyDescent="0.25">
      <c r="A1180" s="230"/>
      <c r="B1180" s="231"/>
      <c r="C1180" s="231"/>
      <c r="D1180" s="231"/>
      <c r="E1180" s="230"/>
      <c r="F1180" s="230"/>
      <c r="G1180" s="230"/>
      <c r="H1180" s="230"/>
      <c r="I1180" s="230"/>
      <c r="J1180" s="230"/>
      <c r="K1180" s="230"/>
      <c r="L1180" s="230"/>
      <c r="M1180" s="230"/>
      <c r="N1180" s="230"/>
      <c r="O1180" s="230"/>
      <c r="P1180" s="230"/>
      <c r="Q1180" s="230"/>
      <c r="R1180" s="230"/>
      <c r="S1180" s="239"/>
      <c r="T1180" s="230"/>
      <c r="U1180" s="230"/>
      <c r="V1180" s="230"/>
      <c r="W1180" s="230"/>
      <c r="X1180" s="239"/>
      <c r="Y1180" s="239"/>
      <c r="Z1180" s="230"/>
      <c r="AA1180" s="230"/>
      <c r="AB1180" s="230"/>
      <c r="AC1180" s="230"/>
      <c r="AD1180" s="239"/>
    </row>
    <row r="1181" spans="1:30" ht="15.75" x14ac:dyDescent="0.25">
      <c r="A1181" s="230"/>
      <c r="B1181" s="231"/>
      <c r="C1181" s="231"/>
      <c r="D1181" s="231"/>
      <c r="E1181" s="230"/>
      <c r="F1181" s="230"/>
      <c r="G1181" s="230"/>
      <c r="H1181" s="230"/>
      <c r="I1181" s="230"/>
      <c r="J1181" s="230"/>
      <c r="K1181" s="230"/>
      <c r="L1181" s="230"/>
      <c r="M1181" s="230"/>
      <c r="N1181" s="230"/>
      <c r="O1181" s="230"/>
      <c r="P1181" s="230"/>
      <c r="Q1181" s="230"/>
      <c r="R1181" s="230"/>
      <c r="S1181" s="239"/>
      <c r="T1181" s="230"/>
      <c r="U1181" s="230"/>
      <c r="V1181" s="230"/>
      <c r="W1181" s="230"/>
      <c r="X1181" s="239"/>
      <c r="Y1181" s="239"/>
      <c r="Z1181" s="230"/>
      <c r="AA1181" s="230"/>
      <c r="AB1181" s="230"/>
      <c r="AC1181" s="230"/>
      <c r="AD1181" s="239"/>
    </row>
    <row r="1182" spans="1:30" ht="15.75" x14ac:dyDescent="0.25">
      <c r="A1182" s="230"/>
      <c r="B1182" s="231"/>
      <c r="C1182" s="231"/>
      <c r="D1182" s="231"/>
      <c r="E1182" s="230"/>
      <c r="F1182" s="230"/>
      <c r="G1182" s="230"/>
      <c r="H1182" s="230"/>
      <c r="I1182" s="230"/>
      <c r="J1182" s="230"/>
      <c r="K1182" s="230"/>
      <c r="L1182" s="230"/>
      <c r="M1182" s="230"/>
      <c r="N1182" s="230"/>
      <c r="O1182" s="230"/>
      <c r="P1182" s="230"/>
      <c r="Q1182" s="230"/>
      <c r="R1182" s="230"/>
      <c r="S1182" s="239"/>
      <c r="T1182" s="230"/>
      <c r="U1182" s="230"/>
      <c r="V1182" s="230"/>
      <c r="W1182" s="230"/>
      <c r="X1182" s="239"/>
      <c r="Y1182" s="239"/>
      <c r="Z1182" s="230"/>
      <c r="AA1182" s="230"/>
      <c r="AB1182" s="230"/>
      <c r="AC1182" s="230"/>
      <c r="AD1182" s="239"/>
    </row>
    <row r="1183" spans="1:30" ht="15.75" x14ac:dyDescent="0.25">
      <c r="A1183" s="230"/>
      <c r="B1183" s="231"/>
      <c r="C1183" s="231"/>
      <c r="D1183" s="231"/>
      <c r="E1183" s="230"/>
      <c r="F1183" s="230"/>
      <c r="G1183" s="230"/>
      <c r="H1183" s="230"/>
      <c r="I1183" s="230"/>
      <c r="J1183" s="230"/>
      <c r="K1183" s="230"/>
      <c r="L1183" s="230"/>
      <c r="M1183" s="230"/>
      <c r="N1183" s="230"/>
      <c r="O1183" s="230"/>
      <c r="P1183" s="230"/>
      <c r="Q1183" s="230"/>
      <c r="R1183" s="230"/>
      <c r="S1183" s="239"/>
      <c r="T1183" s="230"/>
      <c r="U1183" s="230"/>
      <c r="V1183" s="230"/>
      <c r="W1183" s="230"/>
      <c r="X1183" s="239"/>
      <c r="Y1183" s="239"/>
      <c r="Z1183" s="230"/>
      <c r="AA1183" s="230"/>
      <c r="AB1183" s="230"/>
      <c r="AC1183" s="230"/>
      <c r="AD1183" s="239"/>
    </row>
    <row r="1184" spans="1:30" ht="15.75" x14ac:dyDescent="0.25">
      <c r="A1184" s="230"/>
      <c r="B1184" s="231"/>
      <c r="C1184" s="231"/>
      <c r="D1184" s="231"/>
      <c r="E1184" s="230"/>
      <c r="F1184" s="230"/>
      <c r="G1184" s="230"/>
      <c r="H1184" s="230"/>
      <c r="I1184" s="230"/>
      <c r="J1184" s="230"/>
      <c r="K1184" s="230"/>
      <c r="L1184" s="230"/>
      <c r="M1184" s="230"/>
      <c r="N1184" s="230"/>
      <c r="O1184" s="230"/>
      <c r="P1184" s="230"/>
      <c r="Q1184" s="230"/>
      <c r="R1184" s="230"/>
      <c r="S1184" s="239"/>
      <c r="T1184" s="230"/>
      <c r="U1184" s="230"/>
      <c r="V1184" s="230"/>
      <c r="W1184" s="230"/>
      <c r="X1184" s="239"/>
      <c r="Y1184" s="239"/>
      <c r="Z1184" s="230"/>
      <c r="AA1184" s="230"/>
      <c r="AB1184" s="230"/>
      <c r="AC1184" s="230"/>
      <c r="AD1184" s="239"/>
    </row>
    <row r="1185" spans="1:30" ht="15.75" x14ac:dyDescent="0.25">
      <c r="A1185" s="230"/>
      <c r="B1185" s="231"/>
      <c r="C1185" s="231"/>
      <c r="D1185" s="231"/>
      <c r="E1185" s="230"/>
      <c r="F1185" s="230"/>
      <c r="G1185" s="230"/>
      <c r="H1185" s="230"/>
      <c r="I1185" s="230"/>
      <c r="J1185" s="230"/>
      <c r="K1185" s="230"/>
      <c r="L1185" s="230"/>
      <c r="M1185" s="230"/>
      <c r="N1185" s="230"/>
      <c r="O1185" s="230"/>
      <c r="P1185" s="230"/>
      <c r="Q1185" s="230"/>
      <c r="R1185" s="230"/>
      <c r="S1185" s="239"/>
      <c r="T1185" s="230"/>
      <c r="U1185" s="230"/>
      <c r="V1185" s="230"/>
      <c r="W1185" s="230"/>
      <c r="X1185" s="239"/>
      <c r="Y1185" s="239"/>
      <c r="Z1185" s="230"/>
      <c r="AA1185" s="230"/>
      <c r="AB1185" s="230"/>
      <c r="AC1185" s="230"/>
      <c r="AD1185" s="239"/>
    </row>
    <row r="1186" spans="1:30" ht="15.75" x14ac:dyDescent="0.25">
      <c r="A1186" s="230"/>
      <c r="B1186" s="231"/>
      <c r="C1186" s="231"/>
      <c r="D1186" s="231"/>
      <c r="E1186" s="230"/>
      <c r="F1186" s="230"/>
      <c r="G1186" s="230"/>
      <c r="H1186" s="230"/>
      <c r="I1186" s="230"/>
      <c r="J1186" s="230"/>
      <c r="K1186" s="230"/>
      <c r="L1186" s="230"/>
      <c r="M1186" s="230"/>
      <c r="N1186" s="230"/>
      <c r="O1186" s="230"/>
      <c r="P1186" s="230"/>
      <c r="Q1186" s="230"/>
      <c r="R1186" s="230"/>
      <c r="S1186" s="239"/>
      <c r="T1186" s="230"/>
      <c r="U1186" s="230"/>
      <c r="V1186" s="230"/>
      <c r="W1186" s="230"/>
      <c r="X1186" s="239"/>
      <c r="Y1186" s="239"/>
      <c r="Z1186" s="230"/>
      <c r="AA1186" s="230"/>
      <c r="AB1186" s="230"/>
      <c r="AC1186" s="230"/>
      <c r="AD1186" s="239"/>
    </row>
    <row r="1187" spans="1:30" ht="15.75" x14ac:dyDescent="0.25">
      <c r="A1187" s="230"/>
      <c r="B1187" s="231"/>
      <c r="C1187" s="231"/>
      <c r="D1187" s="231"/>
      <c r="E1187" s="230"/>
      <c r="F1187" s="230"/>
      <c r="G1187" s="230"/>
      <c r="H1187" s="230"/>
      <c r="I1187" s="230"/>
      <c r="J1187" s="230"/>
      <c r="K1187" s="230"/>
      <c r="L1187" s="230"/>
      <c r="M1187" s="230"/>
      <c r="N1187" s="230"/>
      <c r="O1187" s="230"/>
      <c r="P1187" s="230"/>
      <c r="Q1187" s="230"/>
      <c r="R1187" s="230"/>
      <c r="S1187" s="239"/>
      <c r="T1187" s="230"/>
      <c r="U1187" s="230"/>
      <c r="V1187" s="230"/>
      <c r="W1187" s="230"/>
      <c r="X1187" s="239"/>
      <c r="Y1187" s="239"/>
      <c r="Z1187" s="230"/>
      <c r="AA1187" s="230"/>
      <c r="AB1187" s="230"/>
      <c r="AC1187" s="230"/>
      <c r="AD1187" s="239"/>
    </row>
    <row r="1188" spans="1:30" ht="15.75" x14ac:dyDescent="0.25">
      <c r="A1188" s="230"/>
      <c r="B1188" s="231"/>
      <c r="C1188" s="231"/>
      <c r="D1188" s="231"/>
      <c r="E1188" s="230"/>
      <c r="F1188" s="230"/>
      <c r="G1188" s="230"/>
      <c r="H1188" s="230"/>
      <c r="I1188" s="230"/>
      <c r="J1188" s="230"/>
      <c r="K1188" s="230"/>
      <c r="L1188" s="230"/>
      <c r="M1188" s="230"/>
      <c r="N1188" s="230"/>
      <c r="O1188" s="230"/>
      <c r="P1188" s="230"/>
      <c r="Q1188" s="230"/>
      <c r="R1188" s="230"/>
      <c r="S1188" s="239"/>
      <c r="T1188" s="230"/>
      <c r="U1188" s="230"/>
      <c r="V1188" s="230"/>
      <c r="W1188" s="230"/>
      <c r="X1188" s="239"/>
      <c r="Y1188" s="239"/>
      <c r="Z1188" s="230"/>
      <c r="AA1188" s="230"/>
      <c r="AB1188" s="230"/>
      <c r="AC1188" s="230"/>
      <c r="AD1188" s="239"/>
    </row>
    <row r="1189" spans="1:30" ht="15.75" x14ac:dyDescent="0.25">
      <c r="A1189" s="230"/>
      <c r="B1189" s="231"/>
      <c r="C1189" s="231"/>
      <c r="D1189" s="231"/>
      <c r="E1189" s="230"/>
      <c r="F1189" s="230"/>
      <c r="G1189" s="230"/>
      <c r="H1189" s="230"/>
      <c r="I1189" s="230"/>
      <c r="J1189" s="230"/>
      <c r="K1189" s="230"/>
      <c r="L1189" s="230"/>
      <c r="M1189" s="230"/>
      <c r="N1189" s="230"/>
      <c r="O1189" s="230"/>
      <c r="P1189" s="230"/>
      <c r="Q1189" s="230"/>
      <c r="R1189" s="230"/>
      <c r="S1189" s="239"/>
      <c r="T1189" s="230"/>
      <c r="U1189" s="230"/>
      <c r="V1189" s="230"/>
      <c r="W1189" s="230"/>
      <c r="X1189" s="239"/>
      <c r="Y1189" s="239"/>
      <c r="Z1189" s="230"/>
      <c r="AA1189" s="230"/>
      <c r="AB1189" s="230"/>
      <c r="AC1189" s="230"/>
      <c r="AD1189" s="239"/>
    </row>
    <row r="1190" spans="1:30" ht="15.75" x14ac:dyDescent="0.25">
      <c r="A1190" s="230"/>
      <c r="B1190" s="231"/>
      <c r="C1190" s="231"/>
      <c r="D1190" s="231"/>
      <c r="E1190" s="230"/>
      <c r="F1190" s="230"/>
      <c r="G1190" s="230"/>
      <c r="H1190" s="230"/>
      <c r="I1190" s="230"/>
      <c r="J1190" s="230"/>
      <c r="K1190" s="230"/>
      <c r="L1190" s="230"/>
      <c r="M1190" s="230"/>
      <c r="N1190" s="230"/>
      <c r="O1190" s="230"/>
      <c r="P1190" s="230"/>
      <c r="Q1190" s="230"/>
      <c r="R1190" s="230"/>
      <c r="S1190" s="239"/>
      <c r="T1190" s="230"/>
      <c r="U1190" s="230"/>
      <c r="V1190" s="230"/>
      <c r="W1190" s="230"/>
      <c r="X1190" s="239"/>
      <c r="Y1190" s="239"/>
      <c r="Z1190" s="230"/>
      <c r="AA1190" s="230"/>
      <c r="AB1190" s="230"/>
      <c r="AC1190" s="230"/>
      <c r="AD1190" s="239"/>
    </row>
    <row r="1191" spans="1:30" ht="15.75" x14ac:dyDescent="0.25">
      <c r="A1191" s="230"/>
      <c r="B1191" s="231"/>
      <c r="C1191" s="231"/>
      <c r="D1191" s="231"/>
      <c r="E1191" s="230"/>
      <c r="F1191" s="230"/>
      <c r="G1191" s="230"/>
      <c r="H1191" s="230"/>
      <c r="I1191" s="230"/>
      <c r="J1191" s="230"/>
      <c r="K1191" s="230"/>
      <c r="L1191" s="230"/>
      <c r="M1191" s="230"/>
      <c r="N1191" s="230"/>
      <c r="O1191" s="230"/>
      <c r="P1191" s="230"/>
      <c r="Q1191" s="230"/>
      <c r="R1191" s="230"/>
      <c r="S1191" s="239"/>
      <c r="T1191" s="230"/>
      <c r="U1191" s="230"/>
      <c r="V1191" s="230"/>
      <c r="W1191" s="230"/>
      <c r="X1191" s="239"/>
      <c r="Y1191" s="239"/>
      <c r="Z1191" s="230"/>
      <c r="AA1191" s="230"/>
      <c r="AB1191" s="230"/>
      <c r="AC1191" s="230"/>
      <c r="AD1191" s="239"/>
    </row>
    <row r="1192" spans="1:30" ht="15.75" x14ac:dyDescent="0.25">
      <c r="A1192" s="230"/>
      <c r="B1192" s="231"/>
      <c r="C1192" s="231"/>
      <c r="D1192" s="231"/>
      <c r="E1192" s="230"/>
      <c r="F1192" s="230"/>
      <c r="G1192" s="230"/>
      <c r="H1192" s="230"/>
      <c r="I1192" s="230"/>
      <c r="J1192" s="230"/>
      <c r="K1192" s="230"/>
      <c r="L1192" s="230"/>
      <c r="M1192" s="230"/>
      <c r="N1192" s="230"/>
      <c r="O1192" s="230"/>
      <c r="P1192" s="230"/>
      <c r="Q1192" s="230"/>
      <c r="R1192" s="230"/>
      <c r="S1192" s="239"/>
      <c r="T1192" s="230"/>
      <c r="U1192" s="230"/>
      <c r="V1192" s="230"/>
      <c r="W1192" s="230"/>
      <c r="X1192" s="239"/>
      <c r="Y1192" s="239"/>
      <c r="Z1192" s="230"/>
      <c r="AA1192" s="230"/>
      <c r="AB1192" s="230"/>
      <c r="AC1192" s="230"/>
      <c r="AD1192" s="239"/>
    </row>
    <row r="1193" spans="1:30" ht="15.75" x14ac:dyDescent="0.25">
      <c r="A1193" s="230"/>
      <c r="B1193" s="231"/>
      <c r="C1193" s="231"/>
      <c r="D1193" s="231"/>
      <c r="E1193" s="230"/>
      <c r="F1193" s="230"/>
      <c r="G1193" s="230"/>
      <c r="H1193" s="230"/>
      <c r="I1193" s="230"/>
      <c r="J1193" s="230"/>
      <c r="K1193" s="230"/>
      <c r="L1193" s="230"/>
      <c r="M1193" s="230"/>
      <c r="N1193" s="230"/>
      <c r="O1193" s="230"/>
      <c r="P1193" s="230"/>
      <c r="Q1193" s="230"/>
      <c r="R1193" s="230"/>
      <c r="S1193" s="239"/>
      <c r="T1193" s="230"/>
      <c r="U1193" s="230"/>
      <c r="V1193" s="230"/>
      <c r="W1193" s="230"/>
      <c r="X1193" s="239"/>
      <c r="Y1193" s="239"/>
      <c r="Z1193" s="230"/>
      <c r="AA1193" s="230"/>
      <c r="AB1193" s="230"/>
      <c r="AC1193" s="230"/>
      <c r="AD1193" s="239"/>
    </row>
    <row r="1194" spans="1:30" ht="15.75" x14ac:dyDescent="0.25">
      <c r="A1194" s="230"/>
      <c r="B1194" s="231"/>
      <c r="C1194" s="231"/>
      <c r="D1194" s="231"/>
      <c r="E1194" s="230"/>
      <c r="F1194" s="230"/>
      <c r="G1194" s="230"/>
      <c r="H1194" s="230"/>
      <c r="I1194" s="230"/>
      <c r="J1194" s="230"/>
      <c r="K1194" s="230"/>
      <c r="L1194" s="230"/>
      <c r="M1194" s="230"/>
      <c r="N1194" s="230"/>
      <c r="O1194" s="230"/>
      <c r="P1194" s="230"/>
      <c r="Q1194" s="230"/>
      <c r="R1194" s="230"/>
      <c r="S1194" s="239"/>
      <c r="T1194" s="230"/>
      <c r="U1194" s="230"/>
      <c r="V1194" s="230"/>
      <c r="W1194" s="230"/>
      <c r="X1194" s="239"/>
      <c r="Y1194" s="239"/>
      <c r="Z1194" s="230"/>
      <c r="AA1194" s="230"/>
      <c r="AB1194" s="230"/>
      <c r="AC1194" s="230"/>
      <c r="AD1194" s="239"/>
    </row>
    <row r="1195" spans="1:30" ht="15.75" x14ac:dyDescent="0.25">
      <c r="A1195" s="230"/>
      <c r="B1195" s="231"/>
      <c r="C1195" s="231"/>
      <c r="D1195" s="231"/>
      <c r="E1195" s="230"/>
      <c r="F1195" s="230"/>
      <c r="G1195" s="230"/>
      <c r="H1195" s="230"/>
      <c r="I1195" s="230"/>
      <c r="J1195" s="230"/>
      <c r="K1195" s="230"/>
      <c r="L1195" s="230"/>
      <c r="M1195" s="230"/>
      <c r="N1195" s="230"/>
      <c r="O1195" s="230"/>
      <c r="P1195" s="230"/>
      <c r="Q1195" s="230"/>
      <c r="R1195" s="230"/>
      <c r="S1195" s="239"/>
      <c r="T1195" s="230"/>
      <c r="U1195" s="230"/>
      <c r="V1195" s="230"/>
      <c r="W1195" s="230"/>
      <c r="X1195" s="239"/>
      <c r="Y1195" s="239"/>
      <c r="Z1195" s="230"/>
      <c r="AA1195" s="230"/>
      <c r="AB1195" s="230"/>
      <c r="AC1195" s="230"/>
      <c r="AD1195" s="239"/>
    </row>
    <row r="1196" spans="1:30" ht="15.75" x14ac:dyDescent="0.25">
      <c r="A1196" s="230"/>
      <c r="B1196" s="231"/>
      <c r="C1196" s="231"/>
      <c r="D1196" s="231"/>
      <c r="E1196" s="230"/>
      <c r="F1196" s="230"/>
      <c r="G1196" s="230"/>
      <c r="H1196" s="230"/>
      <c r="I1196" s="230"/>
      <c r="J1196" s="230"/>
      <c r="K1196" s="230"/>
      <c r="L1196" s="230"/>
      <c r="M1196" s="230"/>
      <c r="N1196" s="230"/>
      <c r="O1196" s="230"/>
      <c r="P1196" s="230"/>
      <c r="Q1196" s="230"/>
      <c r="R1196" s="230"/>
      <c r="S1196" s="239"/>
      <c r="T1196" s="230"/>
      <c r="U1196" s="230"/>
      <c r="V1196" s="230"/>
      <c r="W1196" s="230"/>
      <c r="X1196" s="239"/>
      <c r="Y1196" s="239"/>
      <c r="Z1196" s="230"/>
      <c r="AA1196" s="230"/>
      <c r="AB1196" s="230"/>
      <c r="AC1196" s="230"/>
      <c r="AD1196" s="239"/>
    </row>
    <row r="1197" spans="1:30" ht="15.75" x14ac:dyDescent="0.25">
      <c r="A1197" s="230"/>
      <c r="B1197" s="231"/>
      <c r="C1197" s="231"/>
      <c r="D1197" s="231"/>
      <c r="E1197" s="230"/>
      <c r="F1197" s="230"/>
      <c r="G1197" s="230"/>
      <c r="H1197" s="230"/>
      <c r="I1197" s="230"/>
      <c r="J1197" s="230"/>
      <c r="K1197" s="230"/>
      <c r="L1197" s="230"/>
      <c r="M1197" s="230"/>
      <c r="N1197" s="230"/>
      <c r="O1197" s="230"/>
      <c r="P1197" s="230"/>
      <c r="Q1197" s="230"/>
      <c r="R1197" s="230"/>
      <c r="S1197" s="239"/>
      <c r="T1197" s="230"/>
      <c r="U1197" s="230"/>
      <c r="V1197" s="230"/>
      <c r="W1197" s="230"/>
      <c r="X1197" s="239"/>
      <c r="Y1197" s="239"/>
      <c r="Z1197" s="230"/>
      <c r="AA1197" s="230"/>
      <c r="AB1197" s="230"/>
      <c r="AC1197" s="230"/>
      <c r="AD1197" s="239"/>
    </row>
    <row r="1198" spans="1:30" ht="15.75" x14ac:dyDescent="0.25">
      <c r="A1198" s="230"/>
      <c r="B1198" s="231"/>
      <c r="C1198" s="231"/>
      <c r="D1198" s="231"/>
      <c r="E1198" s="230"/>
      <c r="F1198" s="230"/>
      <c r="G1198" s="230"/>
      <c r="H1198" s="230"/>
      <c r="I1198" s="230"/>
      <c r="J1198" s="230"/>
      <c r="K1198" s="230"/>
      <c r="L1198" s="230"/>
      <c r="M1198" s="230"/>
      <c r="N1198" s="230"/>
      <c r="O1198" s="230"/>
      <c r="P1198" s="230"/>
      <c r="Q1198" s="230"/>
      <c r="R1198" s="230"/>
      <c r="S1198" s="239"/>
      <c r="T1198" s="230"/>
      <c r="U1198" s="230"/>
      <c r="V1198" s="230"/>
      <c r="W1198" s="230"/>
      <c r="X1198" s="239"/>
      <c r="Y1198" s="239"/>
      <c r="Z1198" s="230"/>
      <c r="AA1198" s="230"/>
      <c r="AB1198" s="230"/>
      <c r="AC1198" s="230"/>
      <c r="AD1198" s="239"/>
    </row>
    <row r="1199" spans="1:30" ht="15.75" x14ac:dyDescent="0.25">
      <c r="A1199" s="230"/>
      <c r="B1199" s="231"/>
      <c r="C1199" s="231"/>
      <c r="D1199" s="231"/>
      <c r="E1199" s="230"/>
      <c r="F1199" s="230"/>
      <c r="G1199" s="230"/>
      <c r="H1199" s="230"/>
      <c r="I1199" s="230"/>
      <c r="J1199" s="230"/>
      <c r="K1199" s="230"/>
      <c r="L1199" s="230"/>
      <c r="M1199" s="230"/>
      <c r="N1199" s="230"/>
      <c r="O1199" s="230"/>
      <c r="P1199" s="230"/>
      <c r="Q1199" s="230"/>
      <c r="R1199" s="230"/>
      <c r="S1199" s="239"/>
      <c r="T1199" s="230"/>
      <c r="U1199" s="230"/>
      <c r="V1199" s="230"/>
      <c r="W1199" s="230"/>
      <c r="X1199" s="239"/>
      <c r="Y1199" s="239"/>
      <c r="Z1199" s="230"/>
      <c r="AA1199" s="230"/>
      <c r="AB1199" s="230"/>
      <c r="AC1199" s="230"/>
      <c r="AD1199" s="239"/>
    </row>
    <row r="1200" spans="1:30" ht="15.75" x14ac:dyDescent="0.25">
      <c r="A1200" s="230"/>
      <c r="B1200" s="231"/>
      <c r="C1200" s="231"/>
      <c r="D1200" s="231"/>
      <c r="E1200" s="230"/>
      <c r="F1200" s="230"/>
      <c r="G1200" s="230"/>
      <c r="H1200" s="230"/>
      <c r="I1200" s="230"/>
      <c r="J1200" s="230"/>
      <c r="K1200" s="230"/>
      <c r="L1200" s="230"/>
      <c r="M1200" s="230"/>
      <c r="N1200" s="230"/>
      <c r="O1200" s="230"/>
      <c r="P1200" s="230"/>
      <c r="Q1200" s="230"/>
      <c r="R1200" s="230"/>
      <c r="S1200" s="239"/>
      <c r="T1200" s="230"/>
      <c r="U1200" s="230"/>
      <c r="V1200" s="230"/>
      <c r="W1200" s="230"/>
      <c r="X1200" s="239"/>
      <c r="Y1200" s="239"/>
      <c r="Z1200" s="230"/>
      <c r="AA1200" s="230"/>
      <c r="AB1200" s="230"/>
      <c r="AC1200" s="230"/>
      <c r="AD1200" s="239"/>
    </row>
    <row r="1201" spans="1:30" ht="15.75" x14ac:dyDescent="0.25">
      <c r="A1201" s="230"/>
      <c r="B1201" s="231"/>
      <c r="C1201" s="231"/>
      <c r="D1201" s="231"/>
      <c r="E1201" s="230"/>
      <c r="F1201" s="230"/>
      <c r="G1201" s="230"/>
      <c r="H1201" s="230"/>
      <c r="I1201" s="230"/>
      <c r="J1201" s="230"/>
      <c r="K1201" s="230"/>
      <c r="L1201" s="230"/>
      <c r="M1201" s="230"/>
      <c r="N1201" s="230"/>
      <c r="O1201" s="230"/>
      <c r="P1201" s="230"/>
      <c r="Q1201" s="230"/>
      <c r="R1201" s="230"/>
      <c r="S1201" s="239"/>
      <c r="T1201" s="230"/>
      <c r="U1201" s="230"/>
      <c r="V1201" s="230"/>
      <c r="W1201" s="230"/>
      <c r="X1201" s="239"/>
      <c r="Y1201" s="239"/>
      <c r="Z1201" s="230"/>
      <c r="AA1201" s="230"/>
      <c r="AB1201" s="230"/>
      <c r="AC1201" s="230"/>
      <c r="AD1201" s="239"/>
    </row>
    <row r="1202" spans="1:30" ht="15.75" x14ac:dyDescent="0.25">
      <c r="A1202" s="230"/>
      <c r="B1202" s="231"/>
      <c r="C1202" s="231"/>
      <c r="D1202" s="231"/>
      <c r="E1202" s="230"/>
      <c r="F1202" s="230"/>
      <c r="G1202" s="230"/>
      <c r="H1202" s="230"/>
      <c r="I1202" s="230"/>
      <c r="J1202" s="230"/>
      <c r="K1202" s="230"/>
      <c r="L1202" s="230"/>
      <c r="M1202" s="230"/>
      <c r="N1202" s="230"/>
      <c r="O1202" s="230"/>
      <c r="P1202" s="230"/>
      <c r="Q1202" s="230"/>
      <c r="R1202" s="230"/>
      <c r="S1202" s="239"/>
      <c r="T1202" s="230"/>
      <c r="U1202" s="230"/>
      <c r="V1202" s="230"/>
      <c r="W1202" s="230"/>
      <c r="X1202" s="239"/>
      <c r="Y1202" s="239"/>
      <c r="Z1202" s="230"/>
      <c r="AA1202" s="230"/>
      <c r="AB1202" s="230"/>
      <c r="AC1202" s="230"/>
      <c r="AD1202" s="239"/>
    </row>
    <row r="1203" spans="1:30" ht="15.75" x14ac:dyDescent="0.25">
      <c r="A1203" s="230"/>
      <c r="B1203" s="231"/>
      <c r="C1203" s="231"/>
      <c r="D1203" s="231"/>
      <c r="E1203" s="230"/>
      <c r="F1203" s="230"/>
      <c r="G1203" s="230"/>
      <c r="H1203" s="230"/>
      <c r="I1203" s="230"/>
      <c r="J1203" s="230"/>
      <c r="K1203" s="230"/>
      <c r="L1203" s="230"/>
      <c r="M1203" s="230"/>
      <c r="N1203" s="230"/>
      <c r="O1203" s="230"/>
      <c r="P1203" s="230"/>
      <c r="Q1203" s="230"/>
      <c r="R1203" s="230"/>
      <c r="S1203" s="239"/>
      <c r="T1203" s="230"/>
      <c r="U1203" s="230"/>
      <c r="V1203" s="230"/>
      <c r="W1203" s="230"/>
      <c r="X1203" s="239"/>
      <c r="Y1203" s="239"/>
      <c r="Z1203" s="230"/>
      <c r="AA1203" s="230"/>
      <c r="AB1203" s="230"/>
      <c r="AC1203" s="230"/>
      <c r="AD1203" s="239"/>
    </row>
    <row r="1204" spans="1:30" ht="15.75" x14ac:dyDescent="0.25">
      <c r="A1204" s="230"/>
      <c r="B1204" s="231"/>
      <c r="C1204" s="231"/>
      <c r="D1204" s="231"/>
      <c r="E1204" s="230"/>
      <c r="F1204" s="230"/>
      <c r="G1204" s="230"/>
      <c r="H1204" s="230"/>
      <c r="I1204" s="230"/>
      <c r="J1204" s="230"/>
      <c r="K1204" s="230"/>
      <c r="L1204" s="230"/>
      <c r="M1204" s="230"/>
      <c r="N1204" s="230"/>
      <c r="O1204" s="230"/>
      <c r="P1204" s="230"/>
      <c r="Q1204" s="230"/>
      <c r="R1204" s="230"/>
      <c r="S1204" s="239"/>
      <c r="T1204" s="230"/>
      <c r="U1204" s="230"/>
      <c r="V1204" s="230"/>
      <c r="W1204" s="230"/>
      <c r="X1204" s="239"/>
      <c r="Y1204" s="239"/>
      <c r="Z1204" s="230"/>
      <c r="AA1204" s="230"/>
      <c r="AB1204" s="230"/>
      <c r="AC1204" s="230"/>
      <c r="AD1204" s="239"/>
    </row>
    <row r="1205" spans="1:30" ht="15.75" x14ac:dyDescent="0.25">
      <c r="A1205" s="230"/>
      <c r="B1205" s="231"/>
      <c r="C1205" s="231"/>
      <c r="D1205" s="231"/>
      <c r="E1205" s="230"/>
      <c r="F1205" s="230"/>
      <c r="G1205" s="230"/>
      <c r="H1205" s="230"/>
      <c r="I1205" s="230"/>
      <c r="J1205" s="230"/>
      <c r="K1205" s="230"/>
      <c r="L1205" s="230"/>
      <c r="M1205" s="230"/>
      <c r="N1205" s="230"/>
      <c r="O1205" s="230"/>
      <c r="P1205" s="230"/>
      <c r="Q1205" s="230"/>
      <c r="R1205" s="230"/>
      <c r="S1205" s="239"/>
      <c r="T1205" s="230"/>
      <c r="U1205" s="230"/>
      <c r="V1205" s="230"/>
      <c r="W1205" s="230"/>
      <c r="X1205" s="239"/>
      <c r="Y1205" s="239"/>
      <c r="Z1205" s="230"/>
      <c r="AA1205" s="230"/>
      <c r="AB1205" s="230"/>
      <c r="AC1205" s="230"/>
      <c r="AD1205" s="239"/>
    </row>
    <row r="1206" spans="1:30" ht="15.75" x14ac:dyDescent="0.25">
      <c r="A1206" s="230"/>
      <c r="B1206" s="231"/>
      <c r="C1206" s="231"/>
      <c r="D1206" s="231"/>
      <c r="E1206" s="230"/>
      <c r="F1206" s="230"/>
      <c r="G1206" s="230"/>
      <c r="H1206" s="230"/>
      <c r="I1206" s="230"/>
      <c r="J1206" s="230"/>
      <c r="K1206" s="230"/>
      <c r="L1206" s="230"/>
      <c r="M1206" s="230"/>
      <c r="N1206" s="230"/>
      <c r="O1206" s="230"/>
      <c r="P1206" s="230"/>
      <c r="Q1206" s="230"/>
      <c r="R1206" s="230"/>
      <c r="S1206" s="239"/>
      <c r="T1206" s="230"/>
      <c r="U1206" s="230"/>
      <c r="V1206" s="230"/>
      <c r="W1206" s="230"/>
      <c r="X1206" s="239"/>
      <c r="Y1206" s="239"/>
      <c r="Z1206" s="230"/>
      <c r="AA1206" s="230"/>
      <c r="AB1206" s="230"/>
      <c r="AC1206" s="230"/>
      <c r="AD1206" s="239"/>
    </row>
    <row r="1207" spans="1:30" ht="15.75" x14ac:dyDescent="0.25">
      <c r="A1207" s="230"/>
      <c r="B1207" s="231"/>
      <c r="C1207" s="231"/>
      <c r="D1207" s="231"/>
      <c r="E1207" s="230"/>
      <c r="F1207" s="230"/>
      <c r="G1207" s="230"/>
      <c r="H1207" s="230"/>
      <c r="I1207" s="230"/>
      <c r="J1207" s="230"/>
      <c r="K1207" s="230"/>
      <c r="L1207" s="230"/>
      <c r="M1207" s="230"/>
      <c r="N1207" s="230"/>
      <c r="O1207" s="230"/>
      <c r="P1207" s="230"/>
      <c r="Q1207" s="230"/>
      <c r="R1207" s="230"/>
      <c r="S1207" s="239"/>
      <c r="T1207" s="230"/>
      <c r="U1207" s="230"/>
      <c r="V1207" s="230"/>
      <c r="W1207" s="230"/>
      <c r="X1207" s="239"/>
      <c r="Y1207" s="239"/>
      <c r="Z1207" s="230"/>
      <c r="AA1207" s="230"/>
      <c r="AB1207" s="230"/>
      <c r="AC1207" s="230"/>
      <c r="AD1207" s="239"/>
    </row>
    <row r="1208" spans="1:30" ht="15.75" x14ac:dyDescent="0.25">
      <c r="A1208" s="230"/>
      <c r="B1208" s="231"/>
      <c r="C1208" s="231"/>
      <c r="D1208" s="231"/>
      <c r="E1208" s="230"/>
      <c r="F1208" s="230"/>
      <c r="G1208" s="230"/>
      <c r="H1208" s="230"/>
      <c r="I1208" s="230"/>
      <c r="J1208" s="230"/>
      <c r="K1208" s="230"/>
      <c r="L1208" s="230"/>
      <c r="M1208" s="230"/>
      <c r="N1208" s="230"/>
      <c r="O1208" s="230"/>
      <c r="P1208" s="230"/>
      <c r="Q1208" s="230"/>
      <c r="R1208" s="230"/>
      <c r="S1208" s="239"/>
      <c r="T1208" s="230"/>
      <c r="U1208" s="230"/>
      <c r="V1208" s="230"/>
      <c r="W1208" s="230"/>
      <c r="X1208" s="239"/>
      <c r="Y1208" s="239"/>
      <c r="Z1208" s="230"/>
      <c r="AA1208" s="230"/>
      <c r="AB1208" s="230"/>
      <c r="AC1208" s="230"/>
      <c r="AD1208" s="239"/>
    </row>
    <row r="1209" spans="1:30" ht="15.75" x14ac:dyDescent="0.25">
      <c r="A1209" s="230"/>
      <c r="B1209" s="231"/>
      <c r="C1209" s="231"/>
      <c r="D1209" s="231"/>
      <c r="E1209" s="230"/>
      <c r="F1209" s="230"/>
      <c r="G1209" s="230"/>
      <c r="H1209" s="230"/>
      <c r="I1209" s="230"/>
      <c r="J1209" s="230"/>
      <c r="K1209" s="230"/>
      <c r="L1209" s="230"/>
      <c r="M1209" s="230"/>
      <c r="N1209" s="230"/>
      <c r="O1209" s="230"/>
      <c r="P1209" s="230"/>
      <c r="Q1209" s="230"/>
      <c r="R1209" s="230"/>
      <c r="S1209" s="239"/>
      <c r="T1209" s="230"/>
      <c r="U1209" s="230"/>
      <c r="V1209" s="230"/>
      <c r="W1209" s="230"/>
      <c r="X1209" s="239"/>
      <c r="Y1209" s="239"/>
      <c r="Z1209" s="230"/>
      <c r="AA1209" s="230"/>
      <c r="AB1209" s="230"/>
      <c r="AC1209" s="230"/>
      <c r="AD1209" s="239"/>
    </row>
    <row r="1210" spans="1:30" ht="15.75" x14ac:dyDescent="0.25">
      <c r="A1210" s="230"/>
      <c r="B1210" s="231"/>
      <c r="C1210" s="231"/>
      <c r="D1210" s="231"/>
      <c r="E1210" s="230"/>
      <c r="F1210" s="230"/>
      <c r="G1210" s="230"/>
      <c r="H1210" s="230"/>
      <c r="I1210" s="230"/>
      <c r="J1210" s="230"/>
      <c r="K1210" s="230"/>
      <c r="L1210" s="230"/>
      <c r="M1210" s="230"/>
      <c r="N1210" s="230"/>
      <c r="O1210" s="230"/>
      <c r="P1210" s="230"/>
      <c r="Q1210" s="230"/>
      <c r="R1210" s="230"/>
      <c r="S1210" s="239"/>
      <c r="T1210" s="230"/>
      <c r="U1210" s="230"/>
      <c r="V1210" s="230"/>
      <c r="W1210" s="230"/>
      <c r="X1210" s="239"/>
      <c r="Y1210" s="239"/>
      <c r="Z1210" s="230"/>
      <c r="AA1210" s="230"/>
      <c r="AB1210" s="230"/>
      <c r="AC1210" s="230"/>
      <c r="AD1210" s="239"/>
    </row>
    <row r="1211" spans="1:30" ht="15.75" x14ac:dyDescent="0.25">
      <c r="A1211" s="230"/>
      <c r="B1211" s="231"/>
      <c r="C1211" s="231"/>
      <c r="D1211" s="231"/>
      <c r="E1211" s="230"/>
      <c r="F1211" s="230"/>
      <c r="G1211" s="230"/>
      <c r="H1211" s="230"/>
      <c r="I1211" s="230"/>
      <c r="J1211" s="230"/>
      <c r="K1211" s="230"/>
      <c r="L1211" s="230"/>
      <c r="M1211" s="230"/>
      <c r="N1211" s="230"/>
      <c r="O1211" s="230"/>
      <c r="P1211" s="230"/>
      <c r="Q1211" s="230"/>
      <c r="R1211" s="230"/>
      <c r="S1211" s="239"/>
      <c r="T1211" s="230"/>
      <c r="U1211" s="230"/>
      <c r="V1211" s="230"/>
      <c r="W1211" s="230"/>
      <c r="X1211" s="239"/>
      <c r="Y1211" s="239"/>
      <c r="Z1211" s="230"/>
      <c r="AA1211" s="230"/>
      <c r="AB1211" s="230"/>
      <c r="AC1211" s="230"/>
      <c r="AD1211" s="239"/>
    </row>
    <row r="1212" spans="1:30" ht="15.75" x14ac:dyDescent="0.25">
      <c r="A1212" s="230"/>
      <c r="B1212" s="231"/>
      <c r="C1212" s="231"/>
      <c r="D1212" s="231"/>
      <c r="E1212" s="230"/>
      <c r="F1212" s="230"/>
      <c r="G1212" s="230"/>
      <c r="H1212" s="230"/>
      <c r="I1212" s="230"/>
      <c r="J1212" s="230"/>
      <c r="K1212" s="230"/>
      <c r="L1212" s="230"/>
      <c r="M1212" s="230"/>
      <c r="N1212" s="230"/>
      <c r="O1212" s="230"/>
      <c r="P1212" s="230"/>
      <c r="Q1212" s="230"/>
      <c r="R1212" s="230"/>
      <c r="S1212" s="239"/>
      <c r="T1212" s="230"/>
      <c r="U1212" s="230"/>
      <c r="V1212" s="230"/>
      <c r="W1212" s="230"/>
      <c r="X1212" s="239"/>
      <c r="Y1212" s="239"/>
      <c r="Z1212" s="230"/>
      <c r="AA1212" s="230"/>
      <c r="AB1212" s="230"/>
      <c r="AC1212" s="230"/>
      <c r="AD1212" s="239"/>
    </row>
    <row r="1213" spans="1:30" ht="15.75" x14ac:dyDescent="0.25">
      <c r="A1213" s="230"/>
      <c r="B1213" s="231"/>
      <c r="C1213" s="231"/>
      <c r="D1213" s="231"/>
      <c r="E1213" s="230"/>
      <c r="F1213" s="230"/>
      <c r="G1213" s="230"/>
      <c r="H1213" s="230"/>
      <c r="I1213" s="230"/>
      <c r="J1213" s="230"/>
      <c r="K1213" s="230"/>
      <c r="L1213" s="230"/>
      <c r="M1213" s="230"/>
      <c r="N1213" s="230"/>
      <c r="O1213" s="230"/>
      <c r="P1213" s="230"/>
      <c r="Q1213" s="230"/>
      <c r="R1213" s="230"/>
      <c r="S1213" s="239"/>
      <c r="T1213" s="230"/>
      <c r="U1213" s="230"/>
      <c r="V1213" s="230"/>
      <c r="W1213" s="230"/>
      <c r="X1213" s="239"/>
      <c r="Y1213" s="239"/>
      <c r="Z1213" s="230"/>
      <c r="AA1213" s="230"/>
      <c r="AB1213" s="230"/>
      <c r="AC1213" s="230"/>
      <c r="AD1213" s="239"/>
    </row>
    <row r="1214" spans="1:30" ht="15.75" x14ac:dyDescent="0.25">
      <c r="A1214" s="230"/>
      <c r="B1214" s="231"/>
      <c r="C1214" s="231"/>
      <c r="D1214" s="231"/>
      <c r="E1214" s="230"/>
      <c r="F1214" s="230"/>
      <c r="G1214" s="230"/>
      <c r="H1214" s="230"/>
      <c r="I1214" s="230"/>
      <c r="J1214" s="230"/>
      <c r="K1214" s="230"/>
      <c r="L1214" s="230"/>
      <c r="M1214" s="230"/>
      <c r="N1214" s="230"/>
      <c r="O1214" s="230"/>
      <c r="P1214" s="230"/>
      <c r="Q1214" s="230"/>
      <c r="R1214" s="230"/>
      <c r="S1214" s="239"/>
      <c r="T1214" s="230"/>
      <c r="U1214" s="230"/>
      <c r="V1214" s="230"/>
      <c r="W1214" s="230"/>
      <c r="X1214" s="239"/>
      <c r="Y1214" s="239"/>
      <c r="Z1214" s="230"/>
      <c r="AA1214" s="230"/>
      <c r="AB1214" s="230"/>
      <c r="AC1214" s="230"/>
      <c r="AD1214" s="239"/>
    </row>
    <row r="1215" spans="1:30" ht="15.75" x14ac:dyDescent="0.25">
      <c r="A1215" s="230"/>
      <c r="B1215" s="231"/>
      <c r="C1215" s="231"/>
      <c r="D1215" s="231"/>
      <c r="E1215" s="230"/>
      <c r="F1215" s="230"/>
      <c r="G1215" s="230"/>
      <c r="H1215" s="230"/>
      <c r="I1215" s="230"/>
      <c r="J1215" s="230"/>
      <c r="K1215" s="230"/>
      <c r="L1215" s="230"/>
      <c r="M1215" s="230"/>
      <c r="N1215" s="230"/>
      <c r="O1215" s="230"/>
      <c r="P1215" s="230"/>
      <c r="Q1215" s="230"/>
      <c r="R1215" s="230"/>
      <c r="S1215" s="239"/>
      <c r="T1215" s="230"/>
      <c r="U1215" s="230"/>
      <c r="V1215" s="230"/>
      <c r="W1215" s="230"/>
      <c r="X1215" s="239"/>
      <c r="Y1215" s="239"/>
      <c r="Z1215" s="230"/>
      <c r="AA1215" s="230"/>
      <c r="AB1215" s="230"/>
      <c r="AC1215" s="230"/>
      <c r="AD1215" s="239"/>
    </row>
    <row r="1216" spans="1:30" ht="15.75" x14ac:dyDescent="0.25">
      <c r="A1216" s="230"/>
      <c r="B1216" s="231"/>
      <c r="C1216" s="231"/>
      <c r="D1216" s="231"/>
      <c r="E1216" s="230"/>
      <c r="F1216" s="230"/>
      <c r="G1216" s="230"/>
      <c r="H1216" s="230"/>
      <c r="I1216" s="230"/>
      <c r="J1216" s="230"/>
      <c r="K1216" s="230"/>
      <c r="L1216" s="230"/>
      <c r="M1216" s="230"/>
      <c r="N1216" s="230"/>
      <c r="O1216" s="230"/>
      <c r="P1216" s="230"/>
      <c r="Q1216" s="230"/>
      <c r="R1216" s="230"/>
      <c r="S1216" s="239"/>
      <c r="T1216" s="230"/>
      <c r="U1216" s="230"/>
      <c r="V1216" s="230"/>
      <c r="W1216" s="230"/>
      <c r="X1216" s="239"/>
      <c r="Y1216" s="239"/>
      <c r="Z1216" s="230"/>
      <c r="AA1216" s="230"/>
      <c r="AB1216" s="230"/>
      <c r="AC1216" s="230"/>
      <c r="AD1216" s="239"/>
    </row>
    <row r="1217" spans="1:30" ht="15.75" x14ac:dyDescent="0.25">
      <c r="A1217" s="230"/>
      <c r="B1217" s="231"/>
      <c r="C1217" s="231"/>
      <c r="D1217" s="231"/>
      <c r="E1217" s="230"/>
      <c r="F1217" s="230"/>
      <c r="G1217" s="230"/>
      <c r="H1217" s="230"/>
      <c r="I1217" s="230"/>
      <c r="J1217" s="230"/>
      <c r="K1217" s="230"/>
      <c r="L1217" s="230"/>
      <c r="M1217" s="230"/>
      <c r="N1217" s="230"/>
      <c r="O1217" s="230"/>
      <c r="P1217" s="230"/>
      <c r="Q1217" s="230"/>
      <c r="R1217" s="230"/>
      <c r="S1217" s="239"/>
      <c r="T1217" s="230"/>
      <c r="U1217" s="230"/>
      <c r="V1217" s="230"/>
      <c r="W1217" s="230"/>
      <c r="X1217" s="239"/>
      <c r="Y1217" s="239"/>
      <c r="Z1217" s="230"/>
      <c r="AA1217" s="230"/>
      <c r="AB1217" s="230"/>
      <c r="AC1217" s="230"/>
      <c r="AD1217" s="239"/>
    </row>
    <row r="1218" spans="1:30" ht="15.75" x14ac:dyDescent="0.25">
      <c r="A1218" s="230"/>
      <c r="B1218" s="231"/>
      <c r="C1218" s="231"/>
      <c r="D1218" s="231"/>
      <c r="E1218" s="230"/>
      <c r="F1218" s="230"/>
      <c r="G1218" s="230"/>
      <c r="H1218" s="230"/>
      <c r="I1218" s="230"/>
      <c r="J1218" s="230"/>
      <c r="K1218" s="230"/>
      <c r="L1218" s="230"/>
      <c r="M1218" s="230"/>
      <c r="N1218" s="230"/>
      <c r="O1218" s="230"/>
      <c r="P1218" s="230"/>
      <c r="Q1218" s="230"/>
      <c r="R1218" s="230"/>
      <c r="S1218" s="239"/>
      <c r="T1218" s="230"/>
      <c r="U1218" s="230"/>
      <c r="V1218" s="230"/>
      <c r="W1218" s="230"/>
      <c r="X1218" s="239"/>
      <c r="Y1218" s="239"/>
      <c r="Z1218" s="230"/>
      <c r="AA1218" s="230"/>
      <c r="AB1218" s="230"/>
      <c r="AC1218" s="230"/>
      <c r="AD1218" s="239"/>
    </row>
    <row r="1219" spans="1:30" ht="15.75" x14ac:dyDescent="0.25">
      <c r="A1219" s="230"/>
      <c r="B1219" s="231"/>
      <c r="C1219" s="231"/>
      <c r="D1219" s="231"/>
      <c r="E1219" s="230"/>
      <c r="F1219" s="230"/>
      <c r="G1219" s="230"/>
      <c r="H1219" s="230"/>
      <c r="I1219" s="230"/>
      <c r="J1219" s="230"/>
      <c r="K1219" s="230"/>
      <c r="L1219" s="230"/>
      <c r="M1219" s="230"/>
      <c r="N1219" s="230"/>
      <c r="O1219" s="230"/>
      <c r="P1219" s="230"/>
      <c r="Q1219" s="230"/>
      <c r="R1219" s="230"/>
      <c r="S1219" s="239"/>
      <c r="T1219" s="230"/>
      <c r="U1219" s="230"/>
      <c r="V1219" s="230"/>
      <c r="W1219" s="230"/>
      <c r="X1219" s="239"/>
      <c r="Y1219" s="239"/>
      <c r="Z1219" s="230"/>
      <c r="AA1219" s="230"/>
      <c r="AB1219" s="230"/>
      <c r="AC1219" s="230"/>
      <c r="AD1219" s="239"/>
    </row>
    <row r="1220" spans="1:30" ht="15.75" x14ac:dyDescent="0.25">
      <c r="A1220" s="230"/>
      <c r="B1220" s="231"/>
      <c r="C1220" s="231"/>
      <c r="D1220" s="231"/>
      <c r="E1220" s="230"/>
      <c r="F1220" s="230"/>
      <c r="G1220" s="230"/>
      <c r="H1220" s="230"/>
      <c r="I1220" s="230"/>
      <c r="J1220" s="230"/>
      <c r="K1220" s="230"/>
      <c r="L1220" s="230"/>
      <c r="M1220" s="230"/>
      <c r="N1220" s="230"/>
      <c r="O1220" s="230"/>
      <c r="P1220" s="230"/>
      <c r="Q1220" s="230"/>
      <c r="R1220" s="230"/>
      <c r="S1220" s="239"/>
      <c r="T1220" s="230"/>
      <c r="U1220" s="230"/>
      <c r="V1220" s="230"/>
      <c r="W1220" s="230"/>
      <c r="X1220" s="239"/>
      <c r="Y1220" s="239"/>
      <c r="Z1220" s="230"/>
      <c r="AA1220" s="230"/>
      <c r="AB1220" s="230"/>
      <c r="AC1220" s="230"/>
      <c r="AD1220" s="239"/>
    </row>
    <row r="1221" spans="1:30" ht="15.75" x14ac:dyDescent="0.25">
      <c r="A1221" s="230"/>
      <c r="B1221" s="231"/>
      <c r="C1221" s="231"/>
      <c r="D1221" s="231"/>
      <c r="E1221" s="230"/>
      <c r="F1221" s="230"/>
      <c r="G1221" s="230"/>
      <c r="H1221" s="230"/>
      <c r="I1221" s="230"/>
      <c r="J1221" s="230"/>
      <c r="K1221" s="230"/>
      <c r="L1221" s="230"/>
      <c r="M1221" s="230"/>
      <c r="N1221" s="230"/>
      <c r="O1221" s="230"/>
      <c r="P1221" s="230"/>
      <c r="Q1221" s="230"/>
      <c r="R1221" s="230"/>
      <c r="S1221" s="239"/>
      <c r="T1221" s="230"/>
      <c r="U1221" s="230"/>
      <c r="V1221" s="230"/>
      <c r="W1221" s="230"/>
      <c r="X1221" s="239"/>
      <c r="Y1221" s="239"/>
      <c r="Z1221" s="230"/>
      <c r="AA1221" s="230"/>
      <c r="AB1221" s="230"/>
      <c r="AC1221" s="230"/>
      <c r="AD1221" s="239"/>
    </row>
    <row r="1222" spans="1:30" ht="15.75" x14ac:dyDescent="0.25">
      <c r="A1222" s="230"/>
      <c r="B1222" s="231"/>
      <c r="C1222" s="231"/>
      <c r="D1222" s="231"/>
      <c r="E1222" s="230"/>
      <c r="F1222" s="230"/>
      <c r="G1222" s="230"/>
      <c r="H1222" s="230"/>
      <c r="I1222" s="230"/>
      <c r="J1222" s="230"/>
      <c r="K1222" s="230"/>
      <c r="L1222" s="230"/>
      <c r="M1222" s="230"/>
      <c r="N1222" s="230"/>
      <c r="O1222" s="230"/>
      <c r="P1222" s="230"/>
      <c r="Q1222" s="230"/>
      <c r="R1222" s="230"/>
      <c r="S1222" s="239"/>
      <c r="T1222" s="230"/>
      <c r="U1222" s="230"/>
      <c r="V1222" s="230"/>
      <c r="W1222" s="230"/>
      <c r="X1222" s="239"/>
      <c r="Y1222" s="239"/>
      <c r="Z1222" s="230"/>
      <c r="AA1222" s="230"/>
      <c r="AB1222" s="230"/>
      <c r="AC1222" s="230"/>
      <c r="AD1222" s="239"/>
    </row>
    <row r="1223" spans="1:30" ht="15.75" x14ac:dyDescent="0.25">
      <c r="A1223" s="230"/>
      <c r="B1223" s="231"/>
      <c r="C1223" s="231"/>
      <c r="D1223" s="231"/>
      <c r="E1223" s="230"/>
      <c r="F1223" s="230"/>
      <c r="G1223" s="230"/>
      <c r="H1223" s="230"/>
      <c r="I1223" s="230"/>
      <c r="J1223" s="230"/>
      <c r="K1223" s="230"/>
      <c r="L1223" s="230"/>
      <c r="M1223" s="230"/>
      <c r="N1223" s="230"/>
      <c r="O1223" s="230"/>
      <c r="P1223" s="230"/>
      <c r="Q1223" s="230"/>
      <c r="R1223" s="230"/>
      <c r="S1223" s="239"/>
      <c r="T1223" s="230"/>
      <c r="U1223" s="230"/>
      <c r="V1223" s="230"/>
      <c r="W1223" s="230"/>
      <c r="X1223" s="239"/>
      <c r="Y1223" s="239"/>
      <c r="Z1223" s="230"/>
      <c r="AA1223" s="230"/>
      <c r="AB1223" s="230"/>
      <c r="AC1223" s="230"/>
      <c r="AD1223" s="239"/>
    </row>
    <row r="1224" spans="1:30" ht="15.75" x14ac:dyDescent="0.25">
      <c r="A1224" s="230"/>
      <c r="B1224" s="231"/>
      <c r="C1224" s="231"/>
      <c r="D1224" s="231"/>
      <c r="E1224" s="230"/>
      <c r="F1224" s="230"/>
      <c r="G1224" s="230"/>
      <c r="H1224" s="230"/>
      <c r="I1224" s="230"/>
      <c r="J1224" s="230"/>
      <c r="K1224" s="230"/>
      <c r="L1224" s="230"/>
      <c r="M1224" s="230"/>
      <c r="N1224" s="230"/>
      <c r="O1224" s="230"/>
      <c r="P1224" s="230"/>
      <c r="Q1224" s="230"/>
      <c r="R1224" s="230"/>
      <c r="S1224" s="239"/>
      <c r="T1224" s="230"/>
      <c r="U1224" s="230"/>
      <c r="V1224" s="230"/>
      <c r="W1224" s="230"/>
      <c r="X1224" s="239"/>
      <c r="Y1224" s="239"/>
      <c r="Z1224" s="230"/>
      <c r="AA1224" s="230"/>
      <c r="AB1224" s="230"/>
      <c r="AC1224" s="230"/>
      <c r="AD1224" s="239"/>
    </row>
    <row r="1225" spans="1:30" ht="15.75" x14ac:dyDescent="0.25">
      <c r="A1225" s="230"/>
      <c r="B1225" s="231"/>
      <c r="C1225" s="231"/>
      <c r="D1225" s="231"/>
      <c r="E1225" s="230"/>
      <c r="F1225" s="230"/>
      <c r="G1225" s="230"/>
      <c r="H1225" s="230"/>
      <c r="I1225" s="230"/>
      <c r="J1225" s="230"/>
      <c r="K1225" s="230"/>
      <c r="L1225" s="230"/>
      <c r="M1225" s="230"/>
      <c r="N1225" s="230"/>
      <c r="O1225" s="230"/>
      <c r="P1225" s="230"/>
      <c r="Q1225" s="230"/>
      <c r="R1225" s="230"/>
      <c r="S1225" s="239"/>
      <c r="T1225" s="230"/>
      <c r="U1225" s="230"/>
      <c r="V1225" s="230"/>
      <c r="W1225" s="230"/>
      <c r="X1225" s="239"/>
      <c r="Y1225" s="239"/>
      <c r="Z1225" s="230"/>
      <c r="AA1225" s="230"/>
      <c r="AB1225" s="230"/>
      <c r="AC1225" s="230"/>
      <c r="AD1225" s="239"/>
    </row>
    <row r="1226" spans="1:30" ht="15.75" x14ac:dyDescent="0.25">
      <c r="A1226" s="230"/>
      <c r="B1226" s="231"/>
      <c r="C1226" s="231"/>
      <c r="D1226" s="231"/>
      <c r="E1226" s="230"/>
      <c r="F1226" s="230"/>
      <c r="G1226" s="230"/>
      <c r="H1226" s="230"/>
      <c r="I1226" s="230"/>
      <c r="J1226" s="230"/>
      <c r="K1226" s="230"/>
      <c r="L1226" s="230"/>
      <c r="M1226" s="230"/>
      <c r="N1226" s="230"/>
      <c r="O1226" s="230"/>
      <c r="P1226" s="230"/>
      <c r="Q1226" s="230"/>
      <c r="R1226" s="230"/>
      <c r="S1226" s="239"/>
      <c r="T1226" s="230"/>
      <c r="U1226" s="230"/>
      <c r="V1226" s="230"/>
      <c r="W1226" s="230"/>
      <c r="X1226" s="239"/>
      <c r="Y1226" s="239"/>
      <c r="Z1226" s="230"/>
      <c r="AA1226" s="230"/>
      <c r="AB1226" s="230"/>
      <c r="AC1226" s="230"/>
      <c r="AD1226" s="239"/>
    </row>
    <row r="1227" spans="1:30" ht="15.75" x14ac:dyDescent="0.25">
      <c r="A1227" s="230"/>
      <c r="B1227" s="231"/>
      <c r="C1227" s="231"/>
      <c r="D1227" s="231"/>
      <c r="E1227" s="230"/>
      <c r="F1227" s="230"/>
      <c r="G1227" s="230"/>
      <c r="H1227" s="230"/>
      <c r="I1227" s="230"/>
      <c r="J1227" s="230"/>
      <c r="K1227" s="230"/>
      <c r="L1227" s="230"/>
      <c r="M1227" s="230"/>
      <c r="N1227" s="230"/>
      <c r="O1227" s="230"/>
      <c r="P1227" s="230"/>
      <c r="Q1227" s="230"/>
      <c r="R1227" s="230"/>
      <c r="S1227" s="239"/>
      <c r="T1227" s="230"/>
      <c r="U1227" s="230"/>
      <c r="V1227" s="230"/>
      <c r="W1227" s="230"/>
      <c r="X1227" s="239"/>
      <c r="Y1227" s="239"/>
      <c r="Z1227" s="230"/>
      <c r="AA1227" s="230"/>
      <c r="AB1227" s="230"/>
      <c r="AC1227" s="230"/>
      <c r="AD1227" s="239"/>
    </row>
    <row r="1228" spans="1:30" ht="15.75" x14ac:dyDescent="0.25">
      <c r="A1228" s="230"/>
      <c r="B1228" s="231"/>
      <c r="C1228" s="231"/>
      <c r="D1228" s="231"/>
      <c r="E1228" s="230"/>
      <c r="F1228" s="230"/>
      <c r="G1228" s="230"/>
      <c r="H1228" s="230"/>
      <c r="I1228" s="230"/>
      <c r="J1228" s="230"/>
      <c r="K1228" s="230"/>
      <c r="L1228" s="230"/>
      <c r="M1228" s="230"/>
      <c r="N1228" s="230"/>
      <c r="O1228" s="230"/>
      <c r="P1228" s="230"/>
      <c r="Q1228" s="230"/>
      <c r="R1228" s="230"/>
      <c r="S1228" s="239"/>
      <c r="T1228" s="230"/>
      <c r="U1228" s="230"/>
      <c r="V1228" s="230"/>
      <c r="W1228" s="230"/>
      <c r="X1228" s="239"/>
      <c r="Y1228" s="239"/>
      <c r="Z1228" s="230"/>
      <c r="AA1228" s="230"/>
      <c r="AB1228" s="230"/>
      <c r="AC1228" s="230"/>
      <c r="AD1228" s="239"/>
    </row>
    <row r="1229" spans="1:30" ht="15.75" x14ac:dyDescent="0.25">
      <c r="A1229" s="230"/>
      <c r="B1229" s="231"/>
      <c r="C1229" s="231"/>
      <c r="D1229" s="231"/>
      <c r="E1229" s="230"/>
      <c r="F1229" s="230"/>
      <c r="G1229" s="230"/>
      <c r="H1229" s="230"/>
      <c r="I1229" s="230"/>
      <c r="J1229" s="230"/>
      <c r="K1229" s="230"/>
      <c r="L1229" s="230"/>
      <c r="M1229" s="230"/>
      <c r="N1229" s="230"/>
      <c r="O1229" s="230"/>
      <c r="P1229" s="230"/>
      <c r="Q1229" s="230"/>
      <c r="R1229" s="230"/>
      <c r="S1229" s="239"/>
      <c r="T1229" s="230"/>
      <c r="U1229" s="230"/>
      <c r="V1229" s="230"/>
      <c r="W1229" s="230"/>
      <c r="X1229" s="239"/>
      <c r="Y1229" s="239"/>
      <c r="Z1229" s="230"/>
      <c r="AA1229" s="230"/>
      <c r="AB1229" s="230"/>
      <c r="AC1229" s="230"/>
      <c r="AD1229" s="239"/>
    </row>
    <row r="1230" spans="1:30" ht="15.75" x14ac:dyDescent="0.25">
      <c r="A1230" s="230"/>
      <c r="B1230" s="231"/>
      <c r="C1230" s="231"/>
      <c r="D1230" s="231"/>
      <c r="E1230" s="230"/>
      <c r="F1230" s="230"/>
      <c r="G1230" s="230"/>
      <c r="H1230" s="230"/>
      <c r="I1230" s="230"/>
      <c r="J1230" s="230"/>
      <c r="K1230" s="230"/>
      <c r="L1230" s="230"/>
      <c r="M1230" s="230"/>
      <c r="N1230" s="230"/>
      <c r="O1230" s="230"/>
      <c r="P1230" s="230"/>
      <c r="Q1230" s="230"/>
      <c r="R1230" s="230"/>
      <c r="S1230" s="239"/>
      <c r="T1230" s="230"/>
      <c r="U1230" s="230"/>
      <c r="V1230" s="230"/>
      <c r="W1230" s="230"/>
      <c r="X1230" s="239"/>
      <c r="Y1230" s="239"/>
      <c r="Z1230" s="230"/>
      <c r="AA1230" s="230"/>
      <c r="AB1230" s="230"/>
      <c r="AC1230" s="230"/>
      <c r="AD1230" s="239"/>
    </row>
    <row r="1231" spans="1:30" ht="15.75" x14ac:dyDescent="0.25">
      <c r="A1231" s="230"/>
      <c r="B1231" s="231"/>
      <c r="C1231" s="231"/>
      <c r="D1231" s="231"/>
      <c r="E1231" s="230"/>
      <c r="F1231" s="230"/>
      <c r="G1231" s="230"/>
      <c r="H1231" s="230"/>
      <c r="I1231" s="230"/>
      <c r="J1231" s="230"/>
      <c r="K1231" s="230"/>
      <c r="L1231" s="230"/>
      <c r="M1231" s="230"/>
      <c r="N1231" s="230"/>
      <c r="O1231" s="230"/>
      <c r="P1231" s="230"/>
      <c r="Q1231" s="230"/>
      <c r="R1231" s="230"/>
      <c r="S1231" s="239"/>
      <c r="T1231" s="230"/>
      <c r="U1231" s="230"/>
      <c r="V1231" s="230"/>
      <c r="W1231" s="230"/>
      <c r="X1231" s="239"/>
      <c r="Y1231" s="239"/>
      <c r="Z1231" s="230"/>
      <c r="AA1231" s="230"/>
      <c r="AB1231" s="230"/>
      <c r="AC1231" s="230"/>
      <c r="AD1231" s="239"/>
    </row>
    <row r="1232" spans="1:30" ht="15.75" x14ac:dyDescent="0.25">
      <c r="A1232" s="230"/>
      <c r="B1232" s="231"/>
      <c r="C1232" s="231"/>
      <c r="D1232" s="231"/>
      <c r="E1232" s="230"/>
      <c r="F1232" s="230"/>
      <c r="G1232" s="230"/>
      <c r="H1232" s="230"/>
      <c r="I1232" s="230"/>
      <c r="J1232" s="230"/>
      <c r="K1232" s="230"/>
      <c r="L1232" s="230"/>
      <c r="M1232" s="230"/>
      <c r="N1232" s="230"/>
      <c r="O1232" s="230"/>
      <c r="P1232" s="230"/>
      <c r="Q1232" s="230"/>
      <c r="R1232" s="230"/>
      <c r="S1232" s="239"/>
      <c r="T1232" s="230"/>
      <c r="U1232" s="230"/>
      <c r="V1232" s="230"/>
      <c r="W1232" s="230"/>
      <c r="X1232" s="239"/>
      <c r="Y1232" s="239"/>
      <c r="Z1232" s="230"/>
      <c r="AA1232" s="230"/>
      <c r="AB1232" s="230"/>
      <c r="AC1232" s="230"/>
      <c r="AD1232" s="239"/>
    </row>
    <row r="1233" spans="1:30" ht="15.75" x14ac:dyDescent="0.25">
      <c r="A1233" s="230"/>
      <c r="B1233" s="231"/>
      <c r="C1233" s="231"/>
      <c r="D1233" s="231"/>
      <c r="E1233" s="230"/>
      <c r="F1233" s="230"/>
      <c r="G1233" s="230"/>
      <c r="H1233" s="230"/>
      <c r="I1233" s="230"/>
      <c r="J1233" s="230"/>
      <c r="K1233" s="230"/>
      <c r="L1233" s="230"/>
      <c r="M1233" s="230"/>
      <c r="N1233" s="230"/>
      <c r="O1233" s="230"/>
      <c r="P1233" s="230"/>
      <c r="Q1233" s="230"/>
      <c r="R1233" s="230"/>
      <c r="S1233" s="239"/>
      <c r="T1233" s="230"/>
      <c r="U1233" s="230"/>
      <c r="V1233" s="230"/>
      <c r="W1233" s="230"/>
      <c r="X1233" s="239"/>
      <c r="Y1233" s="239"/>
      <c r="Z1233" s="230"/>
      <c r="AA1233" s="230"/>
      <c r="AB1233" s="230"/>
      <c r="AC1233" s="230"/>
      <c r="AD1233" s="239"/>
    </row>
    <row r="1234" spans="1:30" ht="15.75" x14ac:dyDescent="0.25">
      <c r="A1234" s="230"/>
      <c r="B1234" s="231"/>
      <c r="C1234" s="231"/>
      <c r="D1234" s="231"/>
      <c r="E1234" s="230"/>
      <c r="F1234" s="230"/>
      <c r="G1234" s="230"/>
      <c r="H1234" s="230"/>
      <c r="I1234" s="230"/>
      <c r="J1234" s="230"/>
      <c r="K1234" s="230"/>
      <c r="L1234" s="230"/>
      <c r="M1234" s="230"/>
      <c r="N1234" s="230"/>
      <c r="O1234" s="230"/>
      <c r="P1234" s="230"/>
      <c r="Q1234" s="230"/>
      <c r="R1234" s="230"/>
      <c r="S1234" s="239"/>
      <c r="T1234" s="230"/>
      <c r="U1234" s="230"/>
      <c r="V1234" s="230"/>
      <c r="W1234" s="230"/>
      <c r="X1234" s="239"/>
      <c r="Y1234" s="239"/>
      <c r="Z1234" s="230"/>
      <c r="AA1234" s="230"/>
      <c r="AB1234" s="230"/>
      <c r="AC1234" s="230"/>
      <c r="AD1234" s="239"/>
    </row>
    <row r="1235" spans="1:30" ht="15.75" x14ac:dyDescent="0.25">
      <c r="A1235" s="230"/>
      <c r="B1235" s="231"/>
      <c r="C1235" s="231"/>
      <c r="D1235" s="231"/>
      <c r="E1235" s="230"/>
      <c r="F1235" s="230"/>
      <c r="G1235" s="230"/>
      <c r="H1235" s="230"/>
      <c r="I1235" s="230"/>
      <c r="J1235" s="230"/>
      <c r="K1235" s="230"/>
      <c r="L1235" s="230"/>
      <c r="M1235" s="230"/>
      <c r="N1235" s="230"/>
      <c r="O1235" s="230"/>
      <c r="P1235" s="230"/>
      <c r="Q1235" s="230"/>
      <c r="R1235" s="230"/>
      <c r="S1235" s="239"/>
      <c r="T1235" s="230"/>
      <c r="U1235" s="230"/>
      <c r="V1235" s="230"/>
      <c r="W1235" s="230"/>
      <c r="X1235" s="239"/>
      <c r="Y1235" s="239"/>
      <c r="Z1235" s="230"/>
      <c r="AA1235" s="230"/>
      <c r="AB1235" s="230"/>
      <c r="AC1235" s="230"/>
      <c r="AD1235" s="239"/>
    </row>
    <row r="1236" spans="1:30" ht="15.75" x14ac:dyDescent="0.25">
      <c r="A1236" s="230"/>
      <c r="B1236" s="231"/>
      <c r="C1236" s="231"/>
      <c r="D1236" s="231"/>
      <c r="E1236" s="230"/>
      <c r="F1236" s="230"/>
      <c r="G1236" s="230"/>
      <c r="H1236" s="230"/>
      <c r="I1236" s="230"/>
      <c r="J1236" s="230"/>
      <c r="K1236" s="230"/>
      <c r="L1236" s="230"/>
      <c r="M1236" s="230"/>
      <c r="N1236" s="230"/>
      <c r="O1236" s="230"/>
      <c r="P1236" s="230"/>
      <c r="Q1236" s="230"/>
      <c r="R1236" s="230"/>
      <c r="S1236" s="239"/>
      <c r="T1236" s="230"/>
      <c r="U1236" s="230"/>
      <c r="V1236" s="230"/>
      <c r="W1236" s="230"/>
      <c r="X1236" s="239"/>
      <c r="Y1236" s="239"/>
      <c r="Z1236" s="230"/>
      <c r="AA1236" s="230"/>
      <c r="AB1236" s="230"/>
      <c r="AC1236" s="230"/>
      <c r="AD1236" s="239"/>
    </row>
    <row r="1237" spans="1:30" ht="15.75" x14ac:dyDescent="0.25">
      <c r="A1237" s="230"/>
      <c r="B1237" s="231"/>
      <c r="C1237" s="231"/>
      <c r="D1237" s="231"/>
      <c r="E1237" s="230"/>
      <c r="F1237" s="230"/>
      <c r="G1237" s="230"/>
      <c r="H1237" s="230"/>
      <c r="I1237" s="230"/>
      <c r="J1237" s="230"/>
      <c r="K1237" s="230"/>
      <c r="L1237" s="230"/>
      <c r="M1237" s="230"/>
      <c r="N1237" s="230"/>
      <c r="O1237" s="230"/>
      <c r="P1237" s="230"/>
      <c r="Q1237" s="230"/>
      <c r="R1237" s="230"/>
      <c r="S1237" s="239"/>
      <c r="T1237" s="230"/>
      <c r="U1237" s="230"/>
      <c r="V1237" s="230"/>
      <c r="W1237" s="230"/>
      <c r="X1237" s="239"/>
      <c r="Y1237" s="239"/>
      <c r="Z1237" s="230"/>
      <c r="AA1237" s="230"/>
      <c r="AB1237" s="230"/>
      <c r="AC1237" s="230"/>
      <c r="AD1237" s="239"/>
    </row>
    <row r="1238" spans="1:30" ht="15.75" x14ac:dyDescent="0.25">
      <c r="A1238" s="230"/>
      <c r="B1238" s="231"/>
      <c r="C1238" s="231"/>
      <c r="D1238" s="231"/>
      <c r="E1238" s="230"/>
      <c r="F1238" s="230"/>
      <c r="G1238" s="230"/>
      <c r="H1238" s="230"/>
      <c r="I1238" s="230"/>
      <c r="J1238" s="230"/>
      <c r="K1238" s="230"/>
      <c r="L1238" s="230"/>
      <c r="M1238" s="230"/>
      <c r="N1238" s="230"/>
      <c r="O1238" s="230"/>
      <c r="P1238" s="230"/>
      <c r="Q1238" s="230"/>
      <c r="R1238" s="230"/>
      <c r="S1238" s="239"/>
      <c r="T1238" s="230"/>
      <c r="U1238" s="230"/>
      <c r="V1238" s="230"/>
      <c r="W1238" s="230"/>
      <c r="X1238" s="239"/>
      <c r="Y1238" s="239"/>
      <c r="Z1238" s="230"/>
      <c r="AA1238" s="230"/>
      <c r="AB1238" s="230"/>
      <c r="AC1238" s="230"/>
      <c r="AD1238" s="239"/>
    </row>
    <row r="1239" spans="1:30" ht="15.75" x14ac:dyDescent="0.25">
      <c r="A1239" s="230"/>
      <c r="B1239" s="231"/>
      <c r="C1239" s="231"/>
      <c r="D1239" s="231"/>
      <c r="E1239" s="230"/>
      <c r="F1239" s="230"/>
      <c r="G1239" s="230"/>
      <c r="H1239" s="230"/>
      <c r="I1239" s="230"/>
      <c r="J1239" s="230"/>
      <c r="K1239" s="230"/>
      <c r="L1239" s="230"/>
      <c r="M1239" s="230"/>
      <c r="N1239" s="230"/>
      <c r="O1239" s="230"/>
      <c r="P1239" s="230"/>
      <c r="Q1239" s="230"/>
      <c r="R1239" s="230"/>
      <c r="S1239" s="239"/>
      <c r="T1239" s="230"/>
      <c r="U1239" s="230"/>
      <c r="V1239" s="230"/>
      <c r="W1239" s="230"/>
      <c r="X1239" s="239"/>
      <c r="Y1239" s="239"/>
      <c r="Z1239" s="230"/>
      <c r="AA1239" s="230"/>
      <c r="AB1239" s="230"/>
      <c r="AC1239" s="230"/>
      <c r="AD1239" s="239"/>
    </row>
    <row r="1240" spans="1:30" ht="15.75" x14ac:dyDescent="0.25">
      <c r="A1240" s="230"/>
      <c r="B1240" s="231"/>
      <c r="C1240" s="231"/>
      <c r="D1240" s="231"/>
      <c r="E1240" s="230"/>
      <c r="F1240" s="230"/>
      <c r="G1240" s="230"/>
      <c r="H1240" s="230"/>
      <c r="I1240" s="230"/>
      <c r="J1240" s="230"/>
      <c r="K1240" s="230"/>
      <c r="L1240" s="230"/>
      <c r="M1240" s="230"/>
      <c r="N1240" s="230"/>
      <c r="O1240" s="230"/>
      <c r="P1240" s="230"/>
      <c r="Q1240" s="230"/>
      <c r="R1240" s="230"/>
      <c r="S1240" s="239"/>
      <c r="T1240" s="230"/>
      <c r="U1240" s="230"/>
      <c r="V1240" s="230"/>
      <c r="W1240" s="230"/>
      <c r="X1240" s="239"/>
      <c r="Y1240" s="239"/>
      <c r="Z1240" s="230"/>
      <c r="AA1240" s="230"/>
      <c r="AB1240" s="230"/>
      <c r="AC1240" s="230"/>
      <c r="AD1240" s="239"/>
    </row>
    <row r="1241" spans="1:30" ht="15.75" x14ac:dyDescent="0.25">
      <c r="A1241" s="230"/>
      <c r="B1241" s="231"/>
      <c r="C1241" s="231"/>
      <c r="D1241" s="231"/>
      <c r="E1241" s="230"/>
      <c r="F1241" s="230"/>
      <c r="G1241" s="230"/>
      <c r="H1241" s="230"/>
      <c r="I1241" s="230"/>
      <c r="J1241" s="230"/>
      <c r="K1241" s="230"/>
      <c r="L1241" s="230"/>
      <c r="M1241" s="230"/>
      <c r="N1241" s="230"/>
      <c r="O1241" s="230"/>
      <c r="P1241" s="230"/>
      <c r="Q1241" s="230"/>
      <c r="R1241" s="230"/>
      <c r="S1241" s="239"/>
      <c r="T1241" s="230"/>
      <c r="U1241" s="230"/>
      <c r="V1241" s="230"/>
      <c r="W1241" s="230"/>
      <c r="X1241" s="239"/>
      <c r="Y1241" s="239"/>
      <c r="Z1241" s="230"/>
      <c r="AA1241" s="230"/>
      <c r="AB1241" s="230"/>
      <c r="AC1241" s="230"/>
      <c r="AD1241" s="239"/>
    </row>
    <row r="1242" spans="1:30" ht="15.75" x14ac:dyDescent="0.25">
      <c r="A1242" s="230"/>
      <c r="B1242" s="231"/>
      <c r="C1242" s="231"/>
      <c r="D1242" s="231"/>
      <c r="E1242" s="230"/>
      <c r="F1242" s="230"/>
      <c r="G1242" s="230"/>
      <c r="H1242" s="230"/>
      <c r="I1242" s="230"/>
      <c r="J1242" s="230"/>
      <c r="K1242" s="230"/>
      <c r="L1242" s="230"/>
      <c r="M1242" s="230"/>
      <c r="N1242" s="230"/>
      <c r="O1242" s="230"/>
      <c r="P1242" s="230"/>
      <c r="Q1242" s="230"/>
      <c r="R1242" s="230"/>
      <c r="S1242" s="239"/>
      <c r="T1242" s="230"/>
      <c r="U1242" s="230"/>
      <c r="V1242" s="230"/>
      <c r="W1242" s="230"/>
      <c r="X1242" s="239"/>
      <c r="Y1242" s="239"/>
      <c r="Z1242" s="230"/>
      <c r="AA1242" s="230"/>
      <c r="AB1242" s="230"/>
      <c r="AC1242" s="230"/>
      <c r="AD1242" s="239"/>
    </row>
    <row r="1243" spans="1:30" ht="15.75" x14ac:dyDescent="0.25">
      <c r="A1243" s="230"/>
      <c r="B1243" s="231"/>
      <c r="C1243" s="231"/>
      <c r="D1243" s="231"/>
      <c r="E1243" s="230"/>
      <c r="F1243" s="230"/>
      <c r="G1243" s="230"/>
      <c r="H1243" s="230"/>
      <c r="I1243" s="230"/>
      <c r="J1243" s="230"/>
      <c r="K1243" s="230"/>
      <c r="L1243" s="230"/>
      <c r="M1243" s="230"/>
      <c r="N1243" s="230"/>
      <c r="O1243" s="230"/>
      <c r="P1243" s="230"/>
      <c r="Q1243" s="230"/>
      <c r="R1243" s="230"/>
      <c r="S1243" s="239"/>
      <c r="T1243" s="230"/>
      <c r="U1243" s="230"/>
      <c r="V1243" s="230"/>
      <c r="W1243" s="230"/>
      <c r="X1243" s="239"/>
      <c r="Y1243" s="239"/>
      <c r="Z1243" s="230"/>
      <c r="AA1243" s="230"/>
      <c r="AB1243" s="230"/>
      <c r="AC1243" s="230"/>
      <c r="AD1243" s="239"/>
    </row>
    <row r="1244" spans="1:30" ht="15.75" x14ac:dyDescent="0.25">
      <c r="A1244" s="230"/>
      <c r="B1244" s="231"/>
      <c r="C1244" s="231"/>
      <c r="D1244" s="231"/>
      <c r="E1244" s="230"/>
      <c r="F1244" s="230"/>
      <c r="G1244" s="230"/>
      <c r="H1244" s="230"/>
      <c r="I1244" s="230"/>
      <c r="J1244" s="230"/>
      <c r="K1244" s="230"/>
      <c r="L1244" s="230"/>
      <c r="M1244" s="230"/>
      <c r="N1244" s="230"/>
      <c r="O1244" s="230"/>
      <c r="P1244" s="230"/>
      <c r="Q1244" s="230"/>
      <c r="R1244" s="230"/>
      <c r="S1244" s="239"/>
      <c r="T1244" s="230"/>
      <c r="U1244" s="230"/>
      <c r="V1244" s="230"/>
      <c r="W1244" s="230"/>
      <c r="X1244" s="239"/>
      <c r="Y1244" s="239"/>
      <c r="Z1244" s="230"/>
      <c r="AA1244" s="230"/>
      <c r="AB1244" s="230"/>
      <c r="AC1244" s="230"/>
      <c r="AD1244" s="239"/>
    </row>
    <row r="1245" spans="1:30" ht="15.75" x14ac:dyDescent="0.25">
      <c r="A1245" s="230"/>
      <c r="B1245" s="231"/>
      <c r="C1245" s="231"/>
      <c r="D1245" s="231"/>
      <c r="E1245" s="230"/>
      <c r="F1245" s="230"/>
      <c r="G1245" s="230"/>
      <c r="H1245" s="230"/>
      <c r="I1245" s="230"/>
      <c r="J1245" s="230"/>
      <c r="K1245" s="230"/>
      <c r="L1245" s="230"/>
      <c r="M1245" s="230"/>
      <c r="N1245" s="230"/>
      <c r="O1245" s="230"/>
      <c r="P1245" s="230"/>
      <c r="Q1245" s="230"/>
      <c r="R1245" s="230"/>
      <c r="S1245" s="239"/>
      <c r="T1245" s="230"/>
      <c r="U1245" s="230"/>
      <c r="V1245" s="230"/>
      <c r="W1245" s="230"/>
      <c r="X1245" s="239"/>
      <c r="Y1245" s="239"/>
      <c r="Z1245" s="230"/>
      <c r="AA1245" s="230"/>
      <c r="AB1245" s="230"/>
      <c r="AC1245" s="230"/>
      <c r="AD1245" s="239"/>
    </row>
    <row r="1246" spans="1:30" ht="15.75" x14ac:dyDescent="0.25">
      <c r="A1246" s="230"/>
      <c r="B1246" s="231"/>
      <c r="C1246" s="231"/>
      <c r="D1246" s="231"/>
      <c r="E1246" s="230"/>
      <c r="F1246" s="230"/>
      <c r="G1246" s="230"/>
      <c r="H1246" s="230"/>
      <c r="I1246" s="230"/>
      <c r="J1246" s="230"/>
      <c r="K1246" s="230"/>
      <c r="L1246" s="230"/>
      <c r="M1246" s="230"/>
      <c r="N1246" s="230"/>
      <c r="O1246" s="230"/>
      <c r="P1246" s="230"/>
      <c r="Q1246" s="230"/>
      <c r="R1246" s="230"/>
      <c r="S1246" s="239"/>
      <c r="T1246" s="230"/>
      <c r="U1246" s="230"/>
      <c r="V1246" s="230"/>
      <c r="W1246" s="230"/>
      <c r="X1246" s="239"/>
      <c r="Y1246" s="239"/>
      <c r="Z1246" s="230"/>
      <c r="AA1246" s="230"/>
      <c r="AB1246" s="230"/>
      <c r="AC1246" s="230"/>
      <c r="AD1246" s="239"/>
    </row>
    <row r="1247" spans="1:30" ht="15.75" x14ac:dyDescent="0.25">
      <c r="A1247" s="230"/>
      <c r="B1247" s="231"/>
      <c r="C1247" s="231"/>
      <c r="D1247" s="231"/>
      <c r="E1247" s="230"/>
      <c r="F1247" s="230"/>
      <c r="G1247" s="230"/>
      <c r="H1247" s="230"/>
      <c r="I1247" s="230"/>
      <c r="J1247" s="230"/>
      <c r="K1247" s="230"/>
      <c r="L1247" s="230"/>
      <c r="M1247" s="230"/>
      <c r="N1247" s="230"/>
      <c r="O1247" s="230"/>
      <c r="P1247" s="230"/>
      <c r="Q1247" s="230"/>
      <c r="R1247" s="230"/>
      <c r="S1247" s="239"/>
      <c r="T1247" s="230"/>
      <c r="U1247" s="230"/>
      <c r="V1247" s="230"/>
      <c r="W1247" s="230"/>
      <c r="X1247" s="239"/>
      <c r="Y1247" s="239"/>
      <c r="Z1247" s="230"/>
      <c r="AA1247" s="230"/>
      <c r="AB1247" s="230"/>
      <c r="AC1247" s="230"/>
      <c r="AD1247" s="239"/>
    </row>
    <row r="1248" spans="1:30" ht="15.75" x14ac:dyDescent="0.25">
      <c r="A1248" s="230"/>
      <c r="B1248" s="231"/>
      <c r="C1248" s="231"/>
      <c r="D1248" s="231"/>
      <c r="E1248" s="230"/>
      <c r="F1248" s="230"/>
      <c r="G1248" s="230"/>
      <c r="H1248" s="230"/>
      <c r="I1248" s="230"/>
      <c r="J1248" s="230"/>
      <c r="K1248" s="230"/>
      <c r="L1248" s="230"/>
      <c r="M1248" s="230"/>
      <c r="N1248" s="230"/>
      <c r="O1248" s="230"/>
      <c r="P1248" s="230"/>
      <c r="Q1248" s="230"/>
      <c r="R1248" s="230"/>
      <c r="S1248" s="239"/>
      <c r="T1248" s="230"/>
      <c r="U1248" s="230"/>
      <c r="V1248" s="230"/>
      <c r="W1248" s="230"/>
      <c r="X1248" s="239"/>
      <c r="Y1248" s="239"/>
      <c r="Z1248" s="230"/>
      <c r="AA1248" s="230"/>
      <c r="AB1248" s="230"/>
      <c r="AC1248" s="230"/>
      <c r="AD1248" s="239"/>
    </row>
    <row r="1249" spans="1:30" ht="15.75" x14ac:dyDescent="0.25">
      <c r="A1249" s="230"/>
      <c r="B1249" s="231"/>
      <c r="C1249" s="231"/>
      <c r="D1249" s="231"/>
      <c r="E1249" s="230"/>
      <c r="F1249" s="230"/>
      <c r="G1249" s="230"/>
      <c r="H1249" s="230"/>
      <c r="I1249" s="230"/>
      <c r="J1249" s="230"/>
      <c r="K1249" s="230"/>
      <c r="L1249" s="230"/>
      <c r="M1249" s="230"/>
      <c r="N1249" s="230"/>
      <c r="O1249" s="230"/>
      <c r="P1249" s="230"/>
      <c r="Q1249" s="230"/>
      <c r="R1249" s="230"/>
      <c r="S1249" s="239"/>
      <c r="T1249" s="230"/>
      <c r="U1249" s="230"/>
      <c r="V1249" s="230"/>
      <c r="W1249" s="230"/>
      <c r="X1249" s="239"/>
      <c r="Y1249" s="239"/>
      <c r="Z1249" s="230"/>
      <c r="AA1249" s="230"/>
      <c r="AB1249" s="230"/>
      <c r="AC1249" s="230"/>
      <c r="AD1249" s="239"/>
    </row>
    <row r="1250" spans="1:30" ht="15.75" x14ac:dyDescent="0.25">
      <c r="A1250" s="230"/>
      <c r="B1250" s="231"/>
      <c r="C1250" s="231"/>
      <c r="D1250" s="231"/>
      <c r="E1250" s="230"/>
      <c r="F1250" s="230"/>
      <c r="G1250" s="230"/>
      <c r="H1250" s="230"/>
      <c r="I1250" s="230"/>
      <c r="J1250" s="230"/>
      <c r="K1250" s="230"/>
      <c r="L1250" s="230"/>
      <c r="M1250" s="230"/>
      <c r="N1250" s="230"/>
      <c r="O1250" s="230"/>
      <c r="P1250" s="230"/>
      <c r="Q1250" s="230"/>
      <c r="R1250" s="230"/>
      <c r="S1250" s="239"/>
      <c r="T1250" s="230"/>
      <c r="U1250" s="230"/>
      <c r="V1250" s="230"/>
      <c r="W1250" s="230"/>
      <c r="X1250" s="239"/>
      <c r="Y1250" s="239"/>
      <c r="Z1250" s="230"/>
      <c r="AA1250" s="230"/>
      <c r="AB1250" s="230"/>
      <c r="AC1250" s="230"/>
      <c r="AD1250" s="239"/>
    </row>
    <row r="1251" spans="1:30" ht="15.75" x14ac:dyDescent="0.25">
      <c r="A1251" s="230"/>
      <c r="B1251" s="231"/>
      <c r="C1251" s="231"/>
      <c r="D1251" s="231"/>
      <c r="E1251" s="230"/>
      <c r="F1251" s="230"/>
      <c r="G1251" s="230"/>
      <c r="H1251" s="230"/>
      <c r="I1251" s="230"/>
      <c r="J1251" s="230"/>
      <c r="K1251" s="230"/>
      <c r="L1251" s="230"/>
      <c r="M1251" s="230"/>
      <c r="N1251" s="230"/>
      <c r="O1251" s="230"/>
      <c r="P1251" s="230"/>
      <c r="Q1251" s="230"/>
      <c r="R1251" s="230"/>
      <c r="S1251" s="239"/>
      <c r="T1251" s="230"/>
      <c r="U1251" s="230"/>
      <c r="V1251" s="230"/>
      <c r="W1251" s="230"/>
      <c r="X1251" s="239"/>
      <c r="Y1251" s="239"/>
      <c r="Z1251" s="230"/>
      <c r="AA1251" s="230"/>
      <c r="AB1251" s="230"/>
      <c r="AC1251" s="230"/>
      <c r="AD1251" s="239"/>
    </row>
    <row r="1252" spans="1:30" ht="15.75" x14ac:dyDescent="0.25">
      <c r="A1252" s="230"/>
      <c r="B1252" s="231"/>
      <c r="C1252" s="231"/>
      <c r="D1252" s="231"/>
      <c r="E1252" s="230"/>
      <c r="F1252" s="230"/>
      <c r="G1252" s="230"/>
      <c r="H1252" s="230"/>
      <c r="I1252" s="230"/>
      <c r="J1252" s="230"/>
      <c r="K1252" s="230"/>
      <c r="L1252" s="230"/>
      <c r="M1252" s="230"/>
      <c r="N1252" s="230"/>
      <c r="O1252" s="230"/>
      <c r="P1252" s="230"/>
      <c r="Q1252" s="230"/>
      <c r="R1252" s="230"/>
      <c r="S1252" s="239"/>
      <c r="T1252" s="230"/>
      <c r="U1252" s="230"/>
      <c r="V1252" s="230"/>
      <c r="W1252" s="230"/>
      <c r="X1252" s="239"/>
      <c r="Y1252" s="239"/>
      <c r="Z1252" s="230"/>
      <c r="AA1252" s="230"/>
      <c r="AB1252" s="230"/>
      <c r="AC1252" s="230"/>
      <c r="AD1252" s="239"/>
    </row>
    <row r="1253" spans="1:30" ht="15.75" x14ac:dyDescent="0.25">
      <c r="A1253" s="230"/>
      <c r="B1253" s="231"/>
      <c r="C1253" s="231"/>
      <c r="D1253" s="231"/>
      <c r="E1253" s="230"/>
      <c r="F1253" s="230"/>
      <c r="G1253" s="230"/>
      <c r="H1253" s="230"/>
      <c r="I1253" s="230"/>
      <c r="J1253" s="230"/>
      <c r="K1253" s="230"/>
      <c r="L1253" s="230"/>
      <c r="M1253" s="230"/>
      <c r="N1253" s="230"/>
      <c r="O1253" s="230"/>
      <c r="P1253" s="230"/>
      <c r="Q1253" s="230"/>
      <c r="R1253" s="230"/>
      <c r="S1253" s="239"/>
      <c r="T1253" s="230"/>
      <c r="U1253" s="230"/>
      <c r="V1253" s="230"/>
      <c r="W1253" s="230"/>
      <c r="X1253" s="239"/>
      <c r="Y1253" s="239"/>
      <c r="Z1253" s="230"/>
      <c r="AA1253" s="230"/>
      <c r="AB1253" s="230"/>
      <c r="AC1253" s="230"/>
      <c r="AD1253" s="239"/>
    </row>
    <row r="1254" spans="1:30" ht="15.75" x14ac:dyDescent="0.25">
      <c r="A1254" s="230"/>
      <c r="B1254" s="231"/>
      <c r="C1254" s="231"/>
      <c r="D1254" s="231"/>
      <c r="E1254" s="230"/>
      <c r="F1254" s="230"/>
      <c r="G1254" s="230"/>
      <c r="H1254" s="230"/>
      <c r="I1254" s="230"/>
      <c r="J1254" s="230"/>
      <c r="K1254" s="230"/>
      <c r="L1254" s="230"/>
      <c r="M1254" s="230"/>
      <c r="N1254" s="230"/>
      <c r="O1254" s="230"/>
      <c r="P1254" s="230"/>
      <c r="Q1254" s="230"/>
      <c r="R1254" s="230"/>
      <c r="S1254" s="239"/>
      <c r="T1254" s="230"/>
      <c r="U1254" s="230"/>
      <c r="V1254" s="230"/>
      <c r="W1254" s="230"/>
      <c r="X1254" s="239"/>
      <c r="Y1254" s="239"/>
      <c r="Z1254" s="230"/>
      <c r="AA1254" s="230"/>
      <c r="AB1254" s="230"/>
      <c r="AC1254" s="230"/>
      <c r="AD1254" s="239"/>
    </row>
    <row r="1255" spans="1:30" ht="15.75" x14ac:dyDescent="0.25">
      <c r="A1255" s="230"/>
      <c r="B1255" s="231"/>
      <c r="C1255" s="231"/>
      <c r="D1255" s="231"/>
      <c r="E1255" s="230"/>
      <c r="F1255" s="230"/>
      <c r="G1255" s="230"/>
      <c r="H1255" s="230"/>
      <c r="I1255" s="230"/>
      <c r="J1255" s="230"/>
      <c r="K1255" s="230"/>
      <c r="L1255" s="230"/>
      <c r="M1255" s="230"/>
      <c r="N1255" s="230"/>
      <c r="O1255" s="230"/>
      <c r="P1255" s="230"/>
      <c r="Q1255" s="230"/>
      <c r="R1255" s="230"/>
      <c r="S1255" s="239"/>
      <c r="T1255" s="230"/>
      <c r="U1255" s="230"/>
      <c r="V1255" s="230"/>
      <c r="W1255" s="230"/>
      <c r="X1255" s="239"/>
      <c r="Y1255" s="239"/>
      <c r="Z1255" s="230"/>
      <c r="AA1255" s="230"/>
      <c r="AB1255" s="230"/>
      <c r="AC1255" s="230"/>
      <c r="AD1255" s="239"/>
    </row>
    <row r="1256" spans="1:30" ht="15.75" x14ac:dyDescent="0.25">
      <c r="A1256" s="230"/>
      <c r="B1256" s="231"/>
      <c r="C1256" s="231"/>
      <c r="D1256" s="231"/>
      <c r="E1256" s="230"/>
      <c r="F1256" s="230"/>
      <c r="G1256" s="230"/>
      <c r="H1256" s="230"/>
      <c r="I1256" s="230"/>
      <c r="J1256" s="230"/>
      <c r="K1256" s="230"/>
      <c r="L1256" s="230"/>
      <c r="M1256" s="230"/>
      <c r="N1256" s="230"/>
      <c r="O1256" s="230"/>
      <c r="P1256" s="230"/>
      <c r="Q1256" s="230"/>
      <c r="R1256" s="230"/>
      <c r="S1256" s="239"/>
      <c r="T1256" s="230"/>
      <c r="U1256" s="230"/>
      <c r="V1256" s="230"/>
      <c r="W1256" s="230"/>
      <c r="X1256" s="239"/>
      <c r="Y1256" s="239"/>
      <c r="Z1256" s="230"/>
      <c r="AA1256" s="230"/>
      <c r="AB1256" s="230"/>
      <c r="AC1256" s="230"/>
      <c r="AD1256" s="239"/>
    </row>
    <row r="1257" spans="1:30" ht="15.75" x14ac:dyDescent="0.25">
      <c r="A1257" s="230"/>
      <c r="B1257" s="231"/>
      <c r="C1257" s="231"/>
      <c r="D1257" s="231"/>
      <c r="E1257" s="230"/>
      <c r="F1257" s="230"/>
      <c r="G1257" s="230"/>
      <c r="H1257" s="230"/>
      <c r="I1257" s="230"/>
      <c r="J1257" s="230"/>
      <c r="K1257" s="230"/>
      <c r="L1257" s="230"/>
      <c r="M1257" s="230"/>
      <c r="N1257" s="230"/>
      <c r="O1257" s="230"/>
      <c r="P1257" s="230"/>
      <c r="Q1257" s="230"/>
      <c r="R1257" s="230"/>
      <c r="S1257" s="239"/>
      <c r="T1257" s="230"/>
      <c r="U1257" s="230"/>
      <c r="V1257" s="230"/>
      <c r="W1257" s="230"/>
      <c r="X1257" s="239"/>
      <c r="Y1257" s="239"/>
      <c r="Z1257" s="230"/>
      <c r="AA1257" s="230"/>
      <c r="AB1257" s="230"/>
      <c r="AC1257" s="230"/>
      <c r="AD1257" s="239"/>
    </row>
    <row r="1258" spans="1:30" ht="15.75" x14ac:dyDescent="0.25">
      <c r="A1258" s="230"/>
      <c r="B1258" s="231"/>
      <c r="C1258" s="231"/>
      <c r="D1258" s="231"/>
      <c r="E1258" s="230"/>
      <c r="F1258" s="230"/>
      <c r="G1258" s="230"/>
      <c r="H1258" s="230"/>
      <c r="I1258" s="230"/>
      <c r="J1258" s="230"/>
      <c r="K1258" s="230"/>
      <c r="L1258" s="230"/>
      <c r="M1258" s="230"/>
      <c r="N1258" s="230"/>
      <c r="O1258" s="230"/>
      <c r="P1258" s="230"/>
      <c r="Q1258" s="230"/>
      <c r="R1258" s="230"/>
      <c r="S1258" s="239"/>
      <c r="T1258" s="230"/>
      <c r="U1258" s="230"/>
      <c r="V1258" s="230"/>
      <c r="W1258" s="230"/>
      <c r="X1258" s="239"/>
      <c r="Y1258" s="239"/>
      <c r="Z1258" s="230"/>
      <c r="AA1258" s="230"/>
      <c r="AB1258" s="230"/>
      <c r="AC1258" s="230"/>
      <c r="AD1258" s="239"/>
    </row>
    <row r="1259" spans="1:30" ht="15.75" x14ac:dyDescent="0.25">
      <c r="A1259" s="230"/>
      <c r="B1259" s="231"/>
      <c r="C1259" s="231"/>
      <c r="D1259" s="231"/>
      <c r="E1259" s="230"/>
      <c r="F1259" s="230"/>
      <c r="G1259" s="230"/>
      <c r="H1259" s="230"/>
      <c r="I1259" s="230"/>
      <c r="J1259" s="230"/>
      <c r="K1259" s="230"/>
      <c r="L1259" s="230"/>
      <c r="M1259" s="230"/>
      <c r="N1259" s="230"/>
      <c r="O1259" s="230"/>
      <c r="P1259" s="230"/>
      <c r="Q1259" s="230"/>
      <c r="R1259" s="230"/>
      <c r="S1259" s="239"/>
      <c r="T1259" s="230"/>
      <c r="U1259" s="230"/>
      <c r="V1259" s="230"/>
      <c r="W1259" s="230"/>
      <c r="X1259" s="239"/>
      <c r="Y1259" s="239"/>
      <c r="Z1259" s="230"/>
      <c r="AA1259" s="230"/>
      <c r="AB1259" s="230"/>
      <c r="AC1259" s="230"/>
      <c r="AD1259" s="239"/>
    </row>
    <row r="1260" spans="1:30" ht="15.75" x14ac:dyDescent="0.25">
      <c r="A1260" s="230"/>
      <c r="B1260" s="231"/>
      <c r="C1260" s="231"/>
      <c r="D1260" s="231"/>
      <c r="E1260" s="230"/>
      <c r="F1260" s="230"/>
      <c r="G1260" s="230"/>
      <c r="H1260" s="230"/>
      <c r="I1260" s="230"/>
      <c r="J1260" s="230"/>
      <c r="K1260" s="230"/>
      <c r="L1260" s="230"/>
      <c r="M1260" s="230"/>
      <c r="N1260" s="230"/>
      <c r="O1260" s="230"/>
      <c r="P1260" s="230"/>
      <c r="Q1260" s="230"/>
      <c r="R1260" s="230"/>
      <c r="S1260" s="239"/>
      <c r="T1260" s="230"/>
      <c r="U1260" s="230"/>
      <c r="V1260" s="230"/>
      <c r="W1260" s="230"/>
      <c r="X1260" s="239"/>
      <c r="Y1260" s="239"/>
      <c r="Z1260" s="230"/>
      <c r="AA1260" s="230"/>
      <c r="AB1260" s="230"/>
      <c r="AC1260" s="230"/>
      <c r="AD1260" s="239"/>
    </row>
    <row r="1261" spans="1:30" ht="15.75" x14ac:dyDescent="0.25">
      <c r="A1261" s="230"/>
      <c r="B1261" s="231"/>
      <c r="C1261" s="231"/>
      <c r="D1261" s="231"/>
      <c r="E1261" s="230"/>
      <c r="F1261" s="230"/>
      <c r="G1261" s="230"/>
      <c r="H1261" s="230"/>
      <c r="I1261" s="230"/>
      <c r="J1261" s="230"/>
      <c r="K1261" s="230"/>
      <c r="L1261" s="230"/>
      <c r="M1261" s="230"/>
      <c r="N1261" s="230"/>
      <c r="O1261" s="230"/>
      <c r="P1261" s="230"/>
      <c r="Q1261" s="230"/>
      <c r="R1261" s="230"/>
      <c r="S1261" s="239"/>
      <c r="T1261" s="230"/>
      <c r="U1261" s="230"/>
      <c r="V1261" s="230"/>
      <c r="W1261" s="230"/>
      <c r="X1261" s="239"/>
      <c r="Y1261" s="239"/>
      <c r="Z1261" s="230"/>
      <c r="AA1261" s="230"/>
      <c r="AB1261" s="230"/>
      <c r="AC1261" s="230"/>
      <c r="AD1261" s="239"/>
    </row>
    <row r="1262" spans="1:30" ht="15.75" x14ac:dyDescent="0.25">
      <c r="A1262" s="230"/>
      <c r="B1262" s="231"/>
      <c r="C1262" s="231"/>
      <c r="D1262" s="231"/>
      <c r="E1262" s="230"/>
      <c r="F1262" s="230"/>
      <c r="G1262" s="230"/>
      <c r="H1262" s="230"/>
      <c r="I1262" s="230"/>
      <c r="J1262" s="230"/>
      <c r="K1262" s="230"/>
      <c r="L1262" s="230"/>
      <c r="M1262" s="230"/>
      <c r="N1262" s="230"/>
      <c r="O1262" s="230"/>
      <c r="P1262" s="230"/>
      <c r="Q1262" s="230"/>
      <c r="R1262" s="230"/>
      <c r="S1262" s="239"/>
      <c r="T1262" s="230"/>
      <c r="U1262" s="230"/>
      <c r="V1262" s="230"/>
      <c r="W1262" s="230"/>
      <c r="X1262" s="239"/>
      <c r="Y1262" s="239"/>
      <c r="Z1262" s="230"/>
      <c r="AA1262" s="230"/>
      <c r="AB1262" s="230"/>
      <c r="AC1262" s="230"/>
      <c r="AD1262" s="239"/>
    </row>
    <row r="1263" spans="1:30" ht="15.75" x14ac:dyDescent="0.25">
      <c r="A1263" s="230"/>
      <c r="B1263" s="231"/>
      <c r="C1263" s="231"/>
      <c r="D1263" s="231"/>
      <c r="E1263" s="230"/>
      <c r="F1263" s="230"/>
      <c r="G1263" s="230"/>
      <c r="H1263" s="230"/>
      <c r="I1263" s="230"/>
      <c r="J1263" s="230"/>
      <c r="K1263" s="230"/>
      <c r="L1263" s="230"/>
      <c r="M1263" s="230"/>
      <c r="N1263" s="230"/>
      <c r="O1263" s="230"/>
      <c r="P1263" s="230"/>
      <c r="Q1263" s="230"/>
      <c r="R1263" s="230"/>
      <c r="S1263" s="239"/>
      <c r="T1263" s="230"/>
      <c r="U1263" s="230"/>
      <c r="V1263" s="230"/>
      <c r="W1263" s="230"/>
      <c r="X1263" s="239"/>
      <c r="Y1263" s="239"/>
      <c r="Z1263" s="230"/>
      <c r="AA1263" s="230"/>
      <c r="AB1263" s="230"/>
      <c r="AC1263" s="230"/>
      <c r="AD1263" s="239"/>
    </row>
    <row r="1264" spans="1:30" ht="15.75" x14ac:dyDescent="0.25">
      <c r="A1264" s="230"/>
      <c r="B1264" s="231"/>
      <c r="C1264" s="231"/>
      <c r="D1264" s="231"/>
      <c r="E1264" s="230"/>
      <c r="F1264" s="230"/>
      <c r="G1264" s="230"/>
      <c r="H1264" s="230"/>
      <c r="I1264" s="230"/>
      <c r="J1264" s="230"/>
      <c r="K1264" s="230"/>
      <c r="L1264" s="230"/>
      <c r="M1264" s="230"/>
      <c r="N1264" s="230"/>
      <c r="O1264" s="230"/>
      <c r="P1264" s="230"/>
      <c r="Q1264" s="230"/>
      <c r="R1264" s="230"/>
      <c r="S1264" s="239"/>
      <c r="T1264" s="230"/>
      <c r="U1264" s="230"/>
      <c r="V1264" s="230"/>
      <c r="W1264" s="230"/>
      <c r="X1264" s="239"/>
      <c r="Y1264" s="239"/>
      <c r="Z1264" s="230"/>
      <c r="AA1264" s="230"/>
      <c r="AB1264" s="230"/>
      <c r="AC1264" s="230"/>
      <c r="AD1264" s="239"/>
    </row>
    <row r="1265" spans="1:30" ht="15.75" x14ac:dyDescent="0.25">
      <c r="A1265" s="230"/>
      <c r="B1265" s="231"/>
      <c r="C1265" s="231"/>
      <c r="D1265" s="231"/>
      <c r="E1265" s="230"/>
      <c r="F1265" s="230"/>
      <c r="G1265" s="230"/>
      <c r="H1265" s="230"/>
      <c r="I1265" s="230"/>
      <c r="J1265" s="230"/>
      <c r="K1265" s="230"/>
      <c r="L1265" s="230"/>
      <c r="M1265" s="230"/>
      <c r="N1265" s="230"/>
      <c r="O1265" s="230"/>
      <c r="P1265" s="230"/>
      <c r="Q1265" s="230"/>
      <c r="R1265" s="230"/>
      <c r="S1265" s="239"/>
      <c r="T1265" s="230"/>
      <c r="U1265" s="230"/>
      <c r="V1265" s="230"/>
      <c r="W1265" s="230"/>
      <c r="X1265" s="239"/>
      <c r="Y1265" s="239"/>
      <c r="Z1265" s="230"/>
      <c r="AA1265" s="230"/>
      <c r="AB1265" s="230"/>
      <c r="AC1265" s="230"/>
      <c r="AD1265" s="239"/>
    </row>
    <row r="1266" spans="1:30" ht="15.75" x14ac:dyDescent="0.25">
      <c r="A1266" s="230"/>
      <c r="B1266" s="231"/>
      <c r="C1266" s="231"/>
      <c r="D1266" s="231"/>
      <c r="E1266" s="230"/>
      <c r="F1266" s="230"/>
      <c r="G1266" s="230"/>
      <c r="H1266" s="230"/>
      <c r="I1266" s="230"/>
      <c r="J1266" s="230"/>
      <c r="K1266" s="230"/>
      <c r="L1266" s="230"/>
      <c r="M1266" s="230"/>
      <c r="N1266" s="230"/>
      <c r="O1266" s="230"/>
      <c r="P1266" s="230"/>
      <c r="Q1266" s="230"/>
      <c r="R1266" s="230"/>
      <c r="S1266" s="239"/>
      <c r="T1266" s="230"/>
      <c r="U1266" s="230"/>
      <c r="V1266" s="230"/>
      <c r="W1266" s="230"/>
      <c r="X1266" s="239"/>
      <c r="Y1266" s="239"/>
      <c r="Z1266" s="230"/>
      <c r="AA1266" s="230"/>
      <c r="AB1266" s="230"/>
      <c r="AC1266" s="230"/>
      <c r="AD1266" s="239"/>
    </row>
    <row r="1267" spans="1:30" ht="15.75" x14ac:dyDescent="0.25">
      <c r="A1267" s="230"/>
      <c r="B1267" s="231"/>
      <c r="C1267" s="231"/>
      <c r="D1267" s="231"/>
      <c r="E1267" s="230"/>
      <c r="F1267" s="230"/>
      <c r="G1267" s="230"/>
      <c r="H1267" s="230"/>
      <c r="I1267" s="230"/>
      <c r="J1267" s="230"/>
      <c r="K1267" s="230"/>
      <c r="L1267" s="230"/>
      <c r="M1267" s="230"/>
      <c r="N1267" s="230"/>
      <c r="O1267" s="230"/>
      <c r="P1267" s="230"/>
      <c r="Q1267" s="230"/>
      <c r="R1267" s="230"/>
      <c r="S1267" s="239"/>
      <c r="T1267" s="230"/>
      <c r="U1267" s="230"/>
      <c r="V1267" s="230"/>
      <c r="W1267" s="230"/>
      <c r="X1267" s="239"/>
      <c r="Y1267" s="239"/>
      <c r="Z1267" s="230"/>
      <c r="AA1267" s="230"/>
      <c r="AB1267" s="230"/>
      <c r="AC1267" s="230"/>
      <c r="AD1267" s="239"/>
    </row>
    <row r="1268" spans="1:30" ht="15.75" x14ac:dyDescent="0.25">
      <c r="A1268" s="230"/>
      <c r="B1268" s="231"/>
      <c r="C1268" s="231"/>
      <c r="D1268" s="231"/>
      <c r="E1268" s="230"/>
      <c r="F1268" s="230"/>
      <c r="G1268" s="230"/>
      <c r="H1268" s="230"/>
      <c r="I1268" s="230"/>
      <c r="J1268" s="230"/>
      <c r="K1268" s="230"/>
      <c r="L1268" s="230"/>
      <c r="M1268" s="230"/>
      <c r="N1268" s="230"/>
      <c r="O1268" s="230"/>
      <c r="P1268" s="230"/>
      <c r="Q1268" s="230"/>
      <c r="R1268" s="230"/>
      <c r="S1268" s="239"/>
      <c r="T1268" s="230"/>
      <c r="U1268" s="230"/>
      <c r="V1268" s="230"/>
      <c r="W1268" s="230"/>
      <c r="X1268" s="239"/>
      <c r="Y1268" s="239"/>
      <c r="Z1268" s="230"/>
      <c r="AA1268" s="230"/>
      <c r="AB1268" s="230"/>
      <c r="AC1268" s="230"/>
      <c r="AD1268" s="239"/>
    </row>
    <row r="1269" spans="1:30" ht="15.75" x14ac:dyDescent="0.25">
      <c r="A1269" s="230"/>
      <c r="B1269" s="231"/>
      <c r="C1269" s="231"/>
      <c r="D1269" s="231"/>
      <c r="E1269" s="230"/>
      <c r="F1269" s="230"/>
      <c r="G1269" s="230"/>
      <c r="H1269" s="230"/>
      <c r="I1269" s="230"/>
      <c r="J1269" s="230"/>
      <c r="K1269" s="230"/>
      <c r="L1269" s="230"/>
      <c r="M1269" s="230"/>
      <c r="N1269" s="230"/>
      <c r="O1269" s="230"/>
      <c r="P1269" s="230"/>
      <c r="Q1269" s="230"/>
      <c r="R1269" s="230"/>
      <c r="S1269" s="239"/>
      <c r="T1269" s="230"/>
      <c r="U1269" s="230"/>
      <c r="V1269" s="230"/>
      <c r="W1269" s="230"/>
      <c r="X1269" s="239"/>
      <c r="Y1269" s="239"/>
      <c r="Z1269" s="230"/>
      <c r="AA1269" s="230"/>
      <c r="AB1269" s="230"/>
      <c r="AC1269" s="230"/>
      <c r="AD1269" s="239"/>
    </row>
    <row r="1270" spans="1:30" ht="15.75" x14ac:dyDescent="0.25">
      <c r="A1270" s="230"/>
      <c r="B1270" s="231"/>
      <c r="C1270" s="231"/>
      <c r="D1270" s="231"/>
      <c r="E1270" s="230"/>
      <c r="F1270" s="230"/>
      <c r="G1270" s="230"/>
      <c r="H1270" s="230"/>
      <c r="I1270" s="230"/>
      <c r="J1270" s="230"/>
      <c r="K1270" s="230"/>
      <c r="L1270" s="230"/>
      <c r="M1270" s="230"/>
      <c r="N1270" s="230"/>
      <c r="O1270" s="230"/>
      <c r="P1270" s="230"/>
      <c r="Q1270" s="230"/>
      <c r="R1270" s="230"/>
      <c r="S1270" s="239"/>
      <c r="T1270" s="230"/>
      <c r="U1270" s="230"/>
      <c r="V1270" s="230"/>
      <c r="W1270" s="230"/>
      <c r="X1270" s="239"/>
      <c r="Y1270" s="239"/>
      <c r="Z1270" s="230"/>
      <c r="AA1270" s="230"/>
      <c r="AB1270" s="230"/>
      <c r="AC1270" s="230"/>
      <c r="AD1270" s="239"/>
    </row>
    <row r="1271" spans="1:30" ht="15.75" x14ac:dyDescent="0.25">
      <c r="A1271" s="230"/>
      <c r="B1271" s="231"/>
      <c r="C1271" s="231"/>
      <c r="D1271" s="231"/>
      <c r="E1271" s="230"/>
      <c r="F1271" s="230"/>
      <c r="G1271" s="230"/>
      <c r="H1271" s="230"/>
      <c r="I1271" s="230"/>
      <c r="J1271" s="230"/>
      <c r="K1271" s="230"/>
      <c r="L1271" s="230"/>
      <c r="M1271" s="230"/>
      <c r="N1271" s="230"/>
      <c r="O1271" s="230"/>
      <c r="P1271" s="230"/>
      <c r="Q1271" s="230"/>
      <c r="R1271" s="230"/>
      <c r="S1271" s="239"/>
      <c r="T1271" s="230"/>
      <c r="U1271" s="230"/>
      <c r="V1271" s="230"/>
      <c r="W1271" s="230"/>
      <c r="X1271" s="239"/>
      <c r="Y1271" s="239"/>
      <c r="Z1271" s="230"/>
      <c r="AA1271" s="230"/>
      <c r="AB1271" s="230"/>
      <c r="AC1271" s="230"/>
      <c r="AD1271" s="239"/>
    </row>
    <row r="1272" spans="1:30" ht="15.75" x14ac:dyDescent="0.25">
      <c r="A1272" s="230"/>
      <c r="B1272" s="231"/>
      <c r="C1272" s="231"/>
      <c r="D1272" s="231"/>
      <c r="E1272" s="230"/>
      <c r="F1272" s="230"/>
      <c r="G1272" s="230"/>
      <c r="H1272" s="230"/>
      <c r="I1272" s="230"/>
      <c r="J1272" s="230"/>
      <c r="K1272" s="230"/>
      <c r="L1272" s="230"/>
      <c r="M1272" s="230"/>
      <c r="N1272" s="230"/>
      <c r="O1272" s="230"/>
      <c r="P1272" s="230"/>
      <c r="Q1272" s="230"/>
      <c r="R1272" s="230"/>
      <c r="S1272" s="239"/>
      <c r="T1272" s="230"/>
      <c r="U1272" s="230"/>
      <c r="V1272" s="230"/>
      <c r="W1272" s="230"/>
      <c r="X1272" s="239"/>
      <c r="Y1272" s="239"/>
      <c r="Z1272" s="230"/>
      <c r="AA1272" s="230"/>
      <c r="AB1272" s="230"/>
      <c r="AC1272" s="230"/>
      <c r="AD1272" s="239"/>
    </row>
    <row r="1273" spans="1:30" ht="15.75" x14ac:dyDescent="0.25">
      <c r="A1273" s="230"/>
      <c r="B1273" s="231"/>
      <c r="C1273" s="231"/>
      <c r="D1273" s="231"/>
      <c r="E1273" s="230"/>
      <c r="F1273" s="230"/>
      <c r="G1273" s="230"/>
      <c r="H1273" s="230"/>
      <c r="I1273" s="230"/>
      <c r="J1273" s="230"/>
      <c r="K1273" s="230"/>
      <c r="L1273" s="230"/>
      <c r="M1273" s="230"/>
      <c r="N1273" s="230"/>
      <c r="O1273" s="230"/>
      <c r="P1273" s="230"/>
      <c r="Q1273" s="230"/>
      <c r="R1273" s="230"/>
      <c r="S1273" s="239"/>
      <c r="T1273" s="230"/>
      <c r="U1273" s="230"/>
      <c r="V1273" s="230"/>
      <c r="W1273" s="230"/>
      <c r="X1273" s="239"/>
      <c r="Y1273" s="239"/>
      <c r="Z1273" s="230"/>
      <c r="AA1273" s="230"/>
      <c r="AB1273" s="230"/>
      <c r="AC1273" s="230"/>
      <c r="AD1273" s="239"/>
    </row>
    <row r="1274" spans="1:30" ht="15.75" x14ac:dyDescent="0.25">
      <c r="A1274" s="230"/>
      <c r="B1274" s="231"/>
      <c r="C1274" s="231"/>
      <c r="D1274" s="231"/>
      <c r="E1274" s="230"/>
      <c r="F1274" s="230"/>
      <c r="G1274" s="230"/>
      <c r="H1274" s="230"/>
      <c r="I1274" s="230"/>
      <c r="J1274" s="230"/>
      <c r="K1274" s="230"/>
      <c r="L1274" s="230"/>
      <c r="M1274" s="230"/>
      <c r="N1274" s="230"/>
      <c r="O1274" s="230"/>
      <c r="P1274" s="230"/>
      <c r="Q1274" s="230"/>
      <c r="R1274" s="230"/>
      <c r="S1274" s="239"/>
      <c r="T1274" s="230"/>
      <c r="U1274" s="230"/>
      <c r="V1274" s="230"/>
      <c r="W1274" s="230"/>
      <c r="X1274" s="239"/>
      <c r="Y1274" s="239"/>
      <c r="Z1274" s="230"/>
      <c r="AA1274" s="230"/>
      <c r="AB1274" s="230"/>
      <c r="AC1274" s="230"/>
      <c r="AD1274" s="239"/>
    </row>
    <row r="1275" spans="1:30" ht="15.75" x14ac:dyDescent="0.25">
      <c r="A1275" s="230"/>
      <c r="B1275" s="231"/>
      <c r="C1275" s="231"/>
      <c r="D1275" s="231"/>
      <c r="E1275" s="230"/>
      <c r="F1275" s="230"/>
      <c r="G1275" s="230"/>
      <c r="H1275" s="230"/>
      <c r="I1275" s="230"/>
      <c r="J1275" s="230"/>
      <c r="K1275" s="230"/>
      <c r="L1275" s="230"/>
      <c r="M1275" s="230"/>
      <c r="N1275" s="230"/>
      <c r="O1275" s="230"/>
      <c r="P1275" s="230"/>
      <c r="Q1275" s="230"/>
      <c r="R1275" s="230"/>
      <c r="S1275" s="239"/>
      <c r="T1275" s="230"/>
      <c r="U1275" s="230"/>
      <c r="V1275" s="230"/>
      <c r="W1275" s="230"/>
      <c r="X1275" s="239"/>
      <c r="Y1275" s="239"/>
      <c r="Z1275" s="230"/>
      <c r="AA1275" s="230"/>
      <c r="AB1275" s="230"/>
      <c r="AC1275" s="230"/>
      <c r="AD1275" s="239"/>
    </row>
    <row r="1276" spans="1:30" ht="15.75" x14ac:dyDescent="0.25">
      <c r="A1276" s="230"/>
      <c r="B1276" s="231"/>
      <c r="C1276" s="231"/>
      <c r="D1276" s="231"/>
      <c r="E1276" s="230"/>
      <c r="F1276" s="230"/>
      <c r="G1276" s="230"/>
      <c r="H1276" s="230"/>
      <c r="I1276" s="230"/>
      <c r="J1276" s="230"/>
      <c r="K1276" s="230"/>
      <c r="L1276" s="230"/>
      <c r="M1276" s="230"/>
      <c r="N1276" s="230"/>
      <c r="O1276" s="230"/>
      <c r="P1276" s="230"/>
      <c r="Q1276" s="230"/>
      <c r="R1276" s="230"/>
      <c r="S1276" s="239"/>
      <c r="T1276" s="230"/>
      <c r="U1276" s="230"/>
      <c r="V1276" s="230"/>
      <c r="W1276" s="230"/>
      <c r="X1276" s="239"/>
      <c r="Y1276" s="239"/>
      <c r="Z1276" s="230"/>
      <c r="AA1276" s="230"/>
      <c r="AB1276" s="230"/>
      <c r="AC1276" s="230"/>
      <c r="AD1276" s="239"/>
    </row>
    <row r="1277" spans="1:30" ht="15.75" x14ac:dyDescent="0.25">
      <c r="A1277" s="230"/>
      <c r="B1277" s="231"/>
      <c r="C1277" s="231"/>
      <c r="D1277" s="231"/>
      <c r="E1277" s="230"/>
      <c r="F1277" s="230"/>
      <c r="G1277" s="230"/>
      <c r="H1277" s="230"/>
      <c r="I1277" s="230"/>
      <c r="J1277" s="230"/>
      <c r="K1277" s="230"/>
      <c r="L1277" s="230"/>
      <c r="M1277" s="230"/>
      <c r="N1277" s="230"/>
      <c r="O1277" s="230"/>
      <c r="P1277" s="230"/>
      <c r="Q1277" s="230"/>
      <c r="R1277" s="230"/>
      <c r="S1277" s="239"/>
      <c r="T1277" s="230"/>
      <c r="U1277" s="230"/>
      <c r="V1277" s="230"/>
      <c r="W1277" s="230"/>
      <c r="X1277" s="239"/>
      <c r="Y1277" s="239"/>
      <c r="Z1277" s="230"/>
      <c r="AA1277" s="230"/>
      <c r="AB1277" s="230"/>
      <c r="AC1277" s="230"/>
      <c r="AD1277" s="239"/>
    </row>
    <row r="1278" spans="1:30" ht="15.75" x14ac:dyDescent="0.25">
      <c r="A1278" s="230"/>
      <c r="B1278" s="231"/>
      <c r="C1278" s="231"/>
      <c r="D1278" s="231"/>
      <c r="E1278" s="230"/>
      <c r="F1278" s="230"/>
      <c r="G1278" s="230"/>
      <c r="H1278" s="230"/>
      <c r="I1278" s="230"/>
      <c r="J1278" s="230"/>
      <c r="K1278" s="230"/>
      <c r="L1278" s="230"/>
      <c r="M1278" s="230"/>
      <c r="N1278" s="230"/>
      <c r="O1278" s="230"/>
      <c r="P1278" s="230"/>
      <c r="Q1278" s="230"/>
      <c r="R1278" s="230"/>
      <c r="S1278" s="239"/>
      <c r="T1278" s="230"/>
      <c r="U1278" s="230"/>
      <c r="V1278" s="230"/>
      <c r="W1278" s="230"/>
      <c r="X1278" s="239"/>
      <c r="Y1278" s="239"/>
      <c r="Z1278" s="230"/>
      <c r="AA1278" s="230"/>
      <c r="AB1278" s="230"/>
      <c r="AC1278" s="230"/>
      <c r="AD1278" s="239"/>
    </row>
    <row r="1279" spans="1:30" ht="15.75" x14ac:dyDescent="0.25">
      <c r="A1279" s="230"/>
      <c r="B1279" s="231"/>
      <c r="C1279" s="231"/>
      <c r="D1279" s="231"/>
      <c r="E1279" s="230"/>
      <c r="F1279" s="230"/>
      <c r="G1279" s="230"/>
      <c r="H1279" s="230"/>
      <c r="I1279" s="230"/>
      <c r="J1279" s="230"/>
      <c r="K1279" s="230"/>
      <c r="L1279" s="230"/>
      <c r="M1279" s="230"/>
      <c r="N1279" s="230"/>
      <c r="O1279" s="230"/>
      <c r="P1279" s="230"/>
      <c r="Q1279" s="230"/>
      <c r="R1279" s="230"/>
      <c r="S1279" s="239"/>
      <c r="T1279" s="230"/>
      <c r="U1279" s="230"/>
      <c r="V1279" s="230"/>
      <c r="W1279" s="230"/>
      <c r="X1279" s="239"/>
      <c r="Y1279" s="239"/>
      <c r="Z1279" s="230"/>
      <c r="AA1279" s="230"/>
      <c r="AB1279" s="230"/>
      <c r="AC1279" s="230"/>
      <c r="AD1279" s="239"/>
    </row>
    <row r="1280" spans="1:30" ht="15.75" x14ac:dyDescent="0.25">
      <c r="A1280" s="230"/>
      <c r="B1280" s="231"/>
      <c r="C1280" s="231"/>
      <c r="D1280" s="231"/>
      <c r="E1280" s="230"/>
      <c r="F1280" s="230"/>
      <c r="G1280" s="230"/>
      <c r="H1280" s="230"/>
      <c r="I1280" s="230"/>
      <c r="J1280" s="230"/>
      <c r="K1280" s="230"/>
      <c r="L1280" s="230"/>
      <c r="M1280" s="230"/>
      <c r="N1280" s="230"/>
      <c r="O1280" s="230"/>
      <c r="P1280" s="230"/>
      <c r="Q1280" s="230"/>
      <c r="R1280" s="230"/>
      <c r="S1280" s="239"/>
      <c r="T1280" s="230"/>
      <c r="U1280" s="230"/>
      <c r="V1280" s="230"/>
      <c r="W1280" s="230"/>
      <c r="X1280" s="239"/>
      <c r="Y1280" s="239"/>
      <c r="Z1280" s="230"/>
      <c r="AA1280" s="230"/>
      <c r="AB1280" s="230"/>
      <c r="AC1280" s="230"/>
      <c r="AD1280" s="239"/>
    </row>
    <row r="1281" spans="1:30" ht="15.75" x14ac:dyDescent="0.25">
      <c r="A1281" s="230"/>
      <c r="B1281" s="231"/>
      <c r="C1281" s="231"/>
      <c r="D1281" s="231"/>
      <c r="E1281" s="230"/>
      <c r="F1281" s="230"/>
      <c r="G1281" s="230"/>
      <c r="H1281" s="230"/>
      <c r="I1281" s="230"/>
      <c r="J1281" s="230"/>
      <c r="K1281" s="230"/>
      <c r="L1281" s="230"/>
      <c r="M1281" s="230"/>
      <c r="N1281" s="230"/>
      <c r="O1281" s="230"/>
      <c r="P1281" s="230"/>
      <c r="Q1281" s="230"/>
      <c r="R1281" s="230"/>
      <c r="S1281" s="239"/>
      <c r="T1281" s="230"/>
      <c r="U1281" s="230"/>
      <c r="V1281" s="230"/>
      <c r="W1281" s="230"/>
      <c r="X1281" s="239"/>
      <c r="Y1281" s="239"/>
      <c r="Z1281" s="230"/>
      <c r="AA1281" s="230"/>
      <c r="AB1281" s="230"/>
      <c r="AC1281" s="230"/>
      <c r="AD1281" s="239"/>
    </row>
    <row r="1282" spans="1:30" ht="15.75" x14ac:dyDescent="0.25">
      <c r="A1282" s="230"/>
      <c r="B1282" s="231"/>
      <c r="C1282" s="231"/>
      <c r="D1282" s="231"/>
      <c r="E1282" s="230"/>
      <c r="F1282" s="230"/>
      <c r="G1282" s="230"/>
      <c r="H1282" s="230"/>
      <c r="I1282" s="230"/>
      <c r="J1282" s="230"/>
      <c r="K1282" s="230"/>
      <c r="L1282" s="230"/>
      <c r="M1282" s="230"/>
      <c r="N1282" s="230"/>
      <c r="O1282" s="230"/>
      <c r="P1282" s="230"/>
      <c r="Q1282" s="230"/>
      <c r="R1282" s="230"/>
      <c r="S1282" s="239"/>
      <c r="T1282" s="230"/>
      <c r="U1282" s="230"/>
      <c r="V1282" s="230"/>
      <c r="W1282" s="230"/>
      <c r="X1282" s="239"/>
      <c r="Y1282" s="239"/>
      <c r="Z1282" s="230"/>
      <c r="AA1282" s="230"/>
      <c r="AB1282" s="230"/>
      <c r="AC1282" s="230"/>
      <c r="AD1282" s="239"/>
    </row>
    <row r="1283" spans="1:30" ht="15.75" x14ac:dyDescent="0.25">
      <c r="A1283" s="230"/>
      <c r="B1283" s="231"/>
      <c r="C1283" s="231"/>
      <c r="D1283" s="231"/>
      <c r="E1283" s="230"/>
      <c r="F1283" s="230"/>
      <c r="G1283" s="230"/>
      <c r="H1283" s="230"/>
      <c r="I1283" s="230"/>
      <c r="J1283" s="230"/>
      <c r="K1283" s="230"/>
      <c r="L1283" s="230"/>
      <c r="M1283" s="230"/>
      <c r="N1283" s="230"/>
      <c r="O1283" s="230"/>
      <c r="P1283" s="230"/>
      <c r="Q1283" s="230"/>
      <c r="R1283" s="230"/>
      <c r="S1283" s="239"/>
      <c r="T1283" s="230"/>
      <c r="U1283" s="230"/>
      <c r="V1283" s="230"/>
      <c r="W1283" s="230"/>
      <c r="X1283" s="239"/>
      <c r="Y1283" s="239"/>
      <c r="Z1283" s="230"/>
      <c r="AA1283" s="230"/>
      <c r="AB1283" s="230"/>
      <c r="AC1283" s="230"/>
      <c r="AD1283" s="239"/>
    </row>
    <row r="1284" spans="1:30" ht="15.75" x14ac:dyDescent="0.25">
      <c r="A1284" s="230"/>
      <c r="B1284" s="231"/>
      <c r="C1284" s="231"/>
      <c r="D1284" s="231"/>
      <c r="E1284" s="230"/>
      <c r="F1284" s="230"/>
      <c r="G1284" s="230"/>
      <c r="H1284" s="230"/>
      <c r="I1284" s="230"/>
      <c r="J1284" s="230"/>
      <c r="K1284" s="230"/>
      <c r="L1284" s="230"/>
      <c r="M1284" s="230"/>
      <c r="N1284" s="230"/>
      <c r="O1284" s="230"/>
      <c r="P1284" s="230"/>
      <c r="Q1284" s="230"/>
      <c r="R1284" s="230"/>
      <c r="S1284" s="239"/>
      <c r="T1284" s="230"/>
      <c r="U1284" s="230"/>
      <c r="V1284" s="230"/>
      <c r="W1284" s="230"/>
      <c r="X1284" s="239"/>
      <c r="Y1284" s="239"/>
      <c r="Z1284" s="230"/>
      <c r="AA1284" s="230"/>
      <c r="AB1284" s="230"/>
      <c r="AC1284" s="230"/>
      <c r="AD1284" s="239"/>
    </row>
    <row r="1285" spans="1:30" ht="15.75" x14ac:dyDescent="0.25">
      <c r="A1285" s="230"/>
      <c r="B1285" s="231"/>
      <c r="C1285" s="231"/>
      <c r="D1285" s="231"/>
      <c r="E1285" s="230"/>
      <c r="F1285" s="230"/>
      <c r="G1285" s="230"/>
      <c r="H1285" s="230"/>
      <c r="I1285" s="230"/>
      <c r="J1285" s="230"/>
      <c r="K1285" s="230"/>
      <c r="L1285" s="230"/>
      <c r="M1285" s="230"/>
      <c r="N1285" s="230"/>
      <c r="O1285" s="230"/>
      <c r="P1285" s="230"/>
      <c r="Q1285" s="230"/>
      <c r="R1285" s="230"/>
      <c r="S1285" s="239"/>
      <c r="T1285" s="230"/>
      <c r="U1285" s="230"/>
      <c r="V1285" s="230"/>
      <c r="W1285" s="230"/>
      <c r="X1285" s="239"/>
      <c r="Y1285" s="239"/>
      <c r="Z1285" s="230"/>
      <c r="AA1285" s="230"/>
      <c r="AB1285" s="230"/>
      <c r="AC1285" s="230"/>
      <c r="AD1285" s="239"/>
    </row>
    <row r="1286" spans="1:30" ht="15.75" x14ac:dyDescent="0.25">
      <c r="A1286" s="230"/>
      <c r="B1286" s="231"/>
      <c r="C1286" s="231"/>
      <c r="D1286" s="231"/>
      <c r="E1286" s="230"/>
      <c r="F1286" s="230"/>
      <c r="G1286" s="230"/>
      <c r="H1286" s="230"/>
      <c r="I1286" s="230"/>
      <c r="J1286" s="230"/>
      <c r="K1286" s="230"/>
      <c r="L1286" s="230"/>
      <c r="M1286" s="230"/>
      <c r="N1286" s="230"/>
      <c r="O1286" s="230"/>
      <c r="P1286" s="230"/>
      <c r="Q1286" s="230"/>
      <c r="R1286" s="230"/>
      <c r="S1286" s="239"/>
      <c r="T1286" s="230"/>
      <c r="U1286" s="230"/>
      <c r="V1286" s="230"/>
      <c r="W1286" s="230"/>
      <c r="X1286" s="239"/>
      <c r="Y1286" s="239"/>
      <c r="Z1286" s="230"/>
      <c r="AA1286" s="230"/>
      <c r="AB1286" s="230"/>
      <c r="AC1286" s="230"/>
      <c r="AD1286" s="239"/>
    </row>
    <row r="1287" spans="1:30" ht="15.75" x14ac:dyDescent="0.25">
      <c r="A1287" s="230"/>
      <c r="B1287" s="231"/>
      <c r="C1287" s="231"/>
      <c r="D1287" s="231"/>
      <c r="E1287" s="230"/>
      <c r="F1287" s="230"/>
      <c r="G1287" s="230"/>
      <c r="H1287" s="230"/>
      <c r="I1287" s="230"/>
      <c r="J1287" s="230"/>
      <c r="K1287" s="230"/>
      <c r="L1287" s="230"/>
      <c r="M1287" s="230"/>
      <c r="N1287" s="230"/>
      <c r="O1287" s="230"/>
      <c r="P1287" s="230"/>
      <c r="Q1287" s="230"/>
      <c r="R1287" s="230"/>
      <c r="S1287" s="239"/>
      <c r="T1287" s="230"/>
      <c r="U1287" s="230"/>
      <c r="V1287" s="230"/>
      <c r="W1287" s="230"/>
      <c r="X1287" s="239"/>
      <c r="Y1287" s="239"/>
      <c r="Z1287" s="230"/>
      <c r="AA1287" s="230"/>
      <c r="AB1287" s="230"/>
      <c r="AC1287" s="230"/>
      <c r="AD1287" s="239"/>
    </row>
    <row r="1288" spans="1:30" ht="15.75" x14ac:dyDescent="0.25">
      <c r="A1288" s="230"/>
      <c r="B1288" s="231"/>
      <c r="C1288" s="231"/>
      <c r="D1288" s="231"/>
      <c r="E1288" s="230"/>
      <c r="F1288" s="230"/>
      <c r="G1288" s="230"/>
      <c r="H1288" s="230"/>
      <c r="I1288" s="230"/>
      <c r="J1288" s="230"/>
      <c r="K1288" s="230"/>
      <c r="L1288" s="230"/>
      <c r="M1288" s="230"/>
      <c r="N1288" s="230"/>
      <c r="O1288" s="230"/>
      <c r="P1288" s="230"/>
      <c r="Q1288" s="230"/>
      <c r="R1288" s="230"/>
      <c r="S1288" s="239"/>
      <c r="T1288" s="230"/>
      <c r="U1288" s="230"/>
      <c r="V1288" s="230"/>
      <c r="W1288" s="230"/>
      <c r="X1288" s="239"/>
      <c r="Y1288" s="239"/>
      <c r="Z1288" s="230"/>
      <c r="AA1288" s="230"/>
      <c r="AB1288" s="230"/>
      <c r="AC1288" s="230"/>
      <c r="AD1288" s="239"/>
    </row>
    <row r="1289" spans="1:30" ht="15.75" x14ac:dyDescent="0.25">
      <c r="A1289" s="230"/>
      <c r="B1289" s="231"/>
      <c r="C1289" s="231"/>
      <c r="D1289" s="231"/>
      <c r="E1289" s="230"/>
      <c r="F1289" s="230"/>
      <c r="G1289" s="230"/>
      <c r="H1289" s="230"/>
      <c r="I1289" s="230"/>
      <c r="J1289" s="230"/>
      <c r="K1289" s="230"/>
      <c r="L1289" s="230"/>
      <c r="M1289" s="230"/>
      <c r="N1289" s="230"/>
      <c r="O1289" s="230"/>
      <c r="P1289" s="230"/>
      <c r="Q1289" s="230"/>
      <c r="R1289" s="230"/>
      <c r="S1289" s="239"/>
      <c r="T1289" s="230"/>
      <c r="U1289" s="230"/>
      <c r="V1289" s="230"/>
      <c r="W1289" s="230"/>
      <c r="X1289" s="239"/>
      <c r="Y1289" s="239"/>
      <c r="Z1289" s="230"/>
      <c r="AA1289" s="230"/>
      <c r="AB1289" s="230"/>
      <c r="AC1289" s="230"/>
      <c r="AD1289" s="239"/>
    </row>
    <row r="1290" spans="1:30" ht="15.75" x14ac:dyDescent="0.25">
      <c r="A1290" s="230"/>
      <c r="B1290" s="231"/>
      <c r="C1290" s="231"/>
      <c r="D1290" s="231"/>
      <c r="E1290" s="230"/>
      <c r="F1290" s="230"/>
      <c r="G1290" s="230"/>
      <c r="H1290" s="230"/>
      <c r="I1290" s="230"/>
      <c r="J1290" s="230"/>
      <c r="K1290" s="230"/>
      <c r="L1290" s="230"/>
      <c r="M1290" s="230"/>
      <c r="N1290" s="230"/>
      <c r="O1290" s="230"/>
      <c r="P1290" s="230"/>
      <c r="Q1290" s="230"/>
      <c r="R1290" s="230"/>
      <c r="S1290" s="239"/>
      <c r="T1290" s="230"/>
      <c r="U1290" s="230"/>
      <c r="V1290" s="230"/>
      <c r="W1290" s="230"/>
      <c r="X1290" s="239"/>
      <c r="Y1290" s="239"/>
      <c r="Z1290" s="230"/>
      <c r="AA1290" s="230"/>
      <c r="AB1290" s="230"/>
      <c r="AC1290" s="230"/>
      <c r="AD1290" s="239"/>
    </row>
    <row r="1291" spans="1:30" ht="15.75" x14ac:dyDescent="0.25">
      <c r="A1291" s="230"/>
      <c r="B1291" s="231"/>
      <c r="C1291" s="231"/>
      <c r="D1291" s="231"/>
      <c r="E1291" s="230"/>
      <c r="F1291" s="230"/>
      <c r="G1291" s="230"/>
      <c r="H1291" s="230"/>
      <c r="I1291" s="230"/>
      <c r="J1291" s="230"/>
      <c r="K1291" s="230"/>
      <c r="L1291" s="230"/>
      <c r="M1291" s="230"/>
      <c r="N1291" s="230"/>
      <c r="O1291" s="230"/>
      <c r="P1291" s="230"/>
      <c r="Q1291" s="230"/>
      <c r="R1291" s="230"/>
      <c r="S1291" s="239"/>
      <c r="T1291" s="230"/>
      <c r="U1291" s="230"/>
      <c r="V1291" s="230"/>
      <c r="W1291" s="230"/>
      <c r="X1291" s="239"/>
      <c r="Y1291" s="239"/>
      <c r="Z1291" s="230"/>
      <c r="AA1291" s="230"/>
      <c r="AB1291" s="230"/>
      <c r="AC1291" s="230"/>
      <c r="AD1291" s="239"/>
    </row>
    <row r="1292" spans="1:30" ht="15.75" x14ac:dyDescent="0.25">
      <c r="A1292" s="230"/>
      <c r="B1292" s="231"/>
      <c r="C1292" s="231"/>
      <c r="D1292" s="231"/>
      <c r="E1292" s="230"/>
      <c r="F1292" s="230"/>
      <c r="G1292" s="230"/>
      <c r="H1292" s="230"/>
      <c r="I1292" s="230"/>
      <c r="J1292" s="230"/>
      <c r="K1292" s="230"/>
      <c r="L1292" s="230"/>
      <c r="M1292" s="230"/>
      <c r="N1292" s="230"/>
      <c r="O1292" s="230"/>
      <c r="P1292" s="230"/>
      <c r="Q1292" s="230"/>
      <c r="R1292" s="230"/>
      <c r="S1292" s="239"/>
      <c r="T1292" s="230"/>
      <c r="U1292" s="230"/>
      <c r="V1292" s="230"/>
      <c r="W1292" s="230"/>
      <c r="X1292" s="239"/>
      <c r="Y1292" s="239"/>
      <c r="Z1292" s="230"/>
      <c r="AA1292" s="230"/>
      <c r="AB1292" s="230"/>
      <c r="AC1292" s="230"/>
      <c r="AD1292" s="239"/>
    </row>
    <row r="1293" spans="1:30" ht="15.75" x14ac:dyDescent="0.25">
      <c r="A1293" s="230"/>
      <c r="B1293" s="231"/>
      <c r="C1293" s="231"/>
      <c r="D1293" s="231"/>
      <c r="E1293" s="230"/>
      <c r="F1293" s="230"/>
      <c r="G1293" s="230"/>
      <c r="H1293" s="230"/>
      <c r="I1293" s="230"/>
      <c r="J1293" s="230"/>
      <c r="K1293" s="230"/>
      <c r="L1293" s="230"/>
      <c r="M1293" s="230"/>
      <c r="N1293" s="230"/>
      <c r="O1293" s="230"/>
      <c r="P1293" s="230"/>
      <c r="Q1293" s="230"/>
      <c r="R1293" s="230"/>
      <c r="S1293" s="239"/>
      <c r="T1293" s="230"/>
      <c r="U1293" s="230"/>
      <c r="V1293" s="230"/>
      <c r="W1293" s="230"/>
      <c r="X1293" s="239"/>
      <c r="Y1293" s="239"/>
      <c r="Z1293" s="230"/>
      <c r="AA1293" s="230"/>
      <c r="AB1293" s="230"/>
      <c r="AC1293" s="230"/>
      <c r="AD1293" s="239"/>
    </row>
    <row r="1294" spans="1:30" ht="15.75" x14ac:dyDescent="0.25">
      <c r="A1294" s="230"/>
      <c r="B1294" s="231"/>
      <c r="C1294" s="231"/>
      <c r="D1294" s="231"/>
      <c r="E1294" s="230"/>
      <c r="F1294" s="230"/>
      <c r="G1294" s="230"/>
      <c r="H1294" s="230"/>
      <c r="I1294" s="230"/>
      <c r="J1294" s="230"/>
      <c r="K1294" s="230"/>
      <c r="L1294" s="230"/>
      <c r="M1294" s="230"/>
      <c r="N1294" s="230"/>
      <c r="O1294" s="230"/>
      <c r="P1294" s="230"/>
      <c r="Q1294" s="230"/>
      <c r="R1294" s="230"/>
      <c r="S1294" s="239"/>
      <c r="T1294" s="230"/>
      <c r="U1294" s="230"/>
      <c r="V1294" s="230"/>
      <c r="W1294" s="230"/>
      <c r="X1294" s="239"/>
      <c r="Y1294" s="239"/>
      <c r="Z1294" s="230"/>
      <c r="AA1294" s="230"/>
      <c r="AB1294" s="230"/>
      <c r="AC1294" s="230"/>
      <c r="AD1294" s="239"/>
    </row>
    <row r="1295" spans="1:30" ht="15.75" x14ac:dyDescent="0.25">
      <c r="A1295" s="230"/>
      <c r="B1295" s="231"/>
      <c r="C1295" s="231"/>
      <c r="D1295" s="231"/>
      <c r="E1295" s="230"/>
      <c r="F1295" s="230"/>
      <c r="G1295" s="230"/>
      <c r="H1295" s="230"/>
      <c r="I1295" s="230"/>
      <c r="J1295" s="230"/>
      <c r="K1295" s="230"/>
      <c r="L1295" s="230"/>
      <c r="M1295" s="230"/>
      <c r="N1295" s="230"/>
      <c r="O1295" s="230"/>
      <c r="P1295" s="230"/>
      <c r="Q1295" s="230"/>
      <c r="R1295" s="230"/>
      <c r="S1295" s="239"/>
      <c r="T1295" s="230"/>
      <c r="U1295" s="230"/>
      <c r="V1295" s="230"/>
      <c r="W1295" s="230"/>
      <c r="X1295" s="239"/>
      <c r="Y1295" s="239"/>
      <c r="Z1295" s="230"/>
      <c r="AA1295" s="230"/>
      <c r="AB1295" s="230"/>
      <c r="AC1295" s="230"/>
      <c r="AD1295" s="239"/>
    </row>
    <row r="1296" spans="1:30" ht="15.75" x14ac:dyDescent="0.25">
      <c r="A1296" s="230"/>
      <c r="B1296" s="231"/>
      <c r="C1296" s="231"/>
      <c r="D1296" s="231"/>
      <c r="E1296" s="230"/>
      <c r="F1296" s="230"/>
      <c r="G1296" s="230"/>
      <c r="H1296" s="230"/>
      <c r="I1296" s="230"/>
      <c r="J1296" s="230"/>
      <c r="K1296" s="230"/>
      <c r="L1296" s="230"/>
      <c r="M1296" s="230"/>
      <c r="N1296" s="230"/>
      <c r="O1296" s="230"/>
      <c r="P1296" s="230"/>
      <c r="Q1296" s="230"/>
      <c r="R1296" s="230"/>
      <c r="S1296" s="239"/>
      <c r="T1296" s="230"/>
      <c r="U1296" s="230"/>
      <c r="V1296" s="230"/>
      <c r="W1296" s="230"/>
      <c r="X1296" s="239"/>
      <c r="Y1296" s="239"/>
      <c r="Z1296" s="230"/>
      <c r="AA1296" s="230"/>
      <c r="AB1296" s="230"/>
      <c r="AC1296" s="230"/>
      <c r="AD1296" s="239"/>
    </row>
    <row r="1297" spans="1:30" ht="15.75" x14ac:dyDescent="0.25">
      <c r="A1297" s="230"/>
      <c r="B1297" s="231"/>
      <c r="C1297" s="231"/>
      <c r="D1297" s="231"/>
      <c r="E1297" s="230"/>
      <c r="F1297" s="230"/>
      <c r="G1297" s="230"/>
      <c r="H1297" s="230"/>
      <c r="I1297" s="230"/>
      <c r="J1297" s="230"/>
      <c r="K1297" s="230"/>
      <c r="L1297" s="230"/>
      <c r="M1297" s="230"/>
      <c r="N1297" s="230"/>
      <c r="O1297" s="230"/>
      <c r="P1297" s="230"/>
      <c r="Q1297" s="230"/>
      <c r="R1297" s="230"/>
      <c r="S1297" s="239"/>
      <c r="T1297" s="230"/>
      <c r="U1297" s="230"/>
      <c r="V1297" s="230"/>
      <c r="W1297" s="230"/>
      <c r="X1297" s="239"/>
      <c r="Y1297" s="239"/>
      <c r="Z1297" s="230"/>
      <c r="AA1297" s="230"/>
      <c r="AB1297" s="230"/>
      <c r="AC1297" s="230"/>
      <c r="AD1297" s="239"/>
    </row>
    <row r="1298" spans="1:30" ht="15.75" x14ac:dyDescent="0.25">
      <c r="A1298" s="230"/>
      <c r="B1298" s="231"/>
      <c r="C1298" s="231"/>
      <c r="D1298" s="231"/>
      <c r="E1298" s="230"/>
      <c r="F1298" s="230"/>
      <c r="G1298" s="230"/>
      <c r="H1298" s="230"/>
      <c r="I1298" s="230"/>
      <c r="J1298" s="230"/>
      <c r="K1298" s="230"/>
      <c r="L1298" s="230"/>
      <c r="M1298" s="230"/>
      <c r="N1298" s="230"/>
      <c r="O1298" s="230"/>
      <c r="P1298" s="230"/>
      <c r="Q1298" s="230"/>
      <c r="R1298" s="230"/>
      <c r="S1298" s="239"/>
      <c r="T1298" s="230"/>
      <c r="U1298" s="230"/>
      <c r="V1298" s="230"/>
      <c r="W1298" s="230"/>
      <c r="X1298" s="239"/>
      <c r="Y1298" s="239"/>
      <c r="Z1298" s="230"/>
      <c r="AA1298" s="230"/>
      <c r="AB1298" s="230"/>
      <c r="AC1298" s="230"/>
      <c r="AD1298" s="239"/>
    </row>
    <row r="1299" spans="1:30" ht="15.75" x14ac:dyDescent="0.25">
      <c r="A1299" s="230"/>
      <c r="B1299" s="231"/>
      <c r="C1299" s="231"/>
      <c r="D1299" s="231"/>
      <c r="E1299" s="230"/>
      <c r="F1299" s="230"/>
      <c r="G1299" s="230"/>
      <c r="H1299" s="230"/>
      <c r="I1299" s="230"/>
      <c r="J1299" s="230"/>
      <c r="K1299" s="230"/>
      <c r="L1299" s="230"/>
      <c r="M1299" s="230"/>
      <c r="N1299" s="230"/>
      <c r="O1299" s="230"/>
      <c r="P1299" s="230"/>
      <c r="Q1299" s="230"/>
      <c r="R1299" s="230"/>
      <c r="S1299" s="239"/>
      <c r="T1299" s="230"/>
      <c r="U1299" s="230"/>
      <c r="V1299" s="230"/>
      <c r="W1299" s="230"/>
      <c r="X1299" s="239"/>
      <c r="Y1299" s="239"/>
      <c r="Z1299" s="230"/>
      <c r="AA1299" s="230"/>
      <c r="AB1299" s="230"/>
      <c r="AC1299" s="230"/>
      <c r="AD1299" s="239"/>
    </row>
    <row r="1300" spans="1:30" ht="15.75" x14ac:dyDescent="0.25">
      <c r="A1300" s="230"/>
      <c r="B1300" s="231"/>
      <c r="C1300" s="231"/>
      <c r="D1300" s="231"/>
      <c r="E1300" s="230"/>
      <c r="F1300" s="230"/>
      <c r="G1300" s="230"/>
      <c r="H1300" s="230"/>
      <c r="I1300" s="230"/>
      <c r="J1300" s="230"/>
      <c r="K1300" s="230"/>
      <c r="L1300" s="230"/>
      <c r="M1300" s="230"/>
      <c r="N1300" s="230"/>
      <c r="O1300" s="230"/>
      <c r="P1300" s="230"/>
      <c r="Q1300" s="230"/>
      <c r="R1300" s="230"/>
      <c r="S1300" s="239"/>
      <c r="T1300" s="230"/>
      <c r="U1300" s="230"/>
      <c r="V1300" s="230"/>
      <c r="W1300" s="230"/>
      <c r="X1300" s="239"/>
      <c r="Y1300" s="239"/>
      <c r="Z1300" s="230"/>
      <c r="AA1300" s="230"/>
      <c r="AB1300" s="230"/>
      <c r="AC1300" s="230"/>
      <c r="AD1300" s="239"/>
    </row>
    <row r="1301" spans="1:30" ht="15.75" x14ac:dyDescent="0.25">
      <c r="A1301" s="230"/>
      <c r="B1301" s="231"/>
      <c r="C1301" s="231"/>
      <c r="D1301" s="231"/>
      <c r="E1301" s="230"/>
      <c r="F1301" s="230"/>
      <c r="G1301" s="230"/>
      <c r="H1301" s="230"/>
      <c r="I1301" s="230"/>
      <c r="J1301" s="230"/>
      <c r="K1301" s="230"/>
      <c r="L1301" s="230"/>
      <c r="M1301" s="230"/>
      <c r="N1301" s="230"/>
      <c r="O1301" s="230"/>
      <c r="P1301" s="230"/>
      <c r="Q1301" s="230"/>
      <c r="R1301" s="230"/>
      <c r="S1301" s="239"/>
      <c r="T1301" s="230"/>
      <c r="U1301" s="230"/>
      <c r="V1301" s="230"/>
      <c r="W1301" s="230"/>
      <c r="X1301" s="239"/>
      <c r="Y1301" s="239"/>
      <c r="Z1301" s="230"/>
      <c r="AA1301" s="230"/>
      <c r="AB1301" s="230"/>
      <c r="AC1301" s="230"/>
      <c r="AD1301" s="239"/>
    </row>
    <row r="1302" spans="1:30" ht="15.75" x14ac:dyDescent="0.25">
      <c r="A1302" s="230"/>
      <c r="B1302" s="231"/>
      <c r="C1302" s="231"/>
      <c r="D1302" s="231"/>
      <c r="E1302" s="230"/>
      <c r="F1302" s="230"/>
      <c r="G1302" s="230"/>
      <c r="H1302" s="230"/>
      <c r="I1302" s="230"/>
      <c r="J1302" s="230"/>
      <c r="K1302" s="230"/>
      <c r="L1302" s="230"/>
      <c r="M1302" s="230"/>
      <c r="N1302" s="230"/>
      <c r="O1302" s="230"/>
      <c r="P1302" s="230"/>
      <c r="Q1302" s="230"/>
      <c r="R1302" s="230"/>
      <c r="S1302" s="239"/>
      <c r="T1302" s="230"/>
      <c r="U1302" s="230"/>
      <c r="V1302" s="230"/>
      <c r="W1302" s="230"/>
      <c r="X1302" s="239"/>
      <c r="Y1302" s="239"/>
      <c r="Z1302" s="230"/>
      <c r="AA1302" s="230"/>
      <c r="AB1302" s="230"/>
      <c r="AC1302" s="230"/>
      <c r="AD1302" s="239"/>
    </row>
    <row r="1303" spans="1:30" ht="15.75" x14ac:dyDescent="0.25">
      <c r="A1303" s="230"/>
      <c r="B1303" s="231"/>
      <c r="C1303" s="231"/>
      <c r="D1303" s="231"/>
      <c r="E1303" s="230"/>
      <c r="F1303" s="230"/>
      <c r="G1303" s="230"/>
      <c r="H1303" s="230"/>
      <c r="I1303" s="230"/>
      <c r="J1303" s="230"/>
      <c r="K1303" s="230"/>
      <c r="L1303" s="230"/>
      <c r="M1303" s="230"/>
      <c r="N1303" s="230"/>
      <c r="O1303" s="230"/>
      <c r="P1303" s="230"/>
      <c r="Q1303" s="230"/>
      <c r="R1303" s="230"/>
      <c r="S1303" s="239"/>
      <c r="T1303" s="230"/>
      <c r="U1303" s="230"/>
      <c r="V1303" s="230"/>
      <c r="W1303" s="230"/>
      <c r="X1303" s="239"/>
      <c r="Y1303" s="239"/>
      <c r="Z1303" s="230"/>
      <c r="AA1303" s="230"/>
      <c r="AB1303" s="230"/>
      <c r="AC1303" s="230"/>
      <c r="AD1303" s="239"/>
    </row>
    <row r="1304" spans="1:30" ht="15.75" x14ac:dyDescent="0.25">
      <c r="A1304" s="230"/>
      <c r="B1304" s="231"/>
      <c r="C1304" s="231"/>
      <c r="D1304" s="231"/>
      <c r="E1304" s="230"/>
      <c r="F1304" s="230"/>
      <c r="G1304" s="230"/>
      <c r="H1304" s="230"/>
      <c r="I1304" s="230"/>
      <c r="J1304" s="230"/>
      <c r="K1304" s="230"/>
      <c r="L1304" s="230"/>
      <c r="M1304" s="230"/>
      <c r="N1304" s="230"/>
      <c r="O1304" s="230"/>
      <c r="P1304" s="230"/>
      <c r="Q1304" s="230"/>
      <c r="R1304" s="230"/>
      <c r="S1304" s="239"/>
      <c r="T1304" s="230"/>
      <c r="U1304" s="230"/>
      <c r="V1304" s="230"/>
      <c r="W1304" s="230"/>
      <c r="X1304" s="239"/>
      <c r="Y1304" s="239"/>
      <c r="Z1304" s="230"/>
      <c r="AA1304" s="230"/>
      <c r="AB1304" s="230"/>
      <c r="AC1304" s="230"/>
      <c r="AD1304" s="239"/>
    </row>
    <row r="1305" spans="1:30" ht="15.75" x14ac:dyDescent="0.25">
      <c r="A1305" s="230"/>
      <c r="B1305" s="231"/>
      <c r="C1305" s="231"/>
      <c r="D1305" s="231"/>
      <c r="E1305" s="230"/>
      <c r="F1305" s="230"/>
      <c r="G1305" s="230"/>
      <c r="H1305" s="230"/>
      <c r="I1305" s="230"/>
      <c r="J1305" s="230"/>
      <c r="K1305" s="230"/>
      <c r="L1305" s="230"/>
      <c r="M1305" s="230"/>
      <c r="N1305" s="230"/>
      <c r="O1305" s="230"/>
      <c r="P1305" s="230"/>
      <c r="Q1305" s="230"/>
      <c r="R1305" s="230"/>
      <c r="S1305" s="239"/>
      <c r="T1305" s="230"/>
      <c r="U1305" s="230"/>
      <c r="V1305" s="230"/>
      <c r="W1305" s="230"/>
      <c r="X1305" s="239"/>
      <c r="Y1305" s="239"/>
      <c r="Z1305" s="230"/>
      <c r="AA1305" s="230"/>
      <c r="AB1305" s="230"/>
      <c r="AC1305" s="230"/>
      <c r="AD1305" s="239"/>
    </row>
    <row r="1306" spans="1:30" ht="15.75" x14ac:dyDescent="0.25">
      <c r="A1306" s="230"/>
      <c r="B1306" s="231"/>
      <c r="C1306" s="231"/>
      <c r="D1306" s="231"/>
      <c r="E1306" s="230"/>
      <c r="F1306" s="230"/>
      <c r="G1306" s="230"/>
      <c r="H1306" s="230"/>
      <c r="I1306" s="230"/>
      <c r="J1306" s="230"/>
      <c r="K1306" s="230"/>
      <c r="L1306" s="230"/>
      <c r="M1306" s="230"/>
      <c r="N1306" s="230"/>
      <c r="O1306" s="230"/>
      <c r="P1306" s="230"/>
      <c r="Q1306" s="230"/>
      <c r="R1306" s="230"/>
      <c r="S1306" s="239"/>
      <c r="T1306" s="230"/>
      <c r="U1306" s="230"/>
      <c r="V1306" s="230"/>
      <c r="W1306" s="230"/>
      <c r="X1306" s="239"/>
      <c r="Y1306" s="239"/>
      <c r="Z1306" s="230"/>
      <c r="AA1306" s="230"/>
      <c r="AB1306" s="230"/>
      <c r="AC1306" s="230"/>
      <c r="AD1306" s="239"/>
    </row>
    <row r="1307" spans="1:30" ht="15.75" x14ac:dyDescent="0.25">
      <c r="A1307" s="230"/>
      <c r="B1307" s="231"/>
      <c r="C1307" s="231"/>
      <c r="D1307" s="231"/>
      <c r="E1307" s="230"/>
      <c r="F1307" s="230"/>
      <c r="G1307" s="230"/>
      <c r="H1307" s="230"/>
      <c r="I1307" s="230"/>
      <c r="J1307" s="230"/>
      <c r="K1307" s="230"/>
      <c r="L1307" s="230"/>
      <c r="M1307" s="230"/>
      <c r="N1307" s="230"/>
      <c r="O1307" s="230"/>
      <c r="P1307" s="230"/>
      <c r="Q1307" s="230"/>
      <c r="R1307" s="230"/>
      <c r="S1307" s="239"/>
      <c r="T1307" s="230"/>
      <c r="U1307" s="230"/>
      <c r="V1307" s="230"/>
      <c r="W1307" s="230"/>
      <c r="X1307" s="239"/>
      <c r="Y1307" s="239"/>
      <c r="Z1307" s="230"/>
      <c r="AA1307" s="230"/>
      <c r="AB1307" s="230"/>
      <c r="AC1307" s="230"/>
      <c r="AD1307" s="239"/>
    </row>
    <row r="1308" spans="1:30" ht="15.75" x14ac:dyDescent="0.25">
      <c r="A1308" s="230"/>
      <c r="B1308" s="231"/>
      <c r="C1308" s="231"/>
      <c r="D1308" s="231"/>
      <c r="E1308" s="230"/>
      <c r="F1308" s="230"/>
      <c r="G1308" s="230"/>
      <c r="H1308" s="230"/>
      <c r="I1308" s="230"/>
      <c r="J1308" s="230"/>
      <c r="K1308" s="230"/>
      <c r="L1308" s="230"/>
      <c r="M1308" s="230"/>
      <c r="N1308" s="230"/>
      <c r="O1308" s="230"/>
      <c r="P1308" s="230"/>
      <c r="Q1308" s="230"/>
      <c r="R1308" s="230"/>
      <c r="S1308" s="239"/>
      <c r="T1308" s="230"/>
      <c r="U1308" s="230"/>
      <c r="V1308" s="230"/>
      <c r="W1308" s="230"/>
      <c r="X1308" s="239"/>
      <c r="Y1308" s="239"/>
      <c r="Z1308" s="230"/>
      <c r="AA1308" s="230"/>
      <c r="AB1308" s="230"/>
      <c r="AC1308" s="230"/>
      <c r="AD1308" s="239"/>
    </row>
    <row r="1309" spans="1:30" ht="15.75" x14ac:dyDescent="0.25">
      <c r="A1309" s="230"/>
      <c r="B1309" s="231"/>
      <c r="C1309" s="231"/>
      <c r="D1309" s="231"/>
      <c r="E1309" s="230"/>
      <c r="F1309" s="230"/>
      <c r="G1309" s="230"/>
      <c r="H1309" s="230"/>
      <c r="I1309" s="230"/>
      <c r="J1309" s="230"/>
      <c r="K1309" s="230"/>
      <c r="L1309" s="230"/>
      <c r="M1309" s="230"/>
      <c r="N1309" s="230"/>
      <c r="O1309" s="230"/>
      <c r="P1309" s="230"/>
      <c r="Q1309" s="230"/>
      <c r="R1309" s="230"/>
      <c r="S1309" s="239"/>
      <c r="T1309" s="230"/>
      <c r="U1309" s="230"/>
      <c r="V1309" s="230"/>
      <c r="W1309" s="230"/>
      <c r="X1309" s="239"/>
      <c r="Y1309" s="239"/>
      <c r="Z1309" s="230"/>
      <c r="AA1309" s="230"/>
      <c r="AB1309" s="230"/>
      <c r="AC1309" s="230"/>
      <c r="AD1309" s="239"/>
    </row>
    <row r="1310" spans="1:30" ht="15.75" x14ac:dyDescent="0.25">
      <c r="A1310" s="230"/>
      <c r="B1310" s="231"/>
      <c r="C1310" s="231"/>
      <c r="D1310" s="231"/>
      <c r="E1310" s="230"/>
      <c r="F1310" s="230"/>
      <c r="G1310" s="230"/>
      <c r="H1310" s="230"/>
      <c r="I1310" s="230"/>
      <c r="J1310" s="230"/>
      <c r="K1310" s="230"/>
      <c r="L1310" s="230"/>
      <c r="M1310" s="230"/>
      <c r="N1310" s="230"/>
      <c r="O1310" s="230"/>
      <c r="P1310" s="230"/>
      <c r="Q1310" s="230"/>
      <c r="R1310" s="230"/>
      <c r="S1310" s="239"/>
      <c r="T1310" s="230"/>
      <c r="U1310" s="230"/>
      <c r="V1310" s="230"/>
      <c r="W1310" s="230"/>
      <c r="X1310" s="239"/>
      <c r="Y1310" s="239"/>
      <c r="Z1310" s="230"/>
      <c r="AA1310" s="230"/>
      <c r="AB1310" s="230"/>
      <c r="AC1310" s="230"/>
      <c r="AD1310" s="239"/>
    </row>
    <row r="1311" spans="1:30" ht="15.75" x14ac:dyDescent="0.25">
      <c r="A1311" s="230"/>
      <c r="B1311" s="231"/>
      <c r="C1311" s="231"/>
      <c r="D1311" s="231"/>
      <c r="E1311" s="230"/>
      <c r="F1311" s="230"/>
      <c r="G1311" s="230"/>
      <c r="H1311" s="230"/>
      <c r="I1311" s="230"/>
      <c r="J1311" s="230"/>
      <c r="K1311" s="230"/>
      <c r="L1311" s="230"/>
      <c r="M1311" s="230"/>
      <c r="N1311" s="230"/>
      <c r="O1311" s="230"/>
      <c r="P1311" s="230"/>
      <c r="Q1311" s="230"/>
      <c r="R1311" s="230"/>
      <c r="S1311" s="239"/>
      <c r="T1311" s="230"/>
      <c r="U1311" s="230"/>
      <c r="V1311" s="230"/>
      <c r="W1311" s="230"/>
      <c r="X1311" s="239"/>
      <c r="Y1311" s="239"/>
      <c r="Z1311" s="230"/>
      <c r="AA1311" s="230"/>
      <c r="AB1311" s="230"/>
      <c r="AC1311" s="230"/>
      <c r="AD1311" s="239"/>
    </row>
    <row r="1312" spans="1:30" ht="15.75" x14ac:dyDescent="0.25">
      <c r="A1312" s="230"/>
      <c r="B1312" s="231"/>
      <c r="C1312" s="231"/>
      <c r="D1312" s="231"/>
      <c r="E1312" s="230"/>
      <c r="F1312" s="230"/>
      <c r="G1312" s="230"/>
      <c r="H1312" s="230"/>
      <c r="I1312" s="230"/>
      <c r="J1312" s="230"/>
      <c r="K1312" s="230"/>
      <c r="L1312" s="230"/>
      <c r="M1312" s="230"/>
      <c r="N1312" s="230"/>
      <c r="O1312" s="230"/>
      <c r="P1312" s="230"/>
      <c r="Q1312" s="230"/>
      <c r="R1312" s="230"/>
      <c r="S1312" s="239"/>
      <c r="T1312" s="230"/>
      <c r="U1312" s="230"/>
      <c r="V1312" s="230"/>
      <c r="W1312" s="230"/>
      <c r="X1312" s="239"/>
      <c r="Y1312" s="239"/>
      <c r="Z1312" s="230"/>
      <c r="AA1312" s="230"/>
      <c r="AB1312" s="230"/>
      <c r="AC1312" s="230"/>
      <c r="AD1312" s="239"/>
    </row>
    <row r="1313" spans="1:30" ht="15.75" x14ac:dyDescent="0.25">
      <c r="A1313" s="230"/>
      <c r="B1313" s="231"/>
      <c r="C1313" s="231"/>
      <c r="D1313" s="231"/>
      <c r="E1313" s="230"/>
      <c r="F1313" s="230"/>
      <c r="G1313" s="230"/>
      <c r="H1313" s="230"/>
      <c r="I1313" s="230"/>
      <c r="J1313" s="230"/>
      <c r="K1313" s="230"/>
      <c r="L1313" s="230"/>
      <c r="M1313" s="230"/>
      <c r="N1313" s="230"/>
      <c r="O1313" s="230"/>
      <c r="P1313" s="230"/>
      <c r="Q1313" s="230"/>
      <c r="R1313" s="230"/>
      <c r="S1313" s="239"/>
      <c r="T1313" s="230"/>
      <c r="U1313" s="230"/>
      <c r="V1313" s="230"/>
      <c r="W1313" s="230"/>
      <c r="X1313" s="239"/>
      <c r="Y1313" s="239"/>
      <c r="Z1313" s="230"/>
      <c r="AA1313" s="230"/>
      <c r="AB1313" s="230"/>
      <c r="AC1313" s="230"/>
      <c r="AD1313" s="239"/>
    </row>
    <row r="1314" spans="1:30" ht="15.75" x14ac:dyDescent="0.25">
      <c r="A1314" s="230"/>
      <c r="B1314" s="231"/>
      <c r="C1314" s="231"/>
      <c r="D1314" s="231"/>
      <c r="E1314" s="230"/>
      <c r="F1314" s="230"/>
      <c r="G1314" s="230"/>
      <c r="H1314" s="230"/>
      <c r="I1314" s="230"/>
      <c r="J1314" s="230"/>
      <c r="K1314" s="230"/>
      <c r="L1314" s="230"/>
      <c r="M1314" s="230"/>
      <c r="N1314" s="230"/>
      <c r="O1314" s="230"/>
      <c r="P1314" s="230"/>
      <c r="Q1314" s="230"/>
      <c r="R1314" s="230"/>
      <c r="S1314" s="239"/>
      <c r="T1314" s="230"/>
      <c r="U1314" s="230"/>
      <c r="V1314" s="230"/>
      <c r="W1314" s="230"/>
      <c r="X1314" s="239"/>
      <c r="Y1314" s="239"/>
      <c r="Z1314" s="230"/>
      <c r="AA1314" s="230"/>
      <c r="AB1314" s="230"/>
      <c r="AC1314" s="230"/>
      <c r="AD1314" s="239"/>
    </row>
    <row r="1315" spans="1:30" ht="15.75" x14ac:dyDescent="0.25">
      <c r="A1315" s="230"/>
      <c r="B1315" s="231"/>
      <c r="C1315" s="231"/>
      <c r="D1315" s="231"/>
      <c r="E1315" s="230"/>
      <c r="F1315" s="230"/>
      <c r="G1315" s="230"/>
      <c r="H1315" s="230"/>
      <c r="I1315" s="230"/>
      <c r="J1315" s="230"/>
      <c r="K1315" s="230"/>
      <c r="L1315" s="230"/>
      <c r="M1315" s="230"/>
      <c r="N1315" s="230"/>
      <c r="O1315" s="230"/>
      <c r="P1315" s="230"/>
      <c r="Q1315" s="230"/>
      <c r="R1315" s="230"/>
      <c r="S1315" s="239"/>
      <c r="T1315" s="230"/>
      <c r="U1315" s="230"/>
      <c r="V1315" s="230"/>
      <c r="W1315" s="230"/>
      <c r="X1315" s="239"/>
      <c r="Y1315" s="239"/>
      <c r="Z1315" s="230"/>
      <c r="AA1315" s="230"/>
      <c r="AB1315" s="230"/>
      <c r="AC1315" s="230"/>
      <c r="AD1315" s="239"/>
    </row>
    <row r="1316" spans="1:30" ht="15.75" x14ac:dyDescent="0.25">
      <c r="A1316" s="230"/>
      <c r="B1316" s="231"/>
      <c r="C1316" s="231"/>
      <c r="D1316" s="231"/>
      <c r="E1316" s="230"/>
      <c r="F1316" s="230"/>
      <c r="G1316" s="230"/>
      <c r="H1316" s="230"/>
      <c r="I1316" s="230"/>
      <c r="J1316" s="230"/>
      <c r="K1316" s="230"/>
      <c r="L1316" s="230"/>
      <c r="M1316" s="230"/>
      <c r="N1316" s="230"/>
      <c r="O1316" s="230"/>
      <c r="P1316" s="230"/>
      <c r="Q1316" s="230"/>
      <c r="R1316" s="230"/>
      <c r="S1316" s="239"/>
      <c r="T1316" s="230"/>
      <c r="U1316" s="230"/>
      <c r="V1316" s="230"/>
      <c r="W1316" s="230"/>
      <c r="X1316" s="239"/>
      <c r="Y1316" s="239"/>
      <c r="Z1316" s="230"/>
      <c r="AA1316" s="230"/>
      <c r="AB1316" s="230"/>
      <c r="AC1316" s="230"/>
      <c r="AD1316" s="239"/>
    </row>
    <row r="1317" spans="1:30" ht="15.75" x14ac:dyDescent="0.25">
      <c r="A1317" s="230"/>
      <c r="B1317" s="231"/>
      <c r="C1317" s="231"/>
      <c r="D1317" s="231"/>
      <c r="E1317" s="230"/>
      <c r="F1317" s="230"/>
      <c r="G1317" s="230"/>
      <c r="H1317" s="230"/>
      <c r="I1317" s="230"/>
      <c r="J1317" s="230"/>
      <c r="K1317" s="230"/>
      <c r="L1317" s="230"/>
      <c r="M1317" s="230"/>
      <c r="N1317" s="230"/>
      <c r="O1317" s="230"/>
      <c r="P1317" s="230"/>
      <c r="Q1317" s="230"/>
      <c r="R1317" s="230"/>
      <c r="S1317" s="239"/>
      <c r="T1317" s="230"/>
      <c r="U1317" s="230"/>
      <c r="V1317" s="230"/>
      <c r="W1317" s="230"/>
      <c r="X1317" s="239"/>
      <c r="Y1317" s="239"/>
      <c r="Z1317" s="230"/>
      <c r="AA1317" s="230"/>
      <c r="AB1317" s="230"/>
      <c r="AC1317" s="230"/>
      <c r="AD1317" s="239"/>
    </row>
    <row r="1318" spans="1:30" ht="15.75" x14ac:dyDescent="0.25">
      <c r="A1318" s="230"/>
      <c r="B1318" s="231"/>
      <c r="C1318" s="231"/>
      <c r="D1318" s="231"/>
      <c r="E1318" s="230"/>
      <c r="F1318" s="230"/>
      <c r="G1318" s="230"/>
      <c r="H1318" s="230"/>
      <c r="I1318" s="230"/>
      <c r="J1318" s="230"/>
      <c r="K1318" s="230"/>
      <c r="L1318" s="230"/>
      <c r="M1318" s="230"/>
      <c r="N1318" s="230"/>
      <c r="O1318" s="230"/>
      <c r="P1318" s="230"/>
      <c r="Q1318" s="230"/>
      <c r="R1318" s="230"/>
      <c r="S1318" s="239"/>
      <c r="T1318" s="230"/>
      <c r="U1318" s="230"/>
      <c r="V1318" s="230"/>
      <c r="W1318" s="230"/>
      <c r="X1318" s="239"/>
      <c r="Y1318" s="239"/>
      <c r="Z1318" s="230"/>
      <c r="AA1318" s="230"/>
      <c r="AB1318" s="230"/>
      <c r="AC1318" s="230"/>
      <c r="AD1318" s="239"/>
    </row>
    <row r="1319" spans="1:30" ht="15.75" x14ac:dyDescent="0.25">
      <c r="A1319" s="230"/>
      <c r="B1319" s="231"/>
      <c r="C1319" s="231"/>
      <c r="D1319" s="231"/>
      <c r="E1319" s="230"/>
      <c r="F1319" s="230"/>
      <c r="G1319" s="230"/>
      <c r="H1319" s="230"/>
      <c r="I1319" s="230"/>
      <c r="J1319" s="230"/>
      <c r="K1319" s="230"/>
      <c r="L1319" s="230"/>
      <c r="M1319" s="230"/>
      <c r="N1319" s="230"/>
      <c r="O1319" s="230"/>
      <c r="P1319" s="230"/>
      <c r="Q1319" s="230"/>
      <c r="R1319" s="230"/>
      <c r="S1319" s="239"/>
      <c r="T1319" s="230"/>
      <c r="U1319" s="230"/>
      <c r="V1319" s="230"/>
      <c r="W1319" s="230"/>
      <c r="X1319" s="239"/>
      <c r="Y1319" s="239"/>
      <c r="Z1319" s="230"/>
      <c r="AA1319" s="230"/>
      <c r="AB1319" s="230"/>
      <c r="AC1319" s="230"/>
      <c r="AD1319" s="239"/>
    </row>
    <row r="1320" spans="1:30" ht="15.75" x14ac:dyDescent="0.25">
      <c r="A1320" s="230"/>
      <c r="B1320" s="231"/>
      <c r="C1320" s="231"/>
      <c r="D1320" s="231"/>
      <c r="E1320" s="230"/>
      <c r="F1320" s="230"/>
      <c r="G1320" s="230"/>
      <c r="H1320" s="230"/>
      <c r="I1320" s="230"/>
      <c r="J1320" s="230"/>
      <c r="K1320" s="230"/>
      <c r="L1320" s="230"/>
      <c r="M1320" s="230"/>
      <c r="N1320" s="230"/>
      <c r="O1320" s="230"/>
      <c r="P1320" s="230"/>
      <c r="Q1320" s="230"/>
      <c r="R1320" s="230"/>
      <c r="S1320" s="239"/>
      <c r="T1320" s="230"/>
      <c r="U1320" s="230"/>
      <c r="V1320" s="230"/>
      <c r="W1320" s="230"/>
      <c r="X1320" s="239"/>
      <c r="Y1320" s="239"/>
      <c r="Z1320" s="230"/>
      <c r="AA1320" s="230"/>
      <c r="AB1320" s="230"/>
      <c r="AC1320" s="230"/>
      <c r="AD1320" s="239"/>
    </row>
    <row r="1321" spans="1:30" ht="15.75" x14ac:dyDescent="0.25">
      <c r="A1321" s="230"/>
      <c r="B1321" s="231"/>
      <c r="C1321" s="231"/>
      <c r="D1321" s="231"/>
      <c r="E1321" s="230"/>
      <c r="F1321" s="230"/>
      <c r="G1321" s="230"/>
      <c r="H1321" s="230"/>
      <c r="I1321" s="230"/>
      <c r="J1321" s="230"/>
      <c r="K1321" s="230"/>
      <c r="L1321" s="230"/>
      <c r="M1321" s="230"/>
      <c r="N1321" s="230"/>
      <c r="O1321" s="230"/>
      <c r="P1321" s="230"/>
      <c r="Q1321" s="230"/>
      <c r="R1321" s="230"/>
      <c r="S1321" s="239"/>
      <c r="T1321" s="230"/>
      <c r="U1321" s="230"/>
      <c r="V1321" s="230"/>
      <c r="W1321" s="230"/>
      <c r="X1321" s="239"/>
      <c r="Y1321" s="239"/>
      <c r="Z1321" s="230"/>
      <c r="AA1321" s="230"/>
      <c r="AB1321" s="230"/>
      <c r="AC1321" s="230"/>
      <c r="AD1321" s="239"/>
    </row>
    <row r="1322" spans="1:30" ht="15.75" x14ac:dyDescent="0.25">
      <c r="A1322" s="230"/>
      <c r="B1322" s="231"/>
      <c r="C1322" s="231"/>
      <c r="D1322" s="231"/>
      <c r="E1322" s="230"/>
      <c r="F1322" s="230"/>
      <c r="G1322" s="230"/>
      <c r="H1322" s="230"/>
      <c r="I1322" s="230"/>
      <c r="J1322" s="230"/>
      <c r="K1322" s="230"/>
      <c r="L1322" s="230"/>
      <c r="M1322" s="230"/>
      <c r="N1322" s="230"/>
      <c r="O1322" s="230"/>
      <c r="P1322" s="230"/>
      <c r="Q1322" s="230"/>
      <c r="R1322" s="230"/>
      <c r="S1322" s="239"/>
      <c r="T1322" s="230"/>
      <c r="U1322" s="230"/>
      <c r="V1322" s="230"/>
      <c r="W1322" s="230"/>
      <c r="X1322" s="239"/>
      <c r="Y1322" s="239"/>
      <c r="Z1322" s="230"/>
      <c r="AA1322" s="230"/>
      <c r="AB1322" s="230"/>
      <c r="AC1322" s="230"/>
      <c r="AD1322" s="239"/>
    </row>
    <row r="1323" spans="1:30" ht="15.75" x14ac:dyDescent="0.25">
      <c r="A1323" s="230"/>
      <c r="B1323" s="231"/>
      <c r="C1323" s="231"/>
      <c r="D1323" s="231"/>
      <c r="E1323" s="230"/>
      <c r="F1323" s="230"/>
      <c r="G1323" s="230"/>
      <c r="H1323" s="230"/>
      <c r="I1323" s="230"/>
      <c r="J1323" s="230"/>
      <c r="K1323" s="230"/>
      <c r="L1323" s="230"/>
      <c r="M1323" s="230"/>
      <c r="N1323" s="230"/>
      <c r="O1323" s="230"/>
      <c r="P1323" s="230"/>
      <c r="Q1323" s="230"/>
      <c r="R1323" s="230"/>
      <c r="S1323" s="239"/>
      <c r="T1323" s="230"/>
      <c r="U1323" s="230"/>
      <c r="V1323" s="230"/>
      <c r="W1323" s="230"/>
      <c r="X1323" s="239"/>
      <c r="Y1323" s="239"/>
      <c r="Z1323" s="230"/>
      <c r="AA1323" s="230"/>
      <c r="AB1323" s="230"/>
      <c r="AC1323" s="230"/>
      <c r="AD1323" s="239"/>
    </row>
    <row r="1324" spans="1:30" ht="15.75" x14ac:dyDescent="0.25">
      <c r="A1324" s="230"/>
      <c r="B1324" s="231"/>
      <c r="C1324" s="231"/>
      <c r="D1324" s="231"/>
      <c r="E1324" s="230"/>
      <c r="F1324" s="230"/>
      <c r="G1324" s="230"/>
      <c r="H1324" s="230"/>
      <c r="I1324" s="230"/>
      <c r="J1324" s="230"/>
      <c r="K1324" s="230"/>
      <c r="L1324" s="230"/>
      <c r="M1324" s="230"/>
      <c r="N1324" s="230"/>
      <c r="O1324" s="230"/>
      <c r="P1324" s="230"/>
      <c r="Q1324" s="230"/>
      <c r="R1324" s="230"/>
      <c r="S1324" s="239"/>
      <c r="T1324" s="230"/>
      <c r="U1324" s="230"/>
      <c r="V1324" s="230"/>
      <c r="W1324" s="230"/>
      <c r="X1324" s="239"/>
      <c r="Y1324" s="239"/>
      <c r="Z1324" s="230"/>
      <c r="AA1324" s="230"/>
      <c r="AB1324" s="230"/>
      <c r="AC1324" s="230"/>
      <c r="AD1324" s="239"/>
    </row>
    <row r="1325" spans="1:30" ht="15.75" x14ac:dyDescent="0.25">
      <c r="A1325" s="230"/>
      <c r="B1325" s="231"/>
      <c r="C1325" s="231"/>
      <c r="D1325" s="231"/>
      <c r="E1325" s="230"/>
      <c r="F1325" s="230"/>
      <c r="G1325" s="230"/>
      <c r="H1325" s="230"/>
      <c r="I1325" s="230"/>
      <c r="J1325" s="230"/>
      <c r="K1325" s="230"/>
      <c r="L1325" s="230"/>
      <c r="M1325" s="230"/>
      <c r="N1325" s="230"/>
      <c r="O1325" s="230"/>
      <c r="P1325" s="230"/>
      <c r="Q1325" s="230"/>
      <c r="R1325" s="230"/>
      <c r="S1325" s="239"/>
      <c r="T1325" s="230"/>
      <c r="U1325" s="230"/>
      <c r="V1325" s="230"/>
      <c r="W1325" s="230"/>
      <c r="X1325" s="239"/>
      <c r="Y1325" s="239"/>
      <c r="Z1325" s="230"/>
      <c r="AA1325" s="230"/>
      <c r="AB1325" s="230"/>
      <c r="AC1325" s="230"/>
      <c r="AD1325" s="239"/>
    </row>
    <row r="1326" spans="1:30" ht="15.75" x14ac:dyDescent="0.25">
      <c r="A1326" s="230"/>
      <c r="B1326" s="231"/>
      <c r="C1326" s="231"/>
      <c r="D1326" s="231"/>
      <c r="E1326" s="230"/>
      <c r="F1326" s="230"/>
      <c r="G1326" s="230"/>
      <c r="H1326" s="230"/>
      <c r="I1326" s="230"/>
      <c r="J1326" s="230"/>
      <c r="K1326" s="230"/>
      <c r="L1326" s="230"/>
      <c r="M1326" s="230"/>
      <c r="N1326" s="230"/>
      <c r="O1326" s="230"/>
      <c r="P1326" s="230"/>
      <c r="Q1326" s="230"/>
      <c r="R1326" s="230"/>
      <c r="S1326" s="239"/>
      <c r="T1326" s="230"/>
      <c r="U1326" s="230"/>
      <c r="V1326" s="230"/>
      <c r="W1326" s="230"/>
      <c r="X1326" s="239"/>
      <c r="Y1326" s="239"/>
      <c r="Z1326" s="230"/>
      <c r="AA1326" s="230"/>
      <c r="AB1326" s="230"/>
      <c r="AC1326" s="230"/>
      <c r="AD1326" s="239"/>
    </row>
    <row r="1327" spans="1:30" ht="15.75" x14ac:dyDescent="0.25">
      <c r="A1327" s="230"/>
      <c r="B1327" s="231"/>
      <c r="C1327" s="231"/>
      <c r="D1327" s="231"/>
      <c r="E1327" s="230"/>
      <c r="F1327" s="230"/>
      <c r="G1327" s="230"/>
      <c r="H1327" s="230"/>
      <c r="I1327" s="230"/>
      <c r="J1327" s="230"/>
      <c r="K1327" s="230"/>
      <c r="L1327" s="230"/>
      <c r="M1327" s="230"/>
      <c r="N1327" s="230"/>
      <c r="O1327" s="230"/>
      <c r="P1327" s="230"/>
      <c r="Q1327" s="230"/>
      <c r="R1327" s="230"/>
      <c r="S1327" s="239"/>
      <c r="T1327" s="230"/>
      <c r="U1327" s="230"/>
      <c r="V1327" s="230"/>
      <c r="W1327" s="230"/>
      <c r="X1327" s="239"/>
      <c r="Y1327" s="239"/>
      <c r="Z1327" s="230"/>
      <c r="AA1327" s="230"/>
      <c r="AB1327" s="230"/>
      <c r="AC1327" s="230"/>
      <c r="AD1327" s="239"/>
    </row>
    <row r="1328" spans="1:30" ht="15.75" x14ac:dyDescent="0.25">
      <c r="A1328" s="230"/>
      <c r="B1328" s="231"/>
      <c r="C1328" s="231"/>
      <c r="D1328" s="231"/>
      <c r="E1328" s="230"/>
      <c r="F1328" s="230"/>
      <c r="G1328" s="230"/>
      <c r="H1328" s="230"/>
      <c r="I1328" s="230"/>
      <c r="J1328" s="230"/>
      <c r="K1328" s="230"/>
      <c r="L1328" s="230"/>
      <c r="M1328" s="230"/>
      <c r="N1328" s="230"/>
      <c r="O1328" s="230"/>
      <c r="P1328" s="230"/>
      <c r="Q1328" s="230"/>
      <c r="R1328" s="230"/>
      <c r="S1328" s="239"/>
      <c r="T1328" s="230"/>
      <c r="U1328" s="230"/>
      <c r="V1328" s="230"/>
      <c r="W1328" s="230"/>
      <c r="X1328" s="239"/>
      <c r="Y1328" s="239"/>
      <c r="Z1328" s="230"/>
      <c r="AA1328" s="230"/>
      <c r="AB1328" s="230"/>
      <c r="AC1328" s="230"/>
      <c r="AD1328" s="239"/>
    </row>
    <row r="1329" spans="1:30" ht="15.75" x14ac:dyDescent="0.25">
      <c r="A1329" s="230"/>
      <c r="B1329" s="231"/>
      <c r="C1329" s="231"/>
      <c r="D1329" s="231"/>
      <c r="E1329" s="230"/>
      <c r="F1329" s="230"/>
      <c r="G1329" s="230"/>
      <c r="H1329" s="230"/>
      <c r="I1329" s="230"/>
      <c r="J1329" s="230"/>
      <c r="K1329" s="230"/>
      <c r="L1329" s="230"/>
      <c r="M1329" s="230"/>
      <c r="N1329" s="230"/>
      <c r="O1329" s="230"/>
      <c r="P1329" s="230"/>
      <c r="Q1329" s="230"/>
      <c r="R1329" s="230"/>
      <c r="S1329" s="239"/>
      <c r="T1329" s="230"/>
      <c r="U1329" s="230"/>
      <c r="V1329" s="230"/>
      <c r="W1329" s="230"/>
      <c r="X1329" s="239"/>
      <c r="Y1329" s="239"/>
      <c r="Z1329" s="230"/>
      <c r="AA1329" s="230"/>
      <c r="AB1329" s="230"/>
      <c r="AC1329" s="230"/>
      <c r="AD1329" s="239"/>
    </row>
    <row r="1330" spans="1:30" ht="15.75" x14ac:dyDescent="0.25">
      <c r="A1330" s="230"/>
      <c r="B1330" s="231"/>
      <c r="C1330" s="231"/>
      <c r="D1330" s="231"/>
      <c r="E1330" s="230"/>
      <c r="F1330" s="230"/>
      <c r="G1330" s="230"/>
      <c r="H1330" s="230"/>
      <c r="I1330" s="230"/>
      <c r="J1330" s="230"/>
      <c r="K1330" s="230"/>
      <c r="L1330" s="230"/>
      <c r="M1330" s="230"/>
      <c r="N1330" s="230"/>
      <c r="O1330" s="230"/>
      <c r="P1330" s="230"/>
      <c r="Q1330" s="230"/>
      <c r="R1330" s="230"/>
      <c r="S1330" s="239"/>
      <c r="T1330" s="230"/>
      <c r="U1330" s="230"/>
      <c r="V1330" s="230"/>
      <c r="W1330" s="230"/>
      <c r="X1330" s="239"/>
      <c r="Y1330" s="239"/>
      <c r="Z1330" s="230"/>
      <c r="AA1330" s="230"/>
      <c r="AB1330" s="230"/>
      <c r="AC1330" s="230"/>
      <c r="AD1330" s="239"/>
    </row>
    <row r="1331" spans="1:30" ht="15.75" x14ac:dyDescent="0.25">
      <c r="A1331" s="230"/>
      <c r="B1331" s="231"/>
      <c r="C1331" s="231"/>
      <c r="D1331" s="231"/>
      <c r="E1331" s="230"/>
      <c r="F1331" s="230"/>
      <c r="G1331" s="230"/>
      <c r="H1331" s="230"/>
      <c r="I1331" s="230"/>
      <c r="J1331" s="230"/>
      <c r="K1331" s="230"/>
      <c r="L1331" s="230"/>
      <c r="M1331" s="230"/>
      <c r="N1331" s="230"/>
      <c r="O1331" s="230"/>
      <c r="P1331" s="230"/>
      <c r="Q1331" s="230"/>
      <c r="R1331" s="230"/>
      <c r="S1331" s="239"/>
      <c r="T1331" s="230"/>
      <c r="U1331" s="230"/>
      <c r="V1331" s="230"/>
      <c r="W1331" s="230"/>
      <c r="X1331" s="239"/>
      <c r="Y1331" s="239"/>
      <c r="Z1331" s="230"/>
      <c r="AA1331" s="230"/>
      <c r="AB1331" s="230"/>
      <c r="AC1331" s="230"/>
      <c r="AD1331" s="239"/>
    </row>
    <row r="1332" spans="1:30" ht="15.75" x14ac:dyDescent="0.25">
      <c r="A1332" s="230"/>
      <c r="B1332" s="231"/>
      <c r="C1332" s="231"/>
      <c r="D1332" s="231"/>
      <c r="E1332" s="230"/>
      <c r="F1332" s="230"/>
      <c r="G1332" s="230"/>
      <c r="H1332" s="230"/>
      <c r="I1332" s="230"/>
      <c r="J1332" s="230"/>
      <c r="K1332" s="230"/>
      <c r="L1332" s="230"/>
      <c r="M1332" s="230"/>
      <c r="N1332" s="230"/>
      <c r="O1332" s="230"/>
      <c r="P1332" s="230"/>
      <c r="Q1332" s="230"/>
      <c r="R1332" s="230"/>
      <c r="S1332" s="239"/>
      <c r="T1332" s="230"/>
      <c r="U1332" s="230"/>
      <c r="V1332" s="230"/>
      <c r="W1332" s="230"/>
      <c r="X1332" s="239"/>
      <c r="Y1332" s="239"/>
      <c r="Z1332" s="230"/>
      <c r="AA1332" s="230"/>
      <c r="AB1332" s="230"/>
      <c r="AC1332" s="230"/>
      <c r="AD1332" s="239"/>
    </row>
    <row r="1333" spans="1:30" ht="15.75" x14ac:dyDescent="0.25">
      <c r="A1333" s="230"/>
      <c r="B1333" s="231"/>
      <c r="C1333" s="231"/>
      <c r="D1333" s="231"/>
      <c r="E1333" s="230"/>
      <c r="F1333" s="230"/>
      <c r="G1333" s="230"/>
      <c r="H1333" s="230"/>
      <c r="I1333" s="230"/>
      <c r="J1333" s="230"/>
      <c r="K1333" s="230"/>
      <c r="L1333" s="230"/>
      <c r="M1333" s="230"/>
      <c r="N1333" s="230"/>
      <c r="O1333" s="230"/>
      <c r="P1333" s="230"/>
      <c r="Q1333" s="230"/>
      <c r="R1333" s="230"/>
      <c r="S1333" s="239"/>
      <c r="T1333" s="230"/>
      <c r="U1333" s="230"/>
      <c r="V1333" s="230"/>
      <c r="W1333" s="230"/>
      <c r="X1333" s="239"/>
      <c r="Y1333" s="239"/>
      <c r="Z1333" s="230"/>
      <c r="AA1333" s="230"/>
      <c r="AB1333" s="230"/>
      <c r="AC1333" s="230"/>
      <c r="AD1333" s="239"/>
    </row>
    <row r="1334" spans="1:30" ht="15.75" x14ac:dyDescent="0.25">
      <c r="A1334" s="230"/>
      <c r="B1334" s="231"/>
      <c r="C1334" s="231"/>
      <c r="D1334" s="231"/>
      <c r="E1334" s="230"/>
      <c r="F1334" s="230"/>
      <c r="G1334" s="230"/>
      <c r="H1334" s="230"/>
      <c r="I1334" s="230"/>
      <c r="J1334" s="230"/>
      <c r="K1334" s="230"/>
      <c r="L1334" s="230"/>
      <c r="M1334" s="230"/>
      <c r="N1334" s="230"/>
      <c r="O1334" s="230"/>
      <c r="P1334" s="230"/>
      <c r="Q1334" s="230"/>
      <c r="R1334" s="230"/>
      <c r="S1334" s="239"/>
      <c r="T1334" s="230"/>
      <c r="U1334" s="230"/>
      <c r="V1334" s="230"/>
      <c r="W1334" s="230"/>
      <c r="X1334" s="239"/>
      <c r="Y1334" s="239"/>
      <c r="Z1334" s="230"/>
      <c r="AA1334" s="230"/>
      <c r="AB1334" s="230"/>
      <c r="AC1334" s="230"/>
      <c r="AD1334" s="239"/>
    </row>
    <row r="1335" spans="1:30" ht="15.75" x14ac:dyDescent="0.25">
      <c r="A1335" s="230"/>
      <c r="B1335" s="231"/>
      <c r="C1335" s="231"/>
      <c r="D1335" s="231"/>
      <c r="E1335" s="230"/>
      <c r="F1335" s="230"/>
      <c r="G1335" s="230"/>
      <c r="H1335" s="230"/>
      <c r="I1335" s="230"/>
      <c r="J1335" s="230"/>
      <c r="K1335" s="230"/>
      <c r="L1335" s="230"/>
      <c r="M1335" s="230"/>
      <c r="N1335" s="230"/>
      <c r="O1335" s="230"/>
      <c r="P1335" s="230"/>
      <c r="Q1335" s="230"/>
      <c r="R1335" s="230"/>
      <c r="S1335" s="239"/>
      <c r="T1335" s="230"/>
      <c r="U1335" s="230"/>
      <c r="V1335" s="230"/>
      <c r="W1335" s="230"/>
      <c r="X1335" s="239"/>
      <c r="Y1335" s="239"/>
      <c r="Z1335" s="230"/>
      <c r="AA1335" s="230"/>
      <c r="AB1335" s="230"/>
      <c r="AC1335" s="230"/>
      <c r="AD1335" s="239"/>
    </row>
    <row r="1336" spans="1:30" ht="15.75" x14ac:dyDescent="0.25">
      <c r="A1336" s="230"/>
      <c r="B1336" s="231"/>
      <c r="C1336" s="231"/>
      <c r="D1336" s="231"/>
      <c r="E1336" s="230"/>
      <c r="F1336" s="230"/>
      <c r="G1336" s="230"/>
      <c r="H1336" s="230"/>
      <c r="I1336" s="230"/>
      <c r="J1336" s="230"/>
      <c r="K1336" s="230"/>
      <c r="L1336" s="230"/>
      <c r="M1336" s="230"/>
      <c r="N1336" s="230"/>
      <c r="O1336" s="230"/>
      <c r="P1336" s="230"/>
      <c r="Q1336" s="230"/>
      <c r="R1336" s="230"/>
      <c r="S1336" s="239"/>
      <c r="T1336" s="230"/>
      <c r="U1336" s="230"/>
      <c r="V1336" s="230"/>
      <c r="W1336" s="230"/>
      <c r="X1336" s="239"/>
      <c r="Y1336" s="239"/>
      <c r="Z1336" s="230"/>
      <c r="AA1336" s="230"/>
      <c r="AB1336" s="230"/>
      <c r="AC1336" s="230"/>
      <c r="AD1336" s="239"/>
    </row>
    <row r="1337" spans="1:30" ht="15.75" x14ac:dyDescent="0.25">
      <c r="A1337" s="230"/>
      <c r="B1337" s="231"/>
      <c r="C1337" s="231"/>
      <c r="D1337" s="231"/>
      <c r="E1337" s="230"/>
      <c r="F1337" s="230"/>
      <c r="G1337" s="230"/>
      <c r="H1337" s="230"/>
      <c r="I1337" s="230"/>
      <c r="J1337" s="230"/>
      <c r="K1337" s="230"/>
      <c r="L1337" s="230"/>
      <c r="M1337" s="230"/>
      <c r="N1337" s="230"/>
      <c r="O1337" s="230"/>
      <c r="P1337" s="230"/>
      <c r="Q1337" s="230"/>
      <c r="R1337" s="230"/>
      <c r="S1337" s="239"/>
      <c r="T1337" s="230"/>
      <c r="U1337" s="230"/>
      <c r="V1337" s="230"/>
      <c r="W1337" s="230"/>
      <c r="X1337" s="239"/>
      <c r="Y1337" s="239"/>
      <c r="Z1337" s="230"/>
      <c r="AA1337" s="230"/>
      <c r="AB1337" s="230"/>
      <c r="AC1337" s="230"/>
      <c r="AD1337" s="239"/>
    </row>
    <row r="1338" spans="1:30" ht="15.75" x14ac:dyDescent="0.25">
      <c r="A1338" s="230"/>
      <c r="B1338" s="231"/>
      <c r="C1338" s="231"/>
      <c r="D1338" s="231"/>
      <c r="E1338" s="230"/>
      <c r="F1338" s="230"/>
      <c r="G1338" s="230"/>
      <c r="H1338" s="230"/>
      <c r="I1338" s="230"/>
      <c r="J1338" s="230"/>
      <c r="K1338" s="230"/>
      <c r="L1338" s="230"/>
      <c r="M1338" s="230"/>
      <c r="N1338" s="230"/>
      <c r="O1338" s="230"/>
      <c r="P1338" s="230"/>
      <c r="Q1338" s="230"/>
      <c r="R1338" s="230"/>
      <c r="S1338" s="239"/>
      <c r="T1338" s="230"/>
      <c r="U1338" s="230"/>
      <c r="V1338" s="230"/>
      <c r="W1338" s="230"/>
      <c r="X1338" s="239"/>
      <c r="Y1338" s="239"/>
      <c r="Z1338" s="230"/>
      <c r="AA1338" s="230"/>
      <c r="AB1338" s="230"/>
      <c r="AC1338" s="230"/>
      <c r="AD1338" s="239"/>
    </row>
    <row r="1339" spans="1:30" ht="15.75" x14ac:dyDescent="0.25">
      <c r="A1339" s="230"/>
      <c r="B1339" s="231"/>
      <c r="C1339" s="231"/>
      <c r="D1339" s="231"/>
      <c r="E1339" s="230"/>
      <c r="F1339" s="230"/>
      <c r="G1339" s="230"/>
      <c r="H1339" s="230"/>
      <c r="I1339" s="230"/>
      <c r="J1339" s="230"/>
      <c r="K1339" s="230"/>
      <c r="L1339" s="230"/>
      <c r="M1339" s="230"/>
      <c r="N1339" s="230"/>
      <c r="O1339" s="230"/>
      <c r="P1339" s="230"/>
      <c r="Q1339" s="230"/>
      <c r="R1339" s="230"/>
      <c r="S1339" s="239"/>
      <c r="T1339" s="230"/>
      <c r="U1339" s="230"/>
      <c r="V1339" s="230"/>
      <c r="W1339" s="230"/>
      <c r="X1339" s="239"/>
      <c r="Y1339" s="239"/>
      <c r="Z1339" s="230"/>
      <c r="AA1339" s="230"/>
      <c r="AB1339" s="230"/>
      <c r="AC1339" s="230"/>
      <c r="AD1339" s="239"/>
    </row>
    <row r="1340" spans="1:30" ht="15.75" x14ac:dyDescent="0.25">
      <c r="A1340" s="230"/>
      <c r="B1340" s="231"/>
      <c r="C1340" s="231"/>
      <c r="D1340" s="231"/>
      <c r="E1340" s="230"/>
      <c r="F1340" s="230"/>
      <c r="G1340" s="230"/>
      <c r="H1340" s="230"/>
      <c r="I1340" s="230"/>
      <c r="J1340" s="230"/>
      <c r="K1340" s="230"/>
      <c r="L1340" s="230"/>
      <c r="M1340" s="230"/>
      <c r="N1340" s="230"/>
      <c r="O1340" s="230"/>
      <c r="P1340" s="230"/>
      <c r="Q1340" s="230"/>
      <c r="R1340" s="230"/>
      <c r="S1340" s="239"/>
      <c r="T1340" s="230"/>
      <c r="U1340" s="230"/>
      <c r="V1340" s="230"/>
      <c r="W1340" s="230"/>
      <c r="X1340" s="239"/>
      <c r="Y1340" s="239"/>
      <c r="Z1340" s="230"/>
      <c r="AA1340" s="230"/>
      <c r="AB1340" s="230"/>
      <c r="AC1340" s="230"/>
      <c r="AD1340" s="239"/>
    </row>
    <row r="1341" spans="1:30" ht="15.75" x14ac:dyDescent="0.25">
      <c r="A1341" s="230"/>
      <c r="B1341" s="231"/>
      <c r="C1341" s="231"/>
      <c r="D1341" s="231"/>
      <c r="E1341" s="230"/>
      <c r="F1341" s="230"/>
      <c r="G1341" s="230"/>
      <c r="H1341" s="230"/>
      <c r="I1341" s="230"/>
      <c r="J1341" s="230"/>
      <c r="K1341" s="230"/>
      <c r="L1341" s="230"/>
      <c r="M1341" s="230"/>
      <c r="N1341" s="230"/>
      <c r="O1341" s="230"/>
      <c r="P1341" s="230"/>
      <c r="Q1341" s="230"/>
      <c r="R1341" s="230"/>
      <c r="S1341" s="239"/>
      <c r="T1341" s="230"/>
      <c r="U1341" s="230"/>
      <c r="V1341" s="230"/>
      <c r="W1341" s="230"/>
      <c r="X1341" s="239"/>
      <c r="Y1341" s="239"/>
      <c r="Z1341" s="230"/>
      <c r="AA1341" s="230"/>
      <c r="AB1341" s="230"/>
      <c r="AC1341" s="230"/>
      <c r="AD1341" s="239"/>
    </row>
    <row r="1342" spans="1:30" ht="15.75" x14ac:dyDescent="0.25">
      <c r="A1342" s="230"/>
      <c r="B1342" s="231"/>
      <c r="C1342" s="231"/>
      <c r="D1342" s="231"/>
      <c r="E1342" s="230"/>
      <c r="F1342" s="230"/>
      <c r="G1342" s="230"/>
      <c r="H1342" s="230"/>
      <c r="I1342" s="230"/>
      <c r="J1342" s="230"/>
      <c r="K1342" s="230"/>
      <c r="L1342" s="230"/>
      <c r="M1342" s="230"/>
      <c r="N1342" s="230"/>
      <c r="O1342" s="230"/>
      <c r="P1342" s="230"/>
      <c r="Q1342" s="230"/>
      <c r="R1342" s="230"/>
      <c r="S1342" s="239"/>
      <c r="T1342" s="230"/>
      <c r="U1342" s="230"/>
      <c r="V1342" s="230"/>
      <c r="W1342" s="230"/>
      <c r="X1342" s="239"/>
      <c r="Y1342" s="239"/>
      <c r="Z1342" s="230"/>
      <c r="AA1342" s="230"/>
      <c r="AB1342" s="230"/>
      <c r="AC1342" s="230"/>
      <c r="AD1342" s="239"/>
    </row>
    <row r="1343" spans="1:30" ht="15.75" x14ac:dyDescent="0.25">
      <c r="A1343" s="230"/>
      <c r="B1343" s="231"/>
      <c r="C1343" s="231"/>
      <c r="D1343" s="231"/>
      <c r="E1343" s="230"/>
      <c r="F1343" s="230"/>
      <c r="G1343" s="230"/>
      <c r="H1343" s="230"/>
      <c r="I1343" s="230"/>
      <c r="J1343" s="230"/>
      <c r="K1343" s="230"/>
      <c r="L1343" s="230"/>
      <c r="M1343" s="230"/>
      <c r="N1343" s="230"/>
      <c r="O1343" s="230"/>
      <c r="P1343" s="230"/>
      <c r="Q1343" s="230"/>
      <c r="R1343" s="230"/>
      <c r="S1343" s="239"/>
      <c r="T1343" s="230"/>
      <c r="U1343" s="230"/>
      <c r="V1343" s="230"/>
      <c r="W1343" s="230"/>
      <c r="X1343" s="239"/>
      <c r="Y1343" s="239"/>
      <c r="Z1343" s="230"/>
      <c r="AA1343" s="230"/>
      <c r="AB1343" s="230"/>
      <c r="AC1343" s="230"/>
      <c r="AD1343" s="239"/>
    </row>
    <row r="1344" spans="1:30" ht="15.75" x14ac:dyDescent="0.25">
      <c r="A1344" s="230"/>
      <c r="B1344" s="231"/>
      <c r="C1344" s="231"/>
      <c r="D1344" s="231"/>
      <c r="E1344" s="230"/>
      <c r="F1344" s="230"/>
      <c r="G1344" s="230"/>
      <c r="H1344" s="230"/>
      <c r="I1344" s="230"/>
      <c r="J1344" s="230"/>
      <c r="K1344" s="230"/>
      <c r="L1344" s="230"/>
      <c r="M1344" s="230"/>
      <c r="N1344" s="230"/>
      <c r="O1344" s="230"/>
      <c r="P1344" s="230"/>
      <c r="Q1344" s="230"/>
      <c r="R1344" s="230"/>
      <c r="S1344" s="239"/>
      <c r="T1344" s="230"/>
      <c r="U1344" s="230"/>
      <c r="V1344" s="230"/>
      <c r="W1344" s="230"/>
      <c r="X1344" s="239"/>
      <c r="Y1344" s="239"/>
      <c r="Z1344" s="230"/>
      <c r="AA1344" s="230"/>
      <c r="AB1344" s="230"/>
      <c r="AC1344" s="230"/>
      <c r="AD1344" s="239"/>
    </row>
    <row r="1345" spans="1:30" ht="15.75" x14ac:dyDescent="0.25">
      <c r="A1345" s="230"/>
      <c r="B1345" s="231"/>
      <c r="C1345" s="231"/>
      <c r="D1345" s="231"/>
      <c r="E1345" s="230"/>
      <c r="F1345" s="230"/>
      <c r="G1345" s="230"/>
      <c r="H1345" s="230"/>
      <c r="I1345" s="230"/>
      <c r="J1345" s="230"/>
      <c r="K1345" s="230"/>
      <c r="L1345" s="230"/>
      <c r="M1345" s="230"/>
      <c r="N1345" s="230"/>
      <c r="O1345" s="230"/>
      <c r="P1345" s="230"/>
      <c r="Q1345" s="230"/>
      <c r="R1345" s="230"/>
      <c r="S1345" s="239"/>
      <c r="T1345" s="230"/>
      <c r="U1345" s="230"/>
      <c r="V1345" s="230"/>
      <c r="W1345" s="230"/>
      <c r="X1345" s="239"/>
      <c r="Y1345" s="239"/>
      <c r="Z1345" s="230"/>
      <c r="AA1345" s="230"/>
      <c r="AB1345" s="230"/>
      <c r="AC1345" s="230"/>
      <c r="AD1345" s="239"/>
    </row>
    <row r="1346" spans="1:30" ht="15.75" x14ac:dyDescent="0.25">
      <c r="A1346" s="230"/>
      <c r="B1346" s="231"/>
      <c r="C1346" s="231"/>
      <c r="D1346" s="231"/>
      <c r="E1346" s="230"/>
      <c r="F1346" s="230"/>
      <c r="G1346" s="230"/>
      <c r="H1346" s="230"/>
      <c r="I1346" s="230"/>
      <c r="J1346" s="230"/>
      <c r="K1346" s="230"/>
      <c r="L1346" s="230"/>
      <c r="M1346" s="230"/>
      <c r="N1346" s="230"/>
      <c r="O1346" s="230"/>
      <c r="P1346" s="230"/>
      <c r="Q1346" s="230"/>
      <c r="R1346" s="230"/>
      <c r="S1346" s="239"/>
      <c r="T1346" s="230"/>
      <c r="U1346" s="230"/>
      <c r="V1346" s="230"/>
      <c r="W1346" s="230"/>
      <c r="X1346" s="239"/>
      <c r="Y1346" s="239"/>
      <c r="Z1346" s="230"/>
      <c r="AA1346" s="230"/>
      <c r="AB1346" s="230"/>
      <c r="AC1346" s="230"/>
      <c r="AD1346" s="239"/>
    </row>
    <row r="1347" spans="1:30" ht="15.75" x14ac:dyDescent="0.25">
      <c r="A1347" s="230"/>
      <c r="B1347" s="231"/>
      <c r="C1347" s="231"/>
      <c r="D1347" s="231"/>
      <c r="E1347" s="230"/>
      <c r="F1347" s="230"/>
      <c r="G1347" s="230"/>
      <c r="H1347" s="230"/>
      <c r="I1347" s="230"/>
      <c r="J1347" s="230"/>
      <c r="K1347" s="230"/>
      <c r="L1347" s="230"/>
      <c r="M1347" s="230"/>
      <c r="N1347" s="230"/>
      <c r="O1347" s="230"/>
      <c r="P1347" s="230"/>
      <c r="Q1347" s="230"/>
      <c r="R1347" s="230"/>
      <c r="S1347" s="239"/>
      <c r="T1347" s="230"/>
      <c r="U1347" s="230"/>
      <c r="V1347" s="230"/>
      <c r="W1347" s="230"/>
      <c r="X1347" s="239"/>
      <c r="Y1347" s="239"/>
      <c r="Z1347" s="230"/>
      <c r="AA1347" s="230"/>
      <c r="AB1347" s="230"/>
      <c r="AC1347" s="230"/>
      <c r="AD1347" s="239"/>
    </row>
    <row r="1348" spans="1:30" ht="15.75" x14ac:dyDescent="0.25">
      <c r="A1348" s="230"/>
      <c r="B1348" s="231"/>
      <c r="C1348" s="231"/>
      <c r="D1348" s="231"/>
      <c r="E1348" s="230"/>
      <c r="F1348" s="230"/>
      <c r="G1348" s="230"/>
      <c r="H1348" s="230"/>
      <c r="I1348" s="230"/>
      <c r="J1348" s="230"/>
      <c r="K1348" s="230"/>
      <c r="L1348" s="230"/>
      <c r="M1348" s="230"/>
      <c r="N1348" s="230"/>
      <c r="O1348" s="230"/>
      <c r="P1348" s="230"/>
      <c r="Q1348" s="230"/>
      <c r="R1348" s="230"/>
      <c r="S1348" s="239"/>
      <c r="T1348" s="230"/>
      <c r="U1348" s="230"/>
      <c r="V1348" s="230"/>
      <c r="W1348" s="230"/>
      <c r="X1348" s="239"/>
      <c r="Y1348" s="239"/>
      <c r="Z1348" s="230"/>
      <c r="AA1348" s="230"/>
      <c r="AB1348" s="230"/>
      <c r="AC1348" s="230"/>
      <c r="AD1348" s="239"/>
    </row>
    <row r="1349" spans="1:30" ht="15.75" x14ac:dyDescent="0.25">
      <c r="A1349" s="230"/>
      <c r="B1349" s="231"/>
      <c r="C1349" s="231"/>
      <c r="D1349" s="231"/>
      <c r="E1349" s="230"/>
      <c r="F1349" s="230"/>
      <c r="G1349" s="230"/>
      <c r="H1349" s="230"/>
      <c r="I1349" s="230"/>
      <c r="J1349" s="230"/>
      <c r="K1349" s="230"/>
      <c r="L1349" s="230"/>
      <c r="M1349" s="230"/>
      <c r="N1349" s="230"/>
      <c r="O1349" s="230"/>
      <c r="P1349" s="230"/>
      <c r="Q1349" s="230"/>
      <c r="R1349" s="230"/>
      <c r="S1349" s="239"/>
      <c r="T1349" s="230"/>
      <c r="U1349" s="230"/>
      <c r="V1349" s="230"/>
      <c r="W1349" s="230"/>
      <c r="X1349" s="239"/>
      <c r="Y1349" s="239"/>
      <c r="Z1349" s="230"/>
      <c r="AA1349" s="230"/>
      <c r="AB1349" s="230"/>
      <c r="AC1349" s="230"/>
      <c r="AD1349" s="239"/>
    </row>
    <row r="1350" spans="1:30" ht="15.75" x14ac:dyDescent="0.25">
      <c r="A1350" s="230"/>
      <c r="B1350" s="231"/>
      <c r="C1350" s="231"/>
      <c r="D1350" s="231"/>
      <c r="E1350" s="230"/>
      <c r="F1350" s="230"/>
      <c r="G1350" s="230"/>
      <c r="H1350" s="230"/>
      <c r="I1350" s="230"/>
      <c r="J1350" s="230"/>
      <c r="K1350" s="230"/>
      <c r="L1350" s="230"/>
      <c r="M1350" s="230"/>
      <c r="N1350" s="230"/>
      <c r="O1350" s="230"/>
      <c r="P1350" s="230"/>
      <c r="Q1350" s="230"/>
      <c r="R1350" s="230"/>
      <c r="S1350" s="239"/>
      <c r="T1350" s="230"/>
      <c r="U1350" s="230"/>
      <c r="V1350" s="230"/>
      <c r="W1350" s="230"/>
      <c r="X1350" s="239"/>
      <c r="Y1350" s="239"/>
      <c r="Z1350" s="230"/>
      <c r="AA1350" s="230"/>
      <c r="AB1350" s="230"/>
      <c r="AC1350" s="230"/>
      <c r="AD1350" s="239"/>
    </row>
    <row r="1351" spans="1:30" ht="15.75" x14ac:dyDescent="0.25">
      <c r="A1351" s="230"/>
      <c r="B1351" s="231"/>
      <c r="C1351" s="231"/>
      <c r="D1351" s="231"/>
      <c r="E1351" s="230"/>
      <c r="F1351" s="230"/>
      <c r="G1351" s="230"/>
      <c r="H1351" s="230"/>
      <c r="I1351" s="230"/>
      <c r="J1351" s="230"/>
      <c r="K1351" s="230"/>
      <c r="L1351" s="230"/>
      <c r="M1351" s="230"/>
      <c r="N1351" s="230"/>
      <c r="O1351" s="230"/>
      <c r="P1351" s="230"/>
      <c r="Q1351" s="230"/>
      <c r="R1351" s="230"/>
      <c r="S1351" s="239"/>
      <c r="T1351" s="230"/>
      <c r="U1351" s="230"/>
      <c r="V1351" s="230"/>
      <c r="W1351" s="230"/>
      <c r="X1351" s="239"/>
      <c r="Y1351" s="239"/>
      <c r="Z1351" s="230"/>
      <c r="AA1351" s="230"/>
      <c r="AB1351" s="230"/>
      <c r="AC1351" s="230"/>
      <c r="AD1351" s="239"/>
    </row>
    <row r="1352" spans="1:30" ht="15.75" x14ac:dyDescent="0.25">
      <c r="A1352" s="230"/>
      <c r="B1352" s="231"/>
      <c r="C1352" s="231"/>
      <c r="D1352" s="231"/>
      <c r="E1352" s="230"/>
      <c r="F1352" s="230"/>
      <c r="G1352" s="230"/>
      <c r="H1352" s="230"/>
      <c r="I1352" s="230"/>
      <c r="J1352" s="230"/>
      <c r="K1352" s="230"/>
      <c r="L1352" s="230"/>
      <c r="M1352" s="230"/>
      <c r="N1352" s="230"/>
      <c r="O1352" s="230"/>
      <c r="P1352" s="230"/>
      <c r="Q1352" s="230"/>
      <c r="R1352" s="230"/>
      <c r="S1352" s="239"/>
      <c r="T1352" s="230"/>
      <c r="U1352" s="230"/>
      <c r="V1352" s="230"/>
      <c r="W1352" s="230"/>
      <c r="X1352" s="239"/>
      <c r="Y1352" s="239"/>
      <c r="Z1352" s="230"/>
      <c r="AA1352" s="230"/>
      <c r="AB1352" s="230"/>
      <c r="AC1352" s="230"/>
      <c r="AD1352" s="239"/>
    </row>
    <row r="1353" spans="1:30" ht="15.75" x14ac:dyDescent="0.25">
      <c r="A1353" s="230"/>
      <c r="B1353" s="231"/>
      <c r="C1353" s="231"/>
      <c r="D1353" s="231"/>
      <c r="E1353" s="230"/>
      <c r="F1353" s="230"/>
      <c r="G1353" s="230"/>
      <c r="H1353" s="230"/>
      <c r="I1353" s="230"/>
      <c r="J1353" s="230"/>
      <c r="K1353" s="230"/>
      <c r="L1353" s="230"/>
      <c r="M1353" s="230"/>
      <c r="N1353" s="230"/>
      <c r="O1353" s="230"/>
      <c r="P1353" s="230"/>
      <c r="Q1353" s="230"/>
      <c r="R1353" s="230"/>
      <c r="S1353" s="239"/>
      <c r="T1353" s="230"/>
      <c r="U1353" s="230"/>
      <c r="V1353" s="230"/>
      <c r="W1353" s="230"/>
      <c r="X1353" s="239"/>
      <c r="Y1353" s="239"/>
      <c r="Z1353" s="230"/>
      <c r="AA1353" s="230"/>
      <c r="AB1353" s="230"/>
      <c r="AC1353" s="230"/>
      <c r="AD1353" s="239"/>
    </row>
    <row r="1354" spans="1:30" ht="15.75" x14ac:dyDescent="0.25">
      <c r="A1354" s="230"/>
      <c r="B1354" s="231"/>
      <c r="C1354" s="231"/>
      <c r="D1354" s="231"/>
      <c r="E1354" s="230"/>
      <c r="F1354" s="230"/>
      <c r="G1354" s="230"/>
      <c r="H1354" s="230"/>
      <c r="I1354" s="230"/>
      <c r="J1354" s="230"/>
      <c r="K1354" s="230"/>
      <c r="L1354" s="230"/>
      <c r="M1354" s="230"/>
      <c r="N1354" s="230"/>
      <c r="O1354" s="230"/>
      <c r="P1354" s="230"/>
      <c r="Q1354" s="230"/>
      <c r="R1354" s="230"/>
      <c r="S1354" s="239"/>
      <c r="T1354" s="230"/>
      <c r="U1354" s="230"/>
      <c r="V1354" s="230"/>
      <c r="W1354" s="230"/>
      <c r="X1354" s="239"/>
      <c r="Y1354" s="239"/>
      <c r="Z1354" s="230"/>
      <c r="AA1354" s="230"/>
      <c r="AB1354" s="230"/>
      <c r="AC1354" s="230"/>
      <c r="AD1354" s="239"/>
    </row>
    <row r="1355" spans="1:30" ht="15.75" x14ac:dyDescent="0.25">
      <c r="A1355" s="230"/>
      <c r="B1355" s="231"/>
      <c r="C1355" s="231"/>
      <c r="D1355" s="231"/>
      <c r="E1355" s="230"/>
      <c r="F1355" s="230"/>
      <c r="G1355" s="230"/>
      <c r="H1355" s="230"/>
      <c r="I1355" s="230"/>
      <c r="J1355" s="230"/>
      <c r="K1355" s="230"/>
      <c r="L1355" s="230"/>
      <c r="M1355" s="230"/>
      <c r="N1355" s="230"/>
      <c r="O1355" s="230"/>
      <c r="P1355" s="230"/>
      <c r="Q1355" s="230"/>
      <c r="R1355" s="230"/>
      <c r="S1355" s="239"/>
      <c r="T1355" s="230"/>
      <c r="U1355" s="230"/>
      <c r="V1355" s="230"/>
      <c r="W1355" s="230"/>
      <c r="X1355" s="239"/>
      <c r="Y1355" s="239"/>
      <c r="Z1355" s="230"/>
      <c r="AA1355" s="230"/>
      <c r="AB1355" s="230"/>
      <c r="AC1355" s="230"/>
      <c r="AD1355" s="239"/>
    </row>
    <row r="1356" spans="1:30" ht="15.75" x14ac:dyDescent="0.25">
      <c r="A1356" s="230"/>
      <c r="B1356" s="231"/>
      <c r="C1356" s="231"/>
      <c r="D1356" s="231"/>
      <c r="E1356" s="230"/>
      <c r="F1356" s="230"/>
      <c r="G1356" s="230"/>
      <c r="H1356" s="230"/>
      <c r="I1356" s="230"/>
      <c r="J1356" s="230"/>
      <c r="K1356" s="230"/>
      <c r="L1356" s="230"/>
      <c r="M1356" s="230"/>
      <c r="N1356" s="230"/>
      <c r="O1356" s="230"/>
      <c r="P1356" s="230"/>
      <c r="Q1356" s="230"/>
      <c r="R1356" s="230"/>
      <c r="S1356" s="239"/>
      <c r="T1356" s="230"/>
      <c r="U1356" s="230"/>
      <c r="V1356" s="230"/>
      <c r="W1356" s="230"/>
      <c r="X1356" s="239"/>
      <c r="Y1356" s="239"/>
      <c r="Z1356" s="230"/>
      <c r="AA1356" s="230"/>
      <c r="AB1356" s="230"/>
      <c r="AC1356" s="230"/>
      <c r="AD1356" s="239"/>
    </row>
    <row r="1357" spans="1:30" ht="15.75" x14ac:dyDescent="0.25">
      <c r="A1357" s="230"/>
      <c r="B1357" s="231"/>
      <c r="C1357" s="231"/>
      <c r="D1357" s="231"/>
      <c r="E1357" s="230"/>
      <c r="F1357" s="230"/>
      <c r="G1357" s="230"/>
      <c r="H1357" s="230"/>
      <c r="I1357" s="230"/>
      <c r="J1357" s="230"/>
      <c r="K1357" s="230"/>
      <c r="L1357" s="230"/>
      <c r="M1357" s="230"/>
      <c r="N1357" s="230"/>
      <c r="O1357" s="230"/>
      <c r="P1357" s="230"/>
      <c r="Q1357" s="230"/>
      <c r="R1357" s="230"/>
      <c r="S1357" s="239"/>
      <c r="T1357" s="230"/>
      <c r="U1357" s="230"/>
      <c r="V1357" s="230"/>
      <c r="W1357" s="230"/>
      <c r="X1357" s="239"/>
      <c r="Y1357" s="239"/>
      <c r="Z1357" s="230"/>
      <c r="AA1357" s="230"/>
      <c r="AB1357" s="230"/>
      <c r="AC1357" s="230"/>
      <c r="AD1357" s="239"/>
    </row>
    <row r="1358" spans="1:30" ht="15.75" x14ac:dyDescent="0.25">
      <c r="A1358" s="230"/>
      <c r="B1358" s="231"/>
      <c r="C1358" s="231"/>
      <c r="D1358" s="231"/>
      <c r="E1358" s="230"/>
      <c r="F1358" s="230"/>
      <c r="G1358" s="230"/>
      <c r="H1358" s="230"/>
      <c r="I1358" s="230"/>
      <c r="J1358" s="230"/>
      <c r="K1358" s="230"/>
      <c r="L1358" s="230"/>
      <c r="M1358" s="230"/>
      <c r="N1358" s="230"/>
      <c r="O1358" s="230"/>
      <c r="P1358" s="230"/>
      <c r="Q1358" s="230"/>
      <c r="R1358" s="230"/>
      <c r="S1358" s="239"/>
      <c r="T1358" s="230"/>
      <c r="U1358" s="230"/>
      <c r="V1358" s="230"/>
      <c r="W1358" s="230"/>
      <c r="X1358" s="239"/>
      <c r="Y1358" s="239"/>
      <c r="Z1358" s="230"/>
      <c r="AA1358" s="230"/>
      <c r="AB1358" s="230"/>
      <c r="AC1358" s="230"/>
      <c r="AD1358" s="239"/>
    </row>
    <row r="1359" spans="1:30" ht="15.75" x14ac:dyDescent="0.25">
      <c r="A1359" s="230"/>
      <c r="B1359" s="231"/>
      <c r="C1359" s="231"/>
      <c r="D1359" s="231"/>
      <c r="E1359" s="230"/>
      <c r="F1359" s="230"/>
      <c r="G1359" s="230"/>
      <c r="H1359" s="230"/>
      <c r="I1359" s="230"/>
      <c r="J1359" s="230"/>
      <c r="K1359" s="230"/>
      <c r="L1359" s="230"/>
      <c r="M1359" s="230"/>
      <c r="N1359" s="230"/>
      <c r="O1359" s="230"/>
      <c r="P1359" s="230"/>
      <c r="Q1359" s="230"/>
      <c r="R1359" s="230"/>
      <c r="S1359" s="239"/>
      <c r="T1359" s="230"/>
      <c r="U1359" s="230"/>
      <c r="V1359" s="230"/>
      <c r="W1359" s="230"/>
      <c r="X1359" s="239"/>
      <c r="Y1359" s="239"/>
      <c r="Z1359" s="230"/>
      <c r="AA1359" s="230"/>
      <c r="AB1359" s="230"/>
      <c r="AC1359" s="230"/>
      <c r="AD1359" s="239"/>
    </row>
    <row r="1360" spans="1:30" ht="15.75" x14ac:dyDescent="0.25">
      <c r="A1360" s="230"/>
      <c r="B1360" s="231"/>
      <c r="C1360" s="231"/>
      <c r="D1360" s="231"/>
      <c r="E1360" s="230"/>
      <c r="F1360" s="230"/>
      <c r="G1360" s="230"/>
      <c r="H1360" s="230"/>
      <c r="I1360" s="230"/>
      <c r="J1360" s="230"/>
      <c r="K1360" s="230"/>
      <c r="L1360" s="230"/>
      <c r="M1360" s="230"/>
      <c r="N1360" s="230"/>
      <c r="O1360" s="230"/>
      <c r="P1360" s="230"/>
      <c r="Q1360" s="230"/>
      <c r="R1360" s="230"/>
      <c r="S1360" s="239"/>
      <c r="T1360" s="230"/>
      <c r="U1360" s="230"/>
      <c r="V1360" s="230"/>
      <c r="W1360" s="230"/>
      <c r="X1360" s="239"/>
      <c r="Y1360" s="239"/>
      <c r="Z1360" s="230"/>
      <c r="AA1360" s="230"/>
      <c r="AB1360" s="230"/>
      <c r="AC1360" s="230"/>
      <c r="AD1360" s="239"/>
    </row>
    <row r="1361" spans="1:30" ht="15.75" x14ac:dyDescent="0.25">
      <c r="A1361" s="230"/>
      <c r="B1361" s="231"/>
      <c r="C1361" s="231"/>
      <c r="D1361" s="231"/>
      <c r="E1361" s="230"/>
      <c r="F1361" s="230"/>
      <c r="G1361" s="230"/>
      <c r="H1361" s="230"/>
      <c r="I1361" s="230"/>
      <c r="J1361" s="230"/>
      <c r="K1361" s="230"/>
      <c r="L1361" s="230"/>
      <c r="M1361" s="230"/>
      <c r="N1361" s="230"/>
      <c r="O1361" s="230"/>
      <c r="P1361" s="230"/>
      <c r="Q1361" s="230"/>
      <c r="R1361" s="230"/>
      <c r="S1361" s="239"/>
      <c r="T1361" s="230"/>
      <c r="U1361" s="230"/>
      <c r="V1361" s="230"/>
      <c r="W1361" s="230"/>
      <c r="X1361" s="239"/>
      <c r="Y1361" s="239"/>
      <c r="Z1361" s="230"/>
      <c r="AA1361" s="230"/>
      <c r="AB1361" s="230"/>
      <c r="AC1361" s="230"/>
      <c r="AD1361" s="239"/>
    </row>
    <row r="1362" spans="1:30" ht="15.75" x14ac:dyDescent="0.25">
      <c r="A1362" s="230"/>
      <c r="B1362" s="231"/>
      <c r="C1362" s="231"/>
      <c r="D1362" s="231"/>
      <c r="E1362" s="230"/>
      <c r="F1362" s="230"/>
      <c r="G1362" s="230"/>
      <c r="H1362" s="230"/>
      <c r="I1362" s="230"/>
      <c r="J1362" s="230"/>
      <c r="K1362" s="230"/>
      <c r="L1362" s="230"/>
      <c r="M1362" s="230"/>
      <c r="N1362" s="230"/>
      <c r="O1362" s="230"/>
      <c r="P1362" s="230"/>
      <c r="Q1362" s="230"/>
      <c r="R1362" s="230"/>
      <c r="S1362" s="239"/>
      <c r="T1362" s="230"/>
      <c r="U1362" s="230"/>
      <c r="V1362" s="230"/>
      <c r="W1362" s="230"/>
      <c r="X1362" s="239"/>
      <c r="Y1362" s="239"/>
      <c r="Z1362" s="230"/>
      <c r="AA1362" s="230"/>
      <c r="AB1362" s="230"/>
      <c r="AC1362" s="230"/>
      <c r="AD1362" s="239"/>
    </row>
    <row r="1363" spans="1:30" ht="15.75" x14ac:dyDescent="0.25">
      <c r="A1363" s="230"/>
      <c r="B1363" s="231"/>
      <c r="C1363" s="231"/>
      <c r="D1363" s="231"/>
      <c r="E1363" s="230"/>
      <c r="F1363" s="230"/>
      <c r="G1363" s="230"/>
      <c r="H1363" s="230"/>
      <c r="I1363" s="230"/>
      <c r="J1363" s="230"/>
      <c r="K1363" s="230"/>
      <c r="L1363" s="230"/>
      <c r="M1363" s="230"/>
      <c r="N1363" s="230"/>
      <c r="O1363" s="230"/>
      <c r="P1363" s="230"/>
      <c r="Q1363" s="230"/>
      <c r="R1363" s="230"/>
      <c r="S1363" s="239"/>
      <c r="T1363" s="230"/>
      <c r="U1363" s="230"/>
      <c r="V1363" s="230"/>
      <c r="W1363" s="230"/>
      <c r="X1363" s="239"/>
      <c r="Y1363" s="239"/>
      <c r="Z1363" s="230"/>
      <c r="AA1363" s="230"/>
      <c r="AB1363" s="230"/>
      <c r="AC1363" s="230"/>
      <c r="AD1363" s="239"/>
    </row>
    <row r="1364" spans="1:30" ht="15.75" x14ac:dyDescent="0.25">
      <c r="A1364" s="230"/>
      <c r="B1364" s="231"/>
      <c r="C1364" s="231"/>
      <c r="D1364" s="231"/>
      <c r="E1364" s="230"/>
      <c r="F1364" s="230"/>
      <c r="G1364" s="230"/>
      <c r="H1364" s="230"/>
      <c r="I1364" s="230"/>
      <c r="J1364" s="230"/>
      <c r="K1364" s="230"/>
      <c r="L1364" s="230"/>
      <c r="M1364" s="230"/>
      <c r="N1364" s="230"/>
      <c r="O1364" s="230"/>
      <c r="P1364" s="230"/>
      <c r="Q1364" s="230"/>
      <c r="R1364" s="230"/>
      <c r="S1364" s="239"/>
      <c r="T1364" s="230"/>
      <c r="U1364" s="230"/>
      <c r="V1364" s="230"/>
      <c r="W1364" s="230"/>
      <c r="X1364" s="239"/>
      <c r="Y1364" s="239"/>
      <c r="Z1364" s="230"/>
      <c r="AA1364" s="230"/>
      <c r="AB1364" s="230"/>
      <c r="AC1364" s="230"/>
      <c r="AD1364" s="239"/>
    </row>
    <row r="1365" spans="1:30" ht="15.75" x14ac:dyDescent="0.25">
      <c r="A1365" s="230"/>
      <c r="B1365" s="231"/>
      <c r="C1365" s="231"/>
      <c r="D1365" s="231"/>
      <c r="E1365" s="230"/>
      <c r="F1365" s="230"/>
      <c r="G1365" s="230"/>
      <c r="H1365" s="230"/>
      <c r="I1365" s="230"/>
      <c r="J1365" s="230"/>
      <c r="K1365" s="230"/>
      <c r="L1365" s="230"/>
      <c r="M1365" s="230"/>
      <c r="N1365" s="230"/>
      <c r="O1365" s="230"/>
      <c r="P1365" s="230"/>
      <c r="Q1365" s="230"/>
      <c r="R1365" s="230"/>
      <c r="S1365" s="239"/>
      <c r="T1365" s="230"/>
      <c r="U1365" s="230"/>
      <c r="V1365" s="230"/>
      <c r="W1365" s="230"/>
      <c r="X1365" s="239"/>
      <c r="Y1365" s="239"/>
      <c r="Z1365" s="230"/>
      <c r="AA1365" s="230"/>
      <c r="AB1365" s="230"/>
      <c r="AC1365" s="230"/>
      <c r="AD1365" s="239"/>
    </row>
    <row r="1366" spans="1:30" ht="15.75" x14ac:dyDescent="0.25">
      <c r="A1366" s="230"/>
      <c r="B1366" s="231"/>
      <c r="C1366" s="231"/>
      <c r="D1366" s="231"/>
      <c r="E1366" s="230"/>
      <c r="F1366" s="230"/>
      <c r="G1366" s="230"/>
      <c r="H1366" s="230"/>
      <c r="I1366" s="230"/>
      <c r="J1366" s="230"/>
      <c r="K1366" s="230"/>
      <c r="L1366" s="230"/>
      <c r="M1366" s="230"/>
      <c r="N1366" s="230"/>
      <c r="O1366" s="230"/>
      <c r="P1366" s="230"/>
      <c r="Q1366" s="230"/>
      <c r="R1366" s="230"/>
      <c r="S1366" s="239"/>
      <c r="T1366" s="230"/>
      <c r="U1366" s="230"/>
      <c r="V1366" s="230"/>
      <c r="W1366" s="230"/>
      <c r="X1366" s="239"/>
      <c r="Y1366" s="239"/>
      <c r="Z1366" s="230"/>
      <c r="AA1366" s="230"/>
      <c r="AB1366" s="230"/>
      <c r="AC1366" s="230"/>
      <c r="AD1366" s="239"/>
    </row>
    <row r="1367" spans="1:30" ht="15.75" x14ac:dyDescent="0.25">
      <c r="A1367" s="230"/>
      <c r="B1367" s="231"/>
      <c r="C1367" s="231"/>
      <c r="D1367" s="231"/>
      <c r="E1367" s="230"/>
      <c r="F1367" s="230"/>
      <c r="G1367" s="230"/>
      <c r="H1367" s="230"/>
      <c r="I1367" s="230"/>
      <c r="J1367" s="230"/>
      <c r="K1367" s="230"/>
      <c r="L1367" s="230"/>
      <c r="M1367" s="230"/>
      <c r="N1367" s="230"/>
      <c r="O1367" s="230"/>
      <c r="P1367" s="230"/>
      <c r="Q1367" s="230"/>
      <c r="R1367" s="230"/>
      <c r="S1367" s="239"/>
      <c r="T1367" s="230"/>
      <c r="U1367" s="230"/>
      <c r="V1367" s="230"/>
      <c r="W1367" s="230"/>
      <c r="X1367" s="239"/>
      <c r="Y1367" s="239"/>
      <c r="Z1367" s="230"/>
      <c r="AA1367" s="230"/>
      <c r="AB1367" s="230"/>
      <c r="AC1367" s="230"/>
      <c r="AD1367" s="239"/>
    </row>
    <row r="1368" spans="1:30" ht="15.75" x14ac:dyDescent="0.25">
      <c r="A1368" s="230"/>
      <c r="B1368" s="231"/>
      <c r="C1368" s="231"/>
      <c r="D1368" s="231"/>
      <c r="E1368" s="230"/>
      <c r="F1368" s="230"/>
      <c r="G1368" s="230"/>
      <c r="H1368" s="230"/>
      <c r="I1368" s="230"/>
      <c r="J1368" s="230"/>
      <c r="K1368" s="230"/>
      <c r="L1368" s="230"/>
      <c r="M1368" s="230"/>
      <c r="N1368" s="230"/>
      <c r="O1368" s="230"/>
      <c r="P1368" s="230"/>
      <c r="Q1368" s="230"/>
      <c r="R1368" s="230"/>
      <c r="S1368" s="239"/>
      <c r="T1368" s="230"/>
      <c r="U1368" s="230"/>
      <c r="V1368" s="230"/>
      <c r="W1368" s="230"/>
      <c r="X1368" s="239"/>
      <c r="Y1368" s="239"/>
      <c r="Z1368" s="230"/>
      <c r="AA1368" s="230"/>
      <c r="AB1368" s="230"/>
      <c r="AC1368" s="230"/>
      <c r="AD1368" s="239"/>
    </row>
    <row r="1369" spans="1:30" ht="15.75" x14ac:dyDescent="0.25">
      <c r="A1369" s="230"/>
      <c r="B1369" s="231"/>
      <c r="C1369" s="231"/>
      <c r="D1369" s="231"/>
      <c r="E1369" s="230"/>
      <c r="F1369" s="230"/>
      <c r="G1369" s="230"/>
      <c r="H1369" s="230"/>
      <c r="I1369" s="230"/>
      <c r="J1369" s="230"/>
      <c r="K1369" s="230"/>
      <c r="L1369" s="230"/>
      <c r="M1369" s="230"/>
      <c r="N1369" s="230"/>
      <c r="O1369" s="230"/>
      <c r="P1369" s="230"/>
      <c r="Q1369" s="230"/>
      <c r="R1369" s="230"/>
      <c r="S1369" s="239"/>
      <c r="T1369" s="230"/>
      <c r="U1369" s="230"/>
      <c r="V1369" s="230"/>
      <c r="W1369" s="230"/>
      <c r="X1369" s="239"/>
      <c r="Y1369" s="239"/>
      <c r="Z1369" s="230"/>
      <c r="AA1369" s="230"/>
      <c r="AB1369" s="230"/>
      <c r="AC1369" s="230"/>
      <c r="AD1369" s="239"/>
    </row>
    <row r="1370" spans="1:30" ht="15.75" x14ac:dyDescent="0.25">
      <c r="A1370" s="230"/>
      <c r="B1370" s="231"/>
      <c r="C1370" s="231"/>
      <c r="D1370" s="231"/>
      <c r="E1370" s="230"/>
      <c r="F1370" s="230"/>
      <c r="G1370" s="230"/>
      <c r="H1370" s="230"/>
      <c r="I1370" s="230"/>
      <c r="J1370" s="230"/>
      <c r="K1370" s="230"/>
      <c r="L1370" s="230"/>
      <c r="M1370" s="230"/>
      <c r="N1370" s="230"/>
      <c r="O1370" s="230"/>
      <c r="P1370" s="230"/>
      <c r="Q1370" s="230"/>
      <c r="R1370" s="230"/>
      <c r="S1370" s="239"/>
      <c r="T1370" s="230"/>
      <c r="U1370" s="230"/>
      <c r="V1370" s="230"/>
      <c r="W1370" s="230"/>
      <c r="X1370" s="239"/>
      <c r="Y1370" s="239"/>
      <c r="Z1370" s="230"/>
      <c r="AA1370" s="230"/>
      <c r="AB1370" s="230"/>
      <c r="AC1370" s="230"/>
      <c r="AD1370" s="239"/>
    </row>
    <row r="1371" spans="1:30" ht="15.75" x14ac:dyDescent="0.25">
      <c r="A1371" s="230"/>
      <c r="B1371" s="231"/>
      <c r="C1371" s="231"/>
      <c r="D1371" s="231"/>
      <c r="E1371" s="230"/>
      <c r="F1371" s="230"/>
      <c r="G1371" s="230"/>
      <c r="H1371" s="230"/>
      <c r="I1371" s="230"/>
      <c r="J1371" s="230"/>
      <c r="K1371" s="230"/>
      <c r="L1371" s="230"/>
      <c r="M1371" s="230"/>
      <c r="N1371" s="230"/>
      <c r="O1371" s="230"/>
      <c r="P1371" s="230"/>
      <c r="Q1371" s="230"/>
      <c r="R1371" s="230"/>
      <c r="S1371" s="239"/>
      <c r="T1371" s="230"/>
      <c r="U1371" s="230"/>
      <c r="V1371" s="230"/>
      <c r="W1371" s="230"/>
      <c r="X1371" s="239"/>
      <c r="Y1371" s="239"/>
      <c r="Z1371" s="230"/>
      <c r="AA1371" s="230"/>
      <c r="AB1371" s="230"/>
      <c r="AC1371" s="230"/>
      <c r="AD1371" s="239"/>
    </row>
    <row r="1372" spans="1:30" ht="15.75" x14ac:dyDescent="0.25">
      <c r="A1372" s="230"/>
      <c r="B1372" s="231"/>
      <c r="C1372" s="231"/>
      <c r="D1372" s="231"/>
      <c r="E1372" s="230"/>
      <c r="F1372" s="230"/>
      <c r="G1372" s="230"/>
      <c r="H1372" s="230"/>
      <c r="I1372" s="230"/>
      <c r="J1372" s="230"/>
      <c r="K1372" s="230"/>
      <c r="L1372" s="230"/>
      <c r="M1372" s="230"/>
      <c r="N1372" s="230"/>
      <c r="O1372" s="230"/>
      <c r="P1372" s="230"/>
      <c r="Q1372" s="230"/>
      <c r="R1372" s="230"/>
      <c r="S1372" s="239"/>
      <c r="T1372" s="230"/>
      <c r="U1372" s="230"/>
      <c r="V1372" s="230"/>
      <c r="W1372" s="230"/>
      <c r="X1372" s="239"/>
      <c r="Y1372" s="239"/>
      <c r="Z1372" s="230"/>
      <c r="AA1372" s="230"/>
      <c r="AB1372" s="230"/>
      <c r="AC1372" s="230"/>
      <c r="AD1372" s="239"/>
    </row>
    <row r="1373" spans="1:30" ht="15.75" x14ac:dyDescent="0.25">
      <c r="A1373" s="230"/>
      <c r="B1373" s="231"/>
      <c r="C1373" s="231"/>
      <c r="D1373" s="231"/>
      <c r="E1373" s="230"/>
      <c r="F1373" s="230"/>
      <c r="G1373" s="230"/>
      <c r="H1373" s="230"/>
      <c r="I1373" s="230"/>
      <c r="J1373" s="230"/>
      <c r="K1373" s="230"/>
      <c r="L1373" s="230"/>
      <c r="M1373" s="230"/>
      <c r="N1373" s="230"/>
      <c r="O1373" s="230"/>
      <c r="P1373" s="230"/>
      <c r="Q1373" s="230"/>
      <c r="R1373" s="230"/>
      <c r="S1373" s="239"/>
      <c r="T1373" s="230"/>
      <c r="U1373" s="230"/>
      <c r="V1373" s="230"/>
      <c r="W1373" s="230"/>
      <c r="X1373" s="239"/>
      <c r="Y1373" s="239"/>
      <c r="Z1373" s="230"/>
      <c r="AA1373" s="230"/>
      <c r="AB1373" s="230"/>
      <c r="AC1373" s="230"/>
      <c r="AD1373" s="239"/>
    </row>
    <row r="1374" spans="1:30" ht="15.75" x14ac:dyDescent="0.25">
      <c r="A1374" s="230"/>
      <c r="B1374" s="231"/>
      <c r="C1374" s="231"/>
      <c r="D1374" s="231"/>
      <c r="E1374" s="230"/>
      <c r="F1374" s="230"/>
      <c r="G1374" s="230"/>
      <c r="H1374" s="230"/>
      <c r="I1374" s="230"/>
      <c r="J1374" s="230"/>
      <c r="K1374" s="230"/>
      <c r="L1374" s="230"/>
      <c r="M1374" s="230"/>
      <c r="N1374" s="230"/>
      <c r="O1374" s="230"/>
      <c r="P1374" s="230"/>
      <c r="Q1374" s="230"/>
      <c r="R1374" s="230"/>
      <c r="S1374" s="239"/>
      <c r="T1374" s="230"/>
      <c r="U1374" s="230"/>
      <c r="V1374" s="230"/>
      <c r="W1374" s="230"/>
      <c r="X1374" s="239"/>
      <c r="Y1374" s="239"/>
      <c r="Z1374" s="230"/>
      <c r="AA1374" s="230"/>
      <c r="AB1374" s="230"/>
      <c r="AC1374" s="230"/>
      <c r="AD1374" s="239"/>
    </row>
    <row r="1375" spans="1:30" ht="15.75" x14ac:dyDescent="0.25">
      <c r="A1375" s="230"/>
      <c r="B1375" s="231"/>
      <c r="C1375" s="231"/>
      <c r="D1375" s="231"/>
      <c r="E1375" s="230"/>
      <c r="F1375" s="230"/>
      <c r="G1375" s="230"/>
      <c r="H1375" s="230"/>
      <c r="I1375" s="230"/>
      <c r="J1375" s="230"/>
      <c r="K1375" s="230"/>
      <c r="L1375" s="230"/>
      <c r="M1375" s="230"/>
      <c r="N1375" s="230"/>
      <c r="O1375" s="230"/>
      <c r="P1375" s="230"/>
      <c r="Q1375" s="230"/>
      <c r="R1375" s="230"/>
      <c r="S1375" s="239"/>
      <c r="T1375" s="230"/>
      <c r="U1375" s="230"/>
      <c r="V1375" s="230"/>
      <c r="W1375" s="230"/>
      <c r="X1375" s="239"/>
      <c r="Y1375" s="239"/>
      <c r="Z1375" s="230"/>
      <c r="AA1375" s="230"/>
      <c r="AB1375" s="230"/>
      <c r="AC1375" s="230"/>
      <c r="AD1375" s="239"/>
    </row>
    <row r="1376" spans="1:30" ht="15.75" x14ac:dyDescent="0.25">
      <c r="A1376" s="230"/>
      <c r="B1376" s="231"/>
      <c r="C1376" s="231"/>
      <c r="D1376" s="231"/>
      <c r="E1376" s="230"/>
      <c r="F1376" s="230"/>
      <c r="G1376" s="230"/>
      <c r="H1376" s="230"/>
      <c r="I1376" s="230"/>
      <c r="J1376" s="230"/>
      <c r="K1376" s="230"/>
      <c r="L1376" s="230"/>
      <c r="M1376" s="230"/>
      <c r="N1376" s="230"/>
      <c r="O1376" s="230"/>
      <c r="P1376" s="230"/>
      <c r="Q1376" s="230"/>
      <c r="R1376" s="230"/>
      <c r="S1376" s="239"/>
      <c r="T1376" s="230"/>
      <c r="U1376" s="230"/>
      <c r="V1376" s="230"/>
      <c r="W1376" s="230"/>
      <c r="X1376" s="239"/>
      <c r="Y1376" s="239"/>
      <c r="Z1376" s="230"/>
      <c r="AA1376" s="230"/>
      <c r="AB1376" s="230"/>
      <c r="AC1376" s="230"/>
      <c r="AD1376" s="239"/>
    </row>
    <row r="1377" spans="1:30" ht="15.75" x14ac:dyDescent="0.25">
      <c r="A1377" s="230"/>
      <c r="B1377" s="231"/>
      <c r="C1377" s="231"/>
      <c r="D1377" s="231"/>
      <c r="E1377" s="230"/>
      <c r="F1377" s="230"/>
      <c r="G1377" s="230"/>
      <c r="H1377" s="230"/>
      <c r="I1377" s="230"/>
      <c r="J1377" s="230"/>
      <c r="K1377" s="230"/>
      <c r="L1377" s="230"/>
      <c r="M1377" s="230"/>
      <c r="N1377" s="230"/>
      <c r="O1377" s="230"/>
      <c r="P1377" s="230"/>
      <c r="Q1377" s="230"/>
      <c r="R1377" s="230"/>
      <c r="S1377" s="239"/>
      <c r="T1377" s="230"/>
      <c r="U1377" s="230"/>
      <c r="V1377" s="230"/>
      <c r="W1377" s="230"/>
      <c r="X1377" s="239"/>
      <c r="Y1377" s="239"/>
      <c r="Z1377" s="230"/>
      <c r="AA1377" s="230"/>
      <c r="AB1377" s="230"/>
      <c r="AC1377" s="230"/>
      <c r="AD1377" s="239"/>
    </row>
    <row r="1378" spans="1:30" ht="15.75" x14ac:dyDescent="0.25">
      <c r="A1378" s="230"/>
      <c r="B1378" s="231"/>
      <c r="C1378" s="231"/>
      <c r="D1378" s="231"/>
      <c r="E1378" s="230"/>
      <c r="F1378" s="230"/>
      <c r="G1378" s="230"/>
      <c r="H1378" s="230"/>
      <c r="I1378" s="230"/>
      <c r="J1378" s="230"/>
      <c r="K1378" s="230"/>
      <c r="L1378" s="230"/>
      <c r="M1378" s="230"/>
      <c r="N1378" s="230"/>
      <c r="O1378" s="230"/>
      <c r="P1378" s="230"/>
      <c r="Q1378" s="230"/>
      <c r="R1378" s="230"/>
      <c r="S1378" s="239"/>
      <c r="T1378" s="230"/>
      <c r="U1378" s="230"/>
      <c r="V1378" s="230"/>
      <c r="W1378" s="230"/>
      <c r="X1378" s="239"/>
      <c r="Y1378" s="239"/>
      <c r="Z1378" s="230"/>
      <c r="AA1378" s="230"/>
      <c r="AB1378" s="230"/>
      <c r="AC1378" s="230"/>
      <c r="AD1378" s="239"/>
    </row>
    <row r="1379" spans="1:30" ht="15.75" x14ac:dyDescent="0.25">
      <c r="A1379" s="230"/>
      <c r="B1379" s="234"/>
      <c r="C1379" s="234"/>
      <c r="D1379" s="234"/>
      <c r="E1379" s="230"/>
      <c r="F1379" s="230"/>
      <c r="G1379" s="230"/>
      <c r="H1379" s="230"/>
      <c r="I1379" s="230"/>
      <c r="J1379" s="230"/>
      <c r="K1379" s="230"/>
      <c r="L1379" s="230"/>
      <c r="M1379" s="230"/>
      <c r="N1379" s="230"/>
      <c r="O1379" s="230"/>
      <c r="P1379" s="230"/>
      <c r="Q1379" s="230"/>
      <c r="R1379" s="230"/>
      <c r="S1379" s="239"/>
      <c r="T1379" s="230"/>
      <c r="U1379" s="230"/>
      <c r="V1379" s="230"/>
      <c r="W1379" s="230"/>
      <c r="X1379" s="239"/>
      <c r="Y1379" s="239"/>
      <c r="Z1379" s="230"/>
      <c r="AA1379" s="230"/>
      <c r="AB1379" s="230"/>
      <c r="AC1379" s="230"/>
      <c r="AD1379" s="239"/>
    </row>
    <row r="1380" spans="1:30" ht="15.75" x14ac:dyDescent="0.25">
      <c r="A1380" s="230"/>
      <c r="B1380" s="234"/>
      <c r="C1380" s="234"/>
      <c r="D1380" s="234"/>
      <c r="E1380" s="230"/>
      <c r="F1380" s="230"/>
      <c r="G1380" s="230"/>
      <c r="H1380" s="230"/>
      <c r="I1380" s="230"/>
      <c r="J1380" s="230"/>
      <c r="K1380" s="230"/>
      <c r="L1380" s="230"/>
      <c r="M1380" s="230"/>
      <c r="N1380" s="230"/>
      <c r="O1380" s="230"/>
      <c r="P1380" s="230"/>
      <c r="Q1380" s="230"/>
      <c r="R1380" s="230"/>
      <c r="S1380" s="239"/>
      <c r="T1380" s="230"/>
      <c r="U1380" s="230"/>
      <c r="V1380" s="230"/>
      <c r="W1380" s="230"/>
      <c r="X1380" s="239"/>
      <c r="Y1380" s="239"/>
      <c r="Z1380" s="230"/>
      <c r="AA1380" s="230"/>
      <c r="AB1380" s="230"/>
      <c r="AC1380" s="230"/>
      <c r="AD1380" s="239"/>
    </row>
    <row r="1381" spans="1:30" ht="15.75" x14ac:dyDescent="0.25">
      <c r="A1381" s="230"/>
      <c r="B1381" s="234"/>
      <c r="C1381" s="234"/>
      <c r="D1381" s="234"/>
      <c r="E1381" s="230"/>
      <c r="F1381" s="230"/>
      <c r="G1381" s="230"/>
      <c r="H1381" s="230"/>
      <c r="I1381" s="230"/>
      <c r="J1381" s="230"/>
      <c r="K1381" s="230"/>
      <c r="L1381" s="230"/>
      <c r="M1381" s="230"/>
      <c r="N1381" s="230"/>
      <c r="O1381" s="230"/>
      <c r="P1381" s="230"/>
      <c r="Q1381" s="230"/>
      <c r="R1381" s="230"/>
      <c r="S1381" s="239"/>
      <c r="T1381" s="230"/>
      <c r="U1381" s="230"/>
      <c r="V1381" s="230"/>
      <c r="W1381" s="230"/>
      <c r="X1381" s="239"/>
      <c r="Y1381" s="239"/>
      <c r="Z1381" s="230"/>
      <c r="AA1381" s="230"/>
      <c r="AB1381" s="230"/>
      <c r="AC1381" s="230"/>
      <c r="AD1381" s="239"/>
    </row>
    <row r="1382" spans="1:30" ht="15.75" x14ac:dyDescent="0.25">
      <c r="A1382" s="230"/>
      <c r="B1382" s="234"/>
      <c r="C1382" s="234"/>
      <c r="D1382" s="234"/>
      <c r="E1382" s="230"/>
      <c r="F1382" s="230"/>
      <c r="G1382" s="230"/>
      <c r="H1382" s="230"/>
      <c r="I1382" s="230"/>
      <c r="J1382" s="230"/>
      <c r="K1382" s="230"/>
      <c r="L1382" s="230"/>
      <c r="M1382" s="230"/>
      <c r="N1382" s="230"/>
      <c r="O1382" s="230"/>
      <c r="P1382" s="230"/>
      <c r="Q1382" s="230"/>
      <c r="R1382" s="230"/>
      <c r="S1382" s="239"/>
      <c r="T1382" s="230"/>
      <c r="U1382" s="230"/>
      <c r="V1382" s="230"/>
      <c r="W1382" s="230"/>
      <c r="X1382" s="239"/>
      <c r="Y1382" s="239"/>
      <c r="Z1382" s="230"/>
      <c r="AA1382" s="230"/>
      <c r="AB1382" s="230"/>
      <c r="AC1382" s="230"/>
      <c r="AD1382" s="239"/>
    </row>
    <row r="1383" spans="1:30" ht="15.75" x14ac:dyDescent="0.25">
      <c r="A1383" s="230"/>
      <c r="B1383" s="234"/>
      <c r="C1383" s="234"/>
      <c r="D1383" s="234"/>
      <c r="E1383" s="230"/>
      <c r="F1383" s="230"/>
      <c r="G1383" s="230"/>
      <c r="H1383" s="230"/>
      <c r="I1383" s="230"/>
      <c r="J1383" s="230"/>
      <c r="K1383" s="230"/>
      <c r="L1383" s="230"/>
      <c r="M1383" s="230"/>
      <c r="N1383" s="230"/>
      <c r="O1383" s="230"/>
      <c r="P1383" s="230"/>
      <c r="Q1383" s="230"/>
      <c r="R1383" s="230"/>
      <c r="S1383" s="239"/>
      <c r="T1383" s="230"/>
      <c r="U1383" s="230"/>
      <c r="V1383" s="230"/>
      <c r="W1383" s="230"/>
      <c r="X1383" s="239"/>
      <c r="Y1383" s="239"/>
      <c r="Z1383" s="230"/>
      <c r="AA1383" s="230"/>
      <c r="AB1383" s="230"/>
      <c r="AC1383" s="230"/>
      <c r="AD1383" s="239"/>
    </row>
    <row r="1384" spans="1:30" ht="15.75" x14ac:dyDescent="0.25">
      <c r="A1384" s="230"/>
      <c r="B1384" s="234"/>
      <c r="C1384" s="234"/>
      <c r="D1384" s="234"/>
      <c r="E1384" s="230"/>
      <c r="F1384" s="230"/>
      <c r="G1384" s="230"/>
      <c r="H1384" s="230"/>
      <c r="I1384" s="230"/>
      <c r="J1384" s="230"/>
      <c r="K1384" s="230"/>
      <c r="L1384" s="230"/>
      <c r="M1384" s="230"/>
      <c r="N1384" s="230"/>
      <c r="O1384" s="230"/>
      <c r="P1384" s="230"/>
      <c r="Q1384" s="230"/>
      <c r="R1384" s="230"/>
      <c r="S1384" s="239"/>
      <c r="T1384" s="230"/>
      <c r="U1384" s="230"/>
      <c r="V1384" s="230"/>
      <c r="W1384" s="230"/>
      <c r="X1384" s="239"/>
      <c r="Y1384" s="239"/>
      <c r="Z1384" s="230"/>
      <c r="AA1384" s="230"/>
      <c r="AB1384" s="230"/>
      <c r="AC1384" s="230"/>
      <c r="AD1384" s="239"/>
    </row>
    <row r="1385" spans="1:30" ht="15.75" x14ac:dyDescent="0.25">
      <c r="A1385" s="230"/>
      <c r="B1385" s="234"/>
      <c r="C1385" s="234"/>
      <c r="D1385" s="234"/>
      <c r="E1385" s="230"/>
      <c r="F1385" s="230"/>
      <c r="G1385" s="230"/>
      <c r="H1385" s="230"/>
      <c r="I1385" s="230"/>
      <c r="J1385" s="230"/>
      <c r="K1385" s="230"/>
      <c r="L1385" s="230"/>
      <c r="M1385" s="230"/>
      <c r="N1385" s="230"/>
      <c r="O1385" s="230"/>
      <c r="P1385" s="230"/>
      <c r="Q1385" s="230"/>
      <c r="R1385" s="230"/>
      <c r="S1385" s="239"/>
      <c r="T1385" s="230"/>
      <c r="U1385" s="230"/>
      <c r="V1385" s="230"/>
      <c r="W1385" s="230"/>
      <c r="X1385" s="239"/>
      <c r="Y1385" s="239"/>
      <c r="Z1385" s="230"/>
      <c r="AA1385" s="230"/>
      <c r="AB1385" s="230"/>
      <c r="AC1385" s="230"/>
      <c r="AD1385" s="239"/>
    </row>
    <row r="1386" spans="1:30" ht="15.75" x14ac:dyDescent="0.25">
      <c r="A1386" s="230"/>
      <c r="B1386" s="234"/>
      <c r="C1386" s="234"/>
      <c r="D1386" s="234"/>
      <c r="E1386" s="230"/>
      <c r="F1386" s="230"/>
      <c r="G1386" s="230"/>
      <c r="H1386" s="230"/>
      <c r="I1386" s="230"/>
      <c r="J1386" s="230"/>
      <c r="K1386" s="230"/>
      <c r="L1386" s="230"/>
      <c r="M1386" s="230"/>
      <c r="N1386" s="230"/>
      <c r="O1386" s="230"/>
      <c r="P1386" s="230"/>
      <c r="Q1386" s="230"/>
      <c r="R1386" s="230"/>
      <c r="S1386" s="239"/>
      <c r="T1386" s="230"/>
      <c r="U1386" s="230"/>
      <c r="V1386" s="230"/>
      <c r="W1386" s="230"/>
      <c r="X1386" s="239"/>
      <c r="Y1386" s="239"/>
      <c r="Z1386" s="230"/>
      <c r="AA1386" s="230"/>
      <c r="AB1386" s="230"/>
      <c r="AC1386" s="230"/>
      <c r="AD1386" s="239"/>
    </row>
    <row r="1387" spans="1:30" ht="15.75" x14ac:dyDescent="0.25">
      <c r="A1387" s="230"/>
      <c r="B1387" s="234"/>
      <c r="C1387" s="234"/>
      <c r="D1387" s="234"/>
      <c r="E1387" s="230"/>
      <c r="F1387" s="230"/>
      <c r="G1387" s="230"/>
      <c r="H1387" s="230"/>
      <c r="I1387" s="230"/>
      <c r="J1387" s="230"/>
      <c r="K1387" s="230"/>
      <c r="L1387" s="230"/>
      <c r="M1387" s="230"/>
      <c r="N1387" s="230"/>
      <c r="O1387" s="230"/>
      <c r="P1387" s="230"/>
      <c r="Q1387" s="230"/>
      <c r="R1387" s="230"/>
      <c r="S1387" s="239"/>
      <c r="T1387" s="230"/>
      <c r="U1387" s="230"/>
      <c r="V1387" s="230"/>
      <c r="W1387" s="230"/>
      <c r="X1387" s="239"/>
      <c r="Y1387" s="239"/>
      <c r="Z1387" s="230"/>
      <c r="AA1387" s="230"/>
      <c r="AB1387" s="230"/>
      <c r="AC1387" s="230"/>
      <c r="AD1387" s="239"/>
    </row>
    <row r="1388" spans="1:30" ht="15.75" x14ac:dyDescent="0.25">
      <c r="A1388" s="230"/>
      <c r="B1388" s="234"/>
      <c r="C1388" s="234"/>
      <c r="D1388" s="234"/>
      <c r="E1388" s="230"/>
      <c r="F1388" s="230"/>
      <c r="G1388" s="230"/>
      <c r="H1388" s="230"/>
      <c r="I1388" s="230"/>
      <c r="J1388" s="230"/>
      <c r="K1388" s="230"/>
      <c r="L1388" s="230"/>
      <c r="M1388" s="230"/>
      <c r="N1388" s="230"/>
      <c r="O1388" s="230"/>
      <c r="P1388" s="230"/>
      <c r="Q1388" s="230"/>
      <c r="R1388" s="230"/>
      <c r="S1388" s="239"/>
      <c r="T1388" s="230"/>
      <c r="U1388" s="230"/>
      <c r="V1388" s="230"/>
      <c r="W1388" s="230"/>
      <c r="X1388" s="239"/>
      <c r="Y1388" s="239"/>
      <c r="Z1388" s="230"/>
      <c r="AA1388" s="230"/>
      <c r="AB1388" s="230"/>
      <c r="AC1388" s="230"/>
      <c r="AD1388" s="239"/>
    </row>
    <row r="1389" spans="1:30" ht="15.75" x14ac:dyDescent="0.25">
      <c r="A1389" s="230"/>
      <c r="B1389" s="234"/>
      <c r="C1389" s="234"/>
      <c r="D1389" s="234"/>
      <c r="E1389" s="230"/>
      <c r="F1389" s="230"/>
      <c r="G1389" s="230"/>
      <c r="H1389" s="230"/>
      <c r="I1389" s="230"/>
      <c r="J1389" s="230"/>
      <c r="K1389" s="230"/>
      <c r="L1389" s="230"/>
      <c r="M1389" s="230"/>
      <c r="N1389" s="230"/>
      <c r="O1389" s="230"/>
      <c r="P1389" s="230"/>
      <c r="Q1389" s="230"/>
      <c r="R1389" s="230"/>
      <c r="S1389" s="239"/>
      <c r="T1389" s="230"/>
      <c r="U1389" s="230"/>
      <c r="V1389" s="230"/>
      <c r="W1389" s="230"/>
      <c r="X1389" s="239"/>
      <c r="Y1389" s="239"/>
      <c r="Z1389" s="230"/>
      <c r="AA1389" s="230"/>
      <c r="AB1389" s="230"/>
      <c r="AC1389" s="230"/>
      <c r="AD1389" s="239"/>
    </row>
    <row r="1390" spans="1:30" ht="15.75" x14ac:dyDescent="0.25">
      <c r="A1390" s="230"/>
      <c r="B1390" s="234"/>
      <c r="C1390" s="234"/>
      <c r="D1390" s="234"/>
      <c r="E1390" s="230"/>
      <c r="F1390" s="230"/>
      <c r="G1390" s="230"/>
      <c r="H1390" s="230"/>
      <c r="I1390" s="230"/>
      <c r="J1390" s="230"/>
      <c r="K1390" s="230"/>
      <c r="L1390" s="230"/>
      <c r="M1390" s="230"/>
      <c r="N1390" s="230"/>
      <c r="O1390" s="230"/>
      <c r="P1390" s="230"/>
      <c r="Q1390" s="230"/>
      <c r="R1390" s="230"/>
      <c r="S1390" s="239"/>
      <c r="T1390" s="230"/>
      <c r="U1390" s="230"/>
      <c r="V1390" s="230"/>
      <c r="W1390" s="230"/>
      <c r="X1390" s="239"/>
      <c r="Y1390" s="239"/>
      <c r="Z1390" s="230"/>
      <c r="AA1390" s="230"/>
      <c r="AB1390" s="230"/>
      <c r="AC1390" s="230"/>
      <c r="AD1390" s="239"/>
    </row>
    <row r="1391" spans="1:30" ht="15.75" x14ac:dyDescent="0.25">
      <c r="A1391" s="230"/>
      <c r="B1391" s="234"/>
      <c r="C1391" s="234"/>
      <c r="D1391" s="234"/>
      <c r="E1391" s="230"/>
      <c r="F1391" s="230"/>
      <c r="G1391" s="230"/>
      <c r="H1391" s="230"/>
      <c r="I1391" s="230"/>
      <c r="J1391" s="230"/>
      <c r="K1391" s="230"/>
      <c r="L1391" s="230"/>
      <c r="M1391" s="230"/>
      <c r="N1391" s="230"/>
      <c r="O1391" s="230"/>
      <c r="P1391" s="230"/>
      <c r="Q1391" s="230"/>
      <c r="R1391" s="230"/>
      <c r="S1391" s="239"/>
      <c r="T1391" s="230"/>
      <c r="U1391" s="230"/>
      <c r="V1391" s="230"/>
      <c r="W1391" s="230"/>
      <c r="X1391" s="239"/>
      <c r="Y1391" s="239"/>
      <c r="Z1391" s="230"/>
      <c r="AA1391" s="230"/>
      <c r="AB1391" s="230"/>
      <c r="AC1391" s="230"/>
      <c r="AD1391" s="239"/>
    </row>
    <row r="1392" spans="1:30" ht="15.75" x14ac:dyDescent="0.25">
      <c r="A1392" s="230"/>
      <c r="B1392" s="234"/>
      <c r="C1392" s="234"/>
      <c r="D1392" s="234"/>
      <c r="E1392" s="230"/>
      <c r="F1392" s="230"/>
      <c r="G1392" s="230"/>
      <c r="H1392" s="230"/>
      <c r="I1392" s="230"/>
      <c r="J1392" s="230"/>
      <c r="K1392" s="230"/>
      <c r="L1392" s="230"/>
      <c r="M1392" s="230"/>
      <c r="N1392" s="230"/>
      <c r="O1392" s="230"/>
      <c r="P1392" s="230"/>
      <c r="Q1392" s="230"/>
      <c r="R1392" s="230"/>
      <c r="S1392" s="239"/>
      <c r="T1392" s="230"/>
      <c r="U1392" s="230"/>
      <c r="V1392" s="230"/>
      <c r="W1392" s="230"/>
      <c r="X1392" s="239"/>
      <c r="Y1392" s="239"/>
      <c r="Z1392" s="230"/>
      <c r="AA1392" s="230"/>
      <c r="AB1392" s="230"/>
      <c r="AC1392" s="230"/>
      <c r="AD1392" s="239"/>
    </row>
    <row r="1393" spans="1:30" ht="15.75" x14ac:dyDescent="0.25">
      <c r="A1393" s="230"/>
      <c r="B1393" s="234"/>
      <c r="C1393" s="234"/>
      <c r="D1393" s="234"/>
      <c r="E1393" s="230"/>
      <c r="F1393" s="230"/>
      <c r="G1393" s="230"/>
      <c r="H1393" s="230"/>
      <c r="I1393" s="230"/>
      <c r="J1393" s="230"/>
      <c r="K1393" s="230"/>
      <c r="L1393" s="230"/>
      <c r="M1393" s="230"/>
      <c r="N1393" s="230"/>
      <c r="O1393" s="230"/>
      <c r="P1393" s="230"/>
      <c r="Q1393" s="230"/>
      <c r="R1393" s="230"/>
      <c r="S1393" s="239"/>
      <c r="T1393" s="230"/>
      <c r="U1393" s="230"/>
      <c r="V1393" s="230"/>
      <c r="W1393" s="230"/>
      <c r="X1393" s="239"/>
      <c r="Y1393" s="239"/>
      <c r="Z1393" s="230"/>
      <c r="AA1393" s="230"/>
      <c r="AB1393" s="230"/>
      <c r="AC1393" s="230"/>
      <c r="AD1393" s="239"/>
    </row>
    <row r="1394" spans="1:30" ht="15.75" x14ac:dyDescent="0.25">
      <c r="A1394" s="230"/>
      <c r="B1394" s="234"/>
      <c r="C1394" s="234"/>
      <c r="D1394" s="234"/>
      <c r="E1394" s="230"/>
      <c r="F1394" s="230"/>
      <c r="G1394" s="230"/>
      <c r="H1394" s="230"/>
      <c r="I1394" s="230"/>
      <c r="J1394" s="230"/>
      <c r="K1394" s="230"/>
      <c r="L1394" s="230"/>
      <c r="M1394" s="230"/>
      <c r="N1394" s="230"/>
      <c r="O1394" s="230"/>
      <c r="P1394" s="230"/>
      <c r="Q1394" s="230"/>
      <c r="R1394" s="230"/>
      <c r="S1394" s="239"/>
      <c r="T1394" s="230"/>
      <c r="U1394" s="230"/>
      <c r="V1394" s="230"/>
      <c r="W1394" s="230"/>
      <c r="X1394" s="239"/>
      <c r="Y1394" s="239"/>
      <c r="Z1394" s="230"/>
      <c r="AA1394" s="230"/>
      <c r="AB1394" s="230"/>
      <c r="AC1394" s="230"/>
      <c r="AD1394" s="239"/>
    </row>
    <row r="1395" spans="1:30" ht="15.75" x14ac:dyDescent="0.25">
      <c r="A1395" s="230"/>
      <c r="B1395" s="234"/>
      <c r="C1395" s="234"/>
      <c r="D1395" s="234"/>
      <c r="E1395" s="230"/>
      <c r="F1395" s="230"/>
      <c r="G1395" s="230"/>
      <c r="H1395" s="230"/>
      <c r="I1395" s="230"/>
      <c r="J1395" s="230"/>
      <c r="K1395" s="230"/>
      <c r="L1395" s="230"/>
      <c r="M1395" s="230"/>
      <c r="N1395" s="230"/>
      <c r="O1395" s="230"/>
      <c r="P1395" s="230"/>
      <c r="Q1395" s="230"/>
      <c r="R1395" s="230"/>
      <c r="S1395" s="239"/>
      <c r="T1395" s="230"/>
      <c r="U1395" s="230"/>
      <c r="V1395" s="230"/>
      <c r="W1395" s="230"/>
      <c r="X1395" s="239"/>
      <c r="Y1395" s="239"/>
      <c r="Z1395" s="230"/>
      <c r="AA1395" s="230"/>
      <c r="AB1395" s="230"/>
      <c r="AC1395" s="230"/>
      <c r="AD1395" s="239"/>
    </row>
    <row r="1396" spans="1:30" ht="15.75" x14ac:dyDescent="0.25">
      <c r="A1396" s="230"/>
      <c r="B1396" s="234"/>
      <c r="C1396" s="234"/>
      <c r="D1396" s="234"/>
      <c r="E1396" s="230"/>
      <c r="F1396" s="230"/>
      <c r="G1396" s="230"/>
      <c r="H1396" s="230"/>
      <c r="I1396" s="230"/>
      <c r="J1396" s="230"/>
      <c r="K1396" s="230"/>
      <c r="L1396" s="230"/>
      <c r="M1396" s="230"/>
      <c r="N1396" s="230"/>
      <c r="O1396" s="230"/>
      <c r="P1396" s="230"/>
      <c r="Q1396" s="230"/>
      <c r="R1396" s="230"/>
      <c r="S1396" s="239"/>
      <c r="T1396" s="230"/>
      <c r="U1396" s="230"/>
      <c r="V1396" s="230"/>
      <c r="W1396" s="230"/>
      <c r="X1396" s="239"/>
      <c r="Y1396" s="239"/>
      <c r="Z1396" s="230"/>
      <c r="AA1396" s="230"/>
      <c r="AB1396" s="230"/>
      <c r="AC1396" s="230"/>
      <c r="AD1396" s="239"/>
    </row>
    <row r="1397" spans="1:30" ht="15.75" x14ac:dyDescent="0.25">
      <c r="A1397" s="230"/>
      <c r="B1397" s="234"/>
      <c r="C1397" s="234"/>
      <c r="D1397" s="234"/>
      <c r="E1397" s="230"/>
      <c r="F1397" s="230"/>
      <c r="G1397" s="230"/>
      <c r="H1397" s="230"/>
      <c r="I1397" s="230"/>
      <c r="J1397" s="230"/>
      <c r="K1397" s="230"/>
      <c r="L1397" s="230"/>
      <c r="M1397" s="230"/>
      <c r="N1397" s="230"/>
      <c r="O1397" s="230"/>
      <c r="P1397" s="230"/>
      <c r="Q1397" s="230"/>
      <c r="R1397" s="230"/>
      <c r="S1397" s="239"/>
      <c r="T1397" s="230"/>
      <c r="U1397" s="230"/>
      <c r="V1397" s="230"/>
      <c r="W1397" s="230"/>
      <c r="X1397" s="239"/>
      <c r="Y1397" s="239"/>
      <c r="Z1397" s="230"/>
      <c r="AA1397" s="230"/>
      <c r="AB1397" s="230"/>
      <c r="AC1397" s="230"/>
      <c r="AD1397" s="239"/>
    </row>
    <row r="1398" spans="1:30" ht="15.75" x14ac:dyDescent="0.25">
      <c r="A1398" s="230"/>
      <c r="B1398" s="234"/>
      <c r="C1398" s="234"/>
      <c r="D1398" s="234"/>
      <c r="E1398" s="230"/>
      <c r="F1398" s="230"/>
      <c r="G1398" s="230"/>
      <c r="H1398" s="230"/>
      <c r="I1398" s="230"/>
      <c r="J1398" s="230"/>
      <c r="K1398" s="230"/>
      <c r="L1398" s="230"/>
      <c r="M1398" s="230"/>
      <c r="N1398" s="230"/>
      <c r="O1398" s="230"/>
      <c r="P1398" s="230"/>
      <c r="Q1398" s="230"/>
      <c r="R1398" s="230"/>
      <c r="S1398" s="239"/>
      <c r="T1398" s="230"/>
      <c r="U1398" s="230"/>
      <c r="V1398" s="230"/>
      <c r="W1398" s="230"/>
      <c r="X1398" s="239"/>
      <c r="Y1398" s="239"/>
      <c r="Z1398" s="230"/>
      <c r="AA1398" s="230"/>
      <c r="AB1398" s="230"/>
      <c r="AC1398" s="230"/>
      <c r="AD1398" s="239"/>
    </row>
    <row r="1399" spans="1:30" ht="15.75" x14ac:dyDescent="0.25">
      <c r="A1399" s="230"/>
      <c r="B1399" s="234"/>
      <c r="C1399" s="234"/>
      <c r="D1399" s="234"/>
      <c r="E1399" s="230"/>
      <c r="F1399" s="230"/>
      <c r="G1399" s="230"/>
      <c r="H1399" s="230"/>
      <c r="I1399" s="230"/>
      <c r="J1399" s="230"/>
      <c r="K1399" s="230"/>
      <c r="L1399" s="230"/>
      <c r="M1399" s="230"/>
      <c r="N1399" s="230"/>
      <c r="O1399" s="230"/>
      <c r="P1399" s="230"/>
      <c r="Q1399" s="230"/>
      <c r="R1399" s="230"/>
      <c r="S1399" s="239"/>
      <c r="T1399" s="230"/>
      <c r="U1399" s="230"/>
      <c r="V1399" s="230"/>
      <c r="W1399" s="230"/>
      <c r="X1399" s="239"/>
      <c r="Y1399" s="239"/>
      <c r="Z1399" s="230"/>
      <c r="AA1399" s="230"/>
      <c r="AB1399" s="230"/>
      <c r="AC1399" s="230"/>
      <c r="AD1399" s="239"/>
    </row>
    <row r="1400" spans="1:30" ht="15.75" x14ac:dyDescent="0.25">
      <c r="A1400" s="230"/>
      <c r="B1400" s="234"/>
      <c r="C1400" s="234"/>
      <c r="D1400" s="234"/>
      <c r="E1400" s="230"/>
      <c r="F1400" s="230"/>
      <c r="G1400" s="230"/>
      <c r="H1400" s="230"/>
      <c r="I1400" s="230"/>
      <c r="J1400" s="230"/>
      <c r="K1400" s="230"/>
      <c r="L1400" s="230"/>
      <c r="M1400" s="230"/>
      <c r="N1400" s="230"/>
      <c r="O1400" s="230"/>
      <c r="P1400" s="230"/>
      <c r="Q1400" s="230"/>
      <c r="R1400" s="230"/>
      <c r="S1400" s="239"/>
      <c r="T1400" s="230"/>
      <c r="U1400" s="230"/>
      <c r="V1400" s="230"/>
      <c r="W1400" s="230"/>
      <c r="X1400" s="239"/>
      <c r="Y1400" s="239"/>
      <c r="Z1400" s="230"/>
      <c r="AA1400" s="230"/>
      <c r="AB1400" s="230"/>
      <c r="AC1400" s="230"/>
      <c r="AD1400" s="239"/>
    </row>
    <row r="1401" spans="1:30" ht="15.75" x14ac:dyDescent="0.25">
      <c r="A1401" s="230"/>
      <c r="B1401" s="234"/>
      <c r="C1401" s="234"/>
      <c r="D1401" s="234"/>
      <c r="E1401" s="230"/>
      <c r="F1401" s="230"/>
      <c r="G1401" s="230"/>
      <c r="H1401" s="230"/>
      <c r="I1401" s="230"/>
      <c r="J1401" s="230"/>
      <c r="K1401" s="230"/>
      <c r="L1401" s="230"/>
      <c r="M1401" s="230"/>
      <c r="N1401" s="230"/>
      <c r="O1401" s="230"/>
      <c r="P1401" s="230"/>
      <c r="Q1401" s="230"/>
      <c r="R1401" s="230"/>
      <c r="S1401" s="239"/>
      <c r="T1401" s="230"/>
      <c r="U1401" s="230"/>
      <c r="V1401" s="230"/>
      <c r="W1401" s="230"/>
      <c r="X1401" s="239"/>
      <c r="Y1401" s="239"/>
      <c r="Z1401" s="230"/>
      <c r="AA1401" s="230"/>
      <c r="AB1401" s="230"/>
      <c r="AC1401" s="230"/>
      <c r="AD1401" s="239"/>
    </row>
    <row r="1402" spans="1:30" ht="15.75" x14ac:dyDescent="0.25">
      <c r="A1402" s="230"/>
      <c r="B1402" s="234"/>
      <c r="C1402" s="234"/>
      <c r="D1402" s="234"/>
      <c r="E1402" s="230"/>
      <c r="F1402" s="230"/>
      <c r="G1402" s="230"/>
      <c r="H1402" s="230"/>
      <c r="I1402" s="230"/>
      <c r="J1402" s="230"/>
      <c r="K1402" s="230"/>
      <c r="L1402" s="230"/>
      <c r="M1402" s="230"/>
      <c r="N1402" s="230"/>
      <c r="O1402" s="230"/>
      <c r="P1402" s="230"/>
      <c r="Q1402" s="230"/>
      <c r="R1402" s="230"/>
      <c r="S1402" s="239"/>
      <c r="T1402" s="230"/>
      <c r="U1402" s="230"/>
      <c r="V1402" s="230"/>
      <c r="W1402" s="230"/>
      <c r="X1402" s="239"/>
      <c r="Y1402" s="239"/>
      <c r="Z1402" s="230"/>
      <c r="AA1402" s="230"/>
      <c r="AB1402" s="230"/>
      <c r="AC1402" s="230"/>
      <c r="AD1402" s="239"/>
    </row>
    <row r="1403" spans="1:30" ht="15.75" x14ac:dyDescent="0.25">
      <c r="A1403" s="230"/>
      <c r="B1403" s="234"/>
      <c r="C1403" s="234"/>
      <c r="D1403" s="234"/>
      <c r="E1403" s="230"/>
      <c r="F1403" s="230"/>
      <c r="G1403" s="230"/>
      <c r="H1403" s="230"/>
      <c r="I1403" s="230"/>
      <c r="J1403" s="230"/>
      <c r="K1403" s="230"/>
      <c r="L1403" s="230"/>
      <c r="M1403" s="230"/>
      <c r="N1403" s="230"/>
      <c r="O1403" s="230"/>
      <c r="P1403" s="230"/>
      <c r="Q1403" s="230"/>
      <c r="R1403" s="230"/>
      <c r="S1403" s="239"/>
      <c r="T1403" s="230"/>
      <c r="U1403" s="230"/>
      <c r="V1403" s="230"/>
      <c r="W1403" s="230"/>
      <c r="X1403" s="239"/>
      <c r="Y1403" s="239"/>
      <c r="Z1403" s="230"/>
      <c r="AA1403" s="230"/>
      <c r="AB1403" s="230"/>
      <c r="AC1403" s="230"/>
      <c r="AD1403" s="239"/>
    </row>
    <row r="1404" spans="1:30" ht="15.75" x14ac:dyDescent="0.25">
      <c r="A1404" s="230"/>
      <c r="B1404" s="234"/>
      <c r="C1404" s="234"/>
      <c r="D1404" s="234"/>
      <c r="E1404" s="230"/>
      <c r="F1404" s="230"/>
      <c r="G1404" s="230"/>
      <c r="H1404" s="230"/>
      <c r="I1404" s="230"/>
      <c r="J1404" s="230"/>
      <c r="K1404" s="230"/>
      <c r="L1404" s="230"/>
      <c r="M1404" s="230"/>
      <c r="N1404" s="230"/>
      <c r="O1404" s="230"/>
      <c r="P1404" s="230"/>
      <c r="Q1404" s="230"/>
      <c r="R1404" s="230"/>
      <c r="S1404" s="239"/>
      <c r="T1404" s="230"/>
      <c r="U1404" s="230"/>
      <c r="V1404" s="230"/>
      <c r="W1404" s="230"/>
      <c r="X1404" s="239"/>
      <c r="Y1404" s="239"/>
      <c r="Z1404" s="230"/>
      <c r="AA1404" s="230"/>
      <c r="AB1404" s="230"/>
      <c r="AC1404" s="230"/>
      <c r="AD1404" s="239"/>
    </row>
    <row r="1405" spans="1:30" ht="15.75" x14ac:dyDescent="0.25">
      <c r="A1405" s="230"/>
      <c r="B1405" s="234"/>
      <c r="C1405" s="234"/>
      <c r="D1405" s="234"/>
      <c r="E1405" s="230"/>
      <c r="F1405" s="230"/>
      <c r="G1405" s="230"/>
      <c r="H1405" s="230"/>
      <c r="I1405" s="230"/>
      <c r="J1405" s="230"/>
      <c r="K1405" s="230"/>
      <c r="L1405" s="230"/>
      <c r="M1405" s="230"/>
      <c r="N1405" s="230"/>
      <c r="O1405" s="230"/>
      <c r="P1405" s="230"/>
      <c r="Q1405" s="230"/>
      <c r="R1405" s="230"/>
      <c r="S1405" s="239"/>
      <c r="T1405" s="230"/>
      <c r="U1405" s="230"/>
      <c r="V1405" s="230"/>
      <c r="W1405" s="230"/>
      <c r="X1405" s="239"/>
      <c r="Y1405" s="239"/>
      <c r="Z1405" s="230"/>
      <c r="AA1405" s="230"/>
      <c r="AB1405" s="230"/>
      <c r="AC1405" s="230"/>
      <c r="AD1405" s="239"/>
    </row>
    <row r="1406" spans="1:30" ht="15.75" x14ac:dyDescent="0.25">
      <c r="A1406" s="230"/>
      <c r="B1406" s="234"/>
      <c r="C1406" s="234"/>
      <c r="D1406" s="234"/>
      <c r="E1406" s="230"/>
      <c r="F1406" s="230"/>
      <c r="G1406" s="230"/>
      <c r="H1406" s="230"/>
      <c r="I1406" s="230"/>
      <c r="J1406" s="230"/>
      <c r="K1406" s="230"/>
      <c r="L1406" s="230"/>
      <c r="M1406" s="230"/>
      <c r="N1406" s="230"/>
      <c r="O1406" s="230"/>
      <c r="P1406" s="230"/>
      <c r="Q1406" s="230"/>
      <c r="R1406" s="230"/>
      <c r="S1406" s="239"/>
      <c r="T1406" s="230"/>
      <c r="U1406" s="230"/>
      <c r="V1406" s="230"/>
      <c r="W1406" s="230"/>
      <c r="X1406" s="239"/>
      <c r="Y1406" s="239"/>
      <c r="Z1406" s="230"/>
      <c r="AA1406" s="230"/>
      <c r="AB1406" s="230"/>
      <c r="AC1406" s="230"/>
      <c r="AD1406" s="239"/>
    </row>
    <row r="1407" spans="1:30" ht="15.75" x14ac:dyDescent="0.25">
      <c r="A1407" s="230"/>
      <c r="B1407" s="234"/>
      <c r="C1407" s="234"/>
      <c r="D1407" s="234"/>
      <c r="E1407" s="230"/>
      <c r="F1407" s="230"/>
      <c r="G1407" s="230"/>
      <c r="H1407" s="230"/>
      <c r="I1407" s="230"/>
      <c r="J1407" s="230"/>
      <c r="K1407" s="230"/>
      <c r="L1407" s="230"/>
      <c r="M1407" s="230"/>
      <c r="N1407" s="230"/>
      <c r="O1407" s="230"/>
      <c r="P1407" s="230"/>
      <c r="Q1407" s="230"/>
      <c r="R1407" s="230"/>
      <c r="S1407" s="239"/>
      <c r="T1407" s="230"/>
      <c r="U1407" s="230"/>
      <c r="V1407" s="230"/>
      <c r="W1407" s="230"/>
      <c r="X1407" s="239"/>
      <c r="Y1407" s="239"/>
      <c r="Z1407" s="230"/>
      <c r="AA1407" s="230"/>
      <c r="AB1407" s="230"/>
      <c r="AC1407" s="230"/>
      <c r="AD1407" s="239"/>
    </row>
    <row r="1408" spans="1:30" ht="15.75" x14ac:dyDescent="0.25">
      <c r="A1408" s="230"/>
      <c r="B1408" s="234"/>
      <c r="C1408" s="234"/>
      <c r="D1408" s="234"/>
      <c r="E1408" s="230"/>
      <c r="F1408" s="230"/>
      <c r="G1408" s="230"/>
      <c r="H1408" s="230"/>
      <c r="I1408" s="230"/>
      <c r="J1408" s="230"/>
      <c r="K1408" s="230"/>
      <c r="L1408" s="230"/>
      <c r="M1408" s="230"/>
      <c r="N1408" s="230"/>
      <c r="O1408" s="230"/>
      <c r="P1408" s="230"/>
      <c r="Q1408" s="230"/>
      <c r="R1408" s="230"/>
      <c r="S1408" s="239"/>
      <c r="T1408" s="230"/>
      <c r="U1408" s="230"/>
      <c r="V1408" s="230"/>
      <c r="W1408" s="230"/>
      <c r="X1408" s="239"/>
      <c r="Y1408" s="239"/>
      <c r="Z1408" s="230"/>
      <c r="AA1408" s="230"/>
      <c r="AB1408" s="230"/>
      <c r="AC1408" s="230"/>
      <c r="AD1408" s="239"/>
    </row>
    <row r="1409" spans="1:30" ht="15.75" x14ac:dyDescent="0.25">
      <c r="A1409" s="230"/>
      <c r="B1409" s="234"/>
      <c r="C1409" s="234"/>
      <c r="D1409" s="234"/>
      <c r="E1409" s="230"/>
      <c r="F1409" s="230"/>
      <c r="G1409" s="230"/>
      <c r="H1409" s="230"/>
      <c r="I1409" s="230"/>
      <c r="J1409" s="230"/>
      <c r="K1409" s="230"/>
      <c r="L1409" s="230"/>
      <c r="M1409" s="230"/>
      <c r="N1409" s="230"/>
      <c r="O1409" s="230"/>
      <c r="P1409" s="230"/>
      <c r="Q1409" s="230"/>
      <c r="R1409" s="230"/>
      <c r="S1409" s="239"/>
      <c r="T1409" s="230"/>
      <c r="U1409" s="230"/>
      <c r="V1409" s="230"/>
      <c r="W1409" s="230"/>
      <c r="X1409" s="239"/>
      <c r="Y1409" s="239"/>
      <c r="Z1409" s="230"/>
      <c r="AA1409" s="230"/>
      <c r="AB1409" s="230"/>
      <c r="AC1409" s="230"/>
      <c r="AD1409" s="239"/>
    </row>
    <row r="1410" spans="1:30" ht="15.75" x14ac:dyDescent="0.25">
      <c r="A1410" s="230"/>
      <c r="B1410" s="234"/>
      <c r="C1410" s="234"/>
      <c r="D1410" s="234"/>
      <c r="E1410" s="230"/>
      <c r="F1410" s="230"/>
      <c r="G1410" s="230"/>
      <c r="H1410" s="230"/>
      <c r="I1410" s="230"/>
      <c r="J1410" s="230"/>
      <c r="K1410" s="230"/>
      <c r="L1410" s="230"/>
      <c r="M1410" s="230"/>
      <c r="N1410" s="230"/>
      <c r="O1410" s="230"/>
      <c r="P1410" s="230"/>
      <c r="Q1410" s="230"/>
      <c r="R1410" s="230"/>
      <c r="S1410" s="239"/>
      <c r="T1410" s="230"/>
      <c r="U1410" s="230"/>
      <c r="V1410" s="230"/>
      <c r="W1410" s="230"/>
      <c r="X1410" s="239"/>
      <c r="Y1410" s="239"/>
      <c r="Z1410" s="230"/>
      <c r="AA1410" s="230"/>
      <c r="AB1410" s="230"/>
      <c r="AC1410" s="230"/>
      <c r="AD1410" s="239"/>
    </row>
    <row r="1411" spans="1:30" ht="15.75" x14ac:dyDescent="0.25">
      <c r="A1411" s="230"/>
      <c r="B1411" s="234"/>
      <c r="C1411" s="234"/>
      <c r="D1411" s="234"/>
      <c r="E1411" s="230"/>
      <c r="F1411" s="230"/>
      <c r="G1411" s="230"/>
      <c r="H1411" s="230"/>
      <c r="I1411" s="230"/>
      <c r="J1411" s="230"/>
      <c r="K1411" s="230"/>
      <c r="L1411" s="230"/>
      <c r="M1411" s="230"/>
      <c r="N1411" s="230"/>
      <c r="O1411" s="230"/>
      <c r="P1411" s="230"/>
      <c r="Q1411" s="230"/>
      <c r="R1411" s="230"/>
      <c r="S1411" s="239"/>
      <c r="T1411" s="230"/>
      <c r="U1411" s="230"/>
      <c r="V1411" s="230"/>
      <c r="W1411" s="230"/>
      <c r="X1411" s="239"/>
      <c r="Y1411" s="239"/>
      <c r="Z1411" s="230"/>
      <c r="AA1411" s="230"/>
      <c r="AB1411" s="230"/>
      <c r="AC1411" s="230"/>
      <c r="AD1411" s="239"/>
    </row>
    <row r="1412" spans="1:30" ht="15.75" x14ac:dyDescent="0.25">
      <c r="A1412" s="230"/>
      <c r="B1412" s="234"/>
      <c r="C1412" s="234"/>
      <c r="D1412" s="234"/>
      <c r="E1412" s="230"/>
      <c r="F1412" s="230"/>
      <c r="G1412" s="230"/>
      <c r="H1412" s="230"/>
      <c r="I1412" s="230"/>
      <c r="J1412" s="230"/>
      <c r="K1412" s="230"/>
      <c r="L1412" s="230"/>
      <c r="M1412" s="230"/>
      <c r="N1412" s="230"/>
      <c r="O1412" s="230"/>
      <c r="P1412" s="230"/>
      <c r="Q1412" s="230"/>
      <c r="R1412" s="230"/>
      <c r="S1412" s="239"/>
      <c r="T1412" s="230"/>
      <c r="U1412" s="230"/>
      <c r="V1412" s="230"/>
      <c r="W1412" s="230"/>
      <c r="X1412" s="239"/>
      <c r="Y1412" s="239"/>
      <c r="Z1412" s="230"/>
      <c r="AA1412" s="230"/>
      <c r="AB1412" s="230"/>
      <c r="AC1412" s="230"/>
      <c r="AD1412" s="239"/>
    </row>
    <row r="1413" spans="1:30" ht="15.75" x14ac:dyDescent="0.25">
      <c r="A1413" s="230"/>
      <c r="B1413" s="234"/>
      <c r="C1413" s="234"/>
      <c r="D1413" s="234"/>
      <c r="E1413" s="230"/>
      <c r="F1413" s="230"/>
      <c r="G1413" s="230"/>
      <c r="H1413" s="230"/>
      <c r="I1413" s="230"/>
      <c r="J1413" s="230"/>
      <c r="K1413" s="230"/>
      <c r="L1413" s="230"/>
      <c r="M1413" s="230"/>
      <c r="N1413" s="230"/>
      <c r="O1413" s="230"/>
      <c r="P1413" s="230"/>
      <c r="Q1413" s="230"/>
      <c r="R1413" s="230"/>
      <c r="S1413" s="239"/>
      <c r="T1413" s="230"/>
      <c r="U1413" s="230"/>
      <c r="V1413" s="230"/>
      <c r="W1413" s="230"/>
      <c r="X1413" s="239"/>
      <c r="Y1413" s="239"/>
      <c r="Z1413" s="230"/>
      <c r="AA1413" s="230"/>
      <c r="AB1413" s="230"/>
      <c r="AC1413" s="230"/>
      <c r="AD1413" s="239"/>
    </row>
    <row r="1414" spans="1:30" ht="15.75" x14ac:dyDescent="0.25">
      <c r="A1414" s="230"/>
      <c r="B1414" s="234"/>
      <c r="C1414" s="234"/>
      <c r="D1414" s="234"/>
      <c r="E1414" s="230"/>
      <c r="F1414" s="230"/>
      <c r="G1414" s="230"/>
      <c r="H1414" s="230"/>
      <c r="I1414" s="230"/>
      <c r="J1414" s="230"/>
      <c r="K1414" s="230"/>
      <c r="L1414" s="230"/>
      <c r="M1414" s="230"/>
      <c r="N1414" s="230"/>
      <c r="O1414" s="230"/>
      <c r="P1414" s="230"/>
      <c r="Q1414" s="230"/>
      <c r="R1414" s="230"/>
      <c r="S1414" s="239"/>
      <c r="T1414" s="230"/>
      <c r="U1414" s="230"/>
      <c r="V1414" s="230"/>
      <c r="W1414" s="230"/>
      <c r="X1414" s="239"/>
      <c r="Y1414" s="239"/>
      <c r="Z1414" s="230"/>
      <c r="AA1414" s="230"/>
      <c r="AB1414" s="230"/>
      <c r="AC1414" s="230"/>
      <c r="AD1414" s="239"/>
    </row>
    <row r="1415" spans="1:30" ht="15.75" x14ac:dyDescent="0.25">
      <c r="A1415" s="230"/>
      <c r="B1415" s="234"/>
      <c r="C1415" s="234"/>
      <c r="D1415" s="234"/>
      <c r="E1415" s="230"/>
      <c r="F1415" s="230"/>
      <c r="G1415" s="230"/>
      <c r="H1415" s="230"/>
      <c r="I1415" s="230"/>
      <c r="J1415" s="230"/>
      <c r="K1415" s="230"/>
      <c r="L1415" s="230"/>
      <c r="M1415" s="230"/>
      <c r="N1415" s="230"/>
      <c r="O1415" s="230"/>
      <c r="P1415" s="230"/>
      <c r="Q1415" s="230"/>
      <c r="R1415" s="230"/>
      <c r="S1415" s="239"/>
      <c r="T1415" s="230"/>
      <c r="U1415" s="230"/>
      <c r="V1415" s="230"/>
      <c r="W1415" s="230"/>
      <c r="X1415" s="239"/>
      <c r="Y1415" s="239"/>
      <c r="Z1415" s="230"/>
      <c r="AA1415" s="230"/>
      <c r="AB1415" s="230"/>
      <c r="AC1415" s="230"/>
      <c r="AD1415" s="239"/>
    </row>
    <row r="1416" spans="1:30" ht="15.75" x14ac:dyDescent="0.25">
      <c r="A1416" s="230"/>
      <c r="B1416" s="234"/>
      <c r="C1416" s="234"/>
      <c r="D1416" s="234"/>
      <c r="E1416" s="230"/>
      <c r="F1416" s="230"/>
      <c r="G1416" s="230"/>
      <c r="H1416" s="230"/>
      <c r="I1416" s="230"/>
      <c r="J1416" s="230"/>
      <c r="K1416" s="230"/>
      <c r="L1416" s="230"/>
      <c r="M1416" s="230"/>
      <c r="N1416" s="230"/>
      <c r="O1416" s="230"/>
      <c r="P1416" s="230"/>
      <c r="Q1416" s="230"/>
      <c r="R1416" s="230"/>
      <c r="S1416" s="239"/>
      <c r="T1416" s="230"/>
      <c r="U1416" s="230"/>
      <c r="V1416" s="230"/>
      <c r="W1416" s="230"/>
      <c r="X1416" s="239"/>
      <c r="Y1416" s="239"/>
      <c r="Z1416" s="230"/>
      <c r="AA1416" s="230"/>
      <c r="AB1416" s="230"/>
      <c r="AC1416" s="230"/>
      <c r="AD1416" s="239"/>
    </row>
    <row r="1417" spans="1:30" ht="15.75" x14ac:dyDescent="0.25">
      <c r="A1417" s="230"/>
      <c r="B1417" s="234"/>
      <c r="C1417" s="234"/>
      <c r="D1417" s="234"/>
      <c r="E1417" s="230"/>
      <c r="F1417" s="230"/>
      <c r="G1417" s="230"/>
      <c r="H1417" s="230"/>
      <c r="I1417" s="230"/>
      <c r="J1417" s="230"/>
      <c r="K1417" s="230"/>
      <c r="L1417" s="230"/>
      <c r="M1417" s="230"/>
      <c r="N1417" s="230"/>
      <c r="O1417" s="230"/>
      <c r="P1417" s="230"/>
      <c r="Q1417" s="230"/>
      <c r="R1417" s="230"/>
      <c r="S1417" s="239"/>
      <c r="T1417" s="230"/>
      <c r="U1417" s="230"/>
      <c r="V1417" s="230"/>
      <c r="W1417" s="230"/>
      <c r="X1417" s="239"/>
      <c r="Y1417" s="239"/>
      <c r="Z1417" s="230"/>
      <c r="AA1417" s="230"/>
      <c r="AB1417" s="230"/>
      <c r="AC1417" s="230"/>
      <c r="AD1417" s="239"/>
    </row>
    <row r="1418" spans="1:30" ht="15.75" x14ac:dyDescent="0.25">
      <c r="A1418" s="230"/>
      <c r="B1418" s="234"/>
      <c r="C1418" s="234"/>
      <c r="D1418" s="234"/>
      <c r="E1418" s="230"/>
      <c r="F1418" s="230"/>
      <c r="G1418" s="230"/>
      <c r="H1418" s="230"/>
      <c r="I1418" s="230"/>
      <c r="J1418" s="230"/>
      <c r="K1418" s="230"/>
      <c r="L1418" s="230"/>
      <c r="M1418" s="230"/>
      <c r="N1418" s="230"/>
      <c r="O1418" s="230"/>
      <c r="P1418" s="230"/>
      <c r="Q1418" s="230"/>
      <c r="R1418" s="230"/>
      <c r="S1418" s="239"/>
      <c r="T1418" s="230"/>
      <c r="U1418" s="230"/>
      <c r="V1418" s="230"/>
      <c r="W1418" s="230"/>
      <c r="X1418" s="239"/>
      <c r="Y1418" s="239"/>
      <c r="Z1418" s="230"/>
      <c r="AA1418" s="230"/>
      <c r="AB1418" s="230"/>
      <c r="AC1418" s="230"/>
      <c r="AD1418" s="239"/>
    </row>
    <row r="1419" spans="1:30" ht="15.75" x14ac:dyDescent="0.25">
      <c r="A1419" s="230"/>
      <c r="B1419" s="234"/>
      <c r="C1419" s="234"/>
      <c r="D1419" s="234"/>
      <c r="E1419" s="230"/>
      <c r="F1419" s="230"/>
      <c r="G1419" s="230"/>
      <c r="H1419" s="230"/>
      <c r="I1419" s="230"/>
      <c r="J1419" s="230"/>
      <c r="K1419" s="230"/>
      <c r="L1419" s="230"/>
      <c r="M1419" s="230"/>
      <c r="N1419" s="230"/>
      <c r="O1419" s="230"/>
      <c r="P1419" s="230"/>
      <c r="Q1419" s="230"/>
      <c r="R1419" s="230"/>
      <c r="S1419" s="239"/>
      <c r="T1419" s="230"/>
      <c r="U1419" s="230"/>
      <c r="V1419" s="230"/>
      <c r="W1419" s="230"/>
      <c r="X1419" s="239"/>
      <c r="Y1419" s="239"/>
      <c r="Z1419" s="230"/>
      <c r="AA1419" s="230"/>
      <c r="AB1419" s="230"/>
      <c r="AC1419" s="230"/>
      <c r="AD1419" s="239"/>
    </row>
    <row r="1420" spans="1:30" ht="15.75" x14ac:dyDescent="0.25">
      <c r="A1420" s="230"/>
      <c r="B1420" s="234"/>
      <c r="C1420" s="234"/>
      <c r="D1420" s="234"/>
      <c r="E1420" s="230"/>
      <c r="F1420" s="230"/>
      <c r="G1420" s="230"/>
      <c r="H1420" s="230"/>
      <c r="I1420" s="230"/>
      <c r="J1420" s="230"/>
      <c r="K1420" s="230"/>
      <c r="L1420" s="230"/>
      <c r="M1420" s="230"/>
      <c r="N1420" s="230"/>
      <c r="O1420" s="230"/>
      <c r="P1420" s="230"/>
      <c r="Q1420" s="230"/>
      <c r="R1420" s="230"/>
      <c r="S1420" s="239"/>
      <c r="T1420" s="230"/>
      <c r="U1420" s="230"/>
      <c r="V1420" s="230"/>
      <c r="W1420" s="230"/>
      <c r="X1420" s="239"/>
      <c r="Y1420" s="239"/>
      <c r="Z1420" s="230"/>
      <c r="AA1420" s="230"/>
      <c r="AB1420" s="230"/>
      <c r="AC1420" s="230"/>
      <c r="AD1420" s="239"/>
    </row>
    <row r="1421" spans="1:30" ht="15.75" x14ac:dyDescent="0.25">
      <c r="A1421" s="230"/>
      <c r="B1421" s="234"/>
      <c r="C1421" s="234"/>
      <c r="D1421" s="234"/>
      <c r="E1421" s="230"/>
      <c r="F1421" s="230"/>
      <c r="G1421" s="230"/>
      <c r="H1421" s="230"/>
      <c r="I1421" s="230"/>
      <c r="J1421" s="230"/>
      <c r="K1421" s="230"/>
      <c r="L1421" s="230"/>
      <c r="M1421" s="230"/>
      <c r="N1421" s="230"/>
      <c r="O1421" s="230"/>
      <c r="P1421" s="230"/>
      <c r="Q1421" s="230"/>
      <c r="R1421" s="230"/>
      <c r="S1421" s="239"/>
      <c r="T1421" s="230"/>
      <c r="U1421" s="230"/>
      <c r="V1421" s="230"/>
      <c r="W1421" s="230"/>
      <c r="X1421" s="239"/>
      <c r="Y1421" s="239"/>
      <c r="Z1421" s="230"/>
      <c r="AA1421" s="230"/>
      <c r="AB1421" s="230"/>
      <c r="AC1421" s="230"/>
      <c r="AD1421" s="239"/>
    </row>
    <row r="1422" spans="1:30" ht="15.75" x14ac:dyDescent="0.25">
      <c r="A1422" s="230"/>
      <c r="B1422" s="234"/>
      <c r="C1422" s="234"/>
      <c r="D1422" s="234"/>
      <c r="E1422" s="230"/>
      <c r="F1422" s="230"/>
      <c r="G1422" s="230"/>
      <c r="H1422" s="230"/>
      <c r="I1422" s="230"/>
      <c r="J1422" s="230"/>
      <c r="K1422" s="230"/>
      <c r="L1422" s="230"/>
      <c r="M1422" s="230"/>
      <c r="N1422" s="230"/>
      <c r="O1422" s="230"/>
      <c r="P1422" s="230"/>
      <c r="Q1422" s="230"/>
      <c r="R1422" s="230"/>
      <c r="S1422" s="239"/>
      <c r="T1422" s="230"/>
      <c r="U1422" s="230"/>
      <c r="V1422" s="230"/>
      <c r="W1422" s="230"/>
      <c r="X1422" s="239"/>
      <c r="Y1422" s="239"/>
      <c r="Z1422" s="230"/>
      <c r="AA1422" s="230"/>
      <c r="AB1422" s="230"/>
      <c r="AC1422" s="230"/>
      <c r="AD1422" s="239"/>
    </row>
    <row r="1423" spans="1:30" ht="15.75" x14ac:dyDescent="0.25">
      <c r="A1423" s="230"/>
      <c r="B1423" s="234"/>
      <c r="C1423" s="234"/>
      <c r="D1423" s="234"/>
      <c r="E1423" s="230"/>
      <c r="F1423" s="230"/>
      <c r="G1423" s="230"/>
      <c r="H1423" s="230"/>
      <c r="I1423" s="230"/>
      <c r="J1423" s="230"/>
      <c r="K1423" s="230"/>
      <c r="L1423" s="230"/>
      <c r="M1423" s="230"/>
      <c r="N1423" s="230"/>
      <c r="O1423" s="230"/>
      <c r="P1423" s="230"/>
      <c r="Q1423" s="230"/>
      <c r="R1423" s="230"/>
      <c r="S1423" s="239"/>
      <c r="T1423" s="230"/>
      <c r="U1423" s="230"/>
      <c r="V1423" s="230"/>
      <c r="W1423" s="230"/>
      <c r="X1423" s="239"/>
      <c r="Y1423" s="239"/>
      <c r="Z1423" s="230"/>
      <c r="AA1423" s="230"/>
      <c r="AB1423" s="230"/>
      <c r="AC1423" s="230"/>
      <c r="AD1423" s="239"/>
    </row>
    <row r="1424" spans="1:30" ht="15.75" x14ac:dyDescent="0.25">
      <c r="A1424" s="230"/>
      <c r="B1424" s="234"/>
      <c r="C1424" s="234"/>
      <c r="D1424" s="234"/>
      <c r="E1424" s="230"/>
      <c r="F1424" s="230"/>
      <c r="G1424" s="230"/>
      <c r="H1424" s="230"/>
      <c r="I1424" s="230"/>
      <c r="J1424" s="230"/>
      <c r="K1424" s="230"/>
      <c r="L1424" s="230"/>
      <c r="M1424" s="230"/>
      <c r="N1424" s="230"/>
      <c r="O1424" s="230"/>
      <c r="P1424" s="230"/>
      <c r="Q1424" s="230"/>
      <c r="R1424" s="230"/>
      <c r="S1424" s="239"/>
      <c r="T1424" s="230"/>
      <c r="U1424" s="230"/>
      <c r="V1424" s="230"/>
      <c r="W1424" s="230"/>
      <c r="X1424" s="239"/>
      <c r="Y1424" s="239"/>
      <c r="Z1424" s="230"/>
      <c r="AA1424" s="230"/>
      <c r="AB1424" s="230"/>
      <c r="AC1424" s="230"/>
      <c r="AD1424" s="239"/>
    </row>
    <row r="1425" spans="1:30" ht="15.75" x14ac:dyDescent="0.25">
      <c r="A1425" s="230"/>
      <c r="B1425" s="234"/>
      <c r="C1425" s="234"/>
      <c r="D1425" s="234"/>
      <c r="E1425" s="230"/>
      <c r="F1425" s="230"/>
      <c r="G1425" s="230"/>
      <c r="H1425" s="230"/>
      <c r="I1425" s="230"/>
      <c r="J1425" s="230"/>
      <c r="K1425" s="230"/>
      <c r="L1425" s="230"/>
      <c r="M1425" s="230"/>
      <c r="N1425" s="230"/>
      <c r="O1425" s="230"/>
      <c r="P1425" s="230"/>
      <c r="Q1425" s="230"/>
      <c r="R1425" s="230"/>
      <c r="S1425" s="239"/>
      <c r="T1425" s="230"/>
      <c r="U1425" s="230"/>
      <c r="V1425" s="230"/>
      <c r="W1425" s="230"/>
      <c r="X1425" s="239"/>
      <c r="Y1425" s="239"/>
      <c r="Z1425" s="230"/>
      <c r="AA1425" s="230"/>
      <c r="AB1425" s="230"/>
      <c r="AC1425" s="230"/>
      <c r="AD1425" s="239"/>
    </row>
    <row r="1426" spans="1:30" ht="15.75" x14ac:dyDescent="0.25">
      <c r="A1426" s="230"/>
      <c r="B1426" s="234"/>
      <c r="C1426" s="234"/>
      <c r="D1426" s="234"/>
      <c r="E1426" s="230"/>
      <c r="F1426" s="230"/>
      <c r="G1426" s="230"/>
      <c r="H1426" s="230"/>
      <c r="I1426" s="230"/>
      <c r="J1426" s="230"/>
      <c r="K1426" s="230"/>
      <c r="L1426" s="230"/>
      <c r="M1426" s="230"/>
      <c r="N1426" s="230"/>
      <c r="O1426" s="230"/>
      <c r="P1426" s="230"/>
      <c r="Q1426" s="230"/>
      <c r="R1426" s="230"/>
      <c r="S1426" s="239"/>
      <c r="T1426" s="230"/>
      <c r="U1426" s="230"/>
      <c r="V1426" s="230"/>
      <c r="W1426" s="230"/>
      <c r="X1426" s="239"/>
      <c r="Y1426" s="239"/>
      <c r="Z1426" s="230"/>
      <c r="AA1426" s="230"/>
      <c r="AB1426" s="230"/>
      <c r="AC1426" s="230"/>
      <c r="AD1426" s="239"/>
    </row>
    <row r="1427" spans="1:30" ht="15.75" x14ac:dyDescent="0.25">
      <c r="A1427" s="230"/>
      <c r="B1427" s="234"/>
      <c r="C1427" s="234"/>
      <c r="D1427" s="234"/>
      <c r="E1427" s="230"/>
      <c r="F1427" s="230"/>
      <c r="G1427" s="230"/>
      <c r="H1427" s="230"/>
      <c r="I1427" s="230"/>
      <c r="J1427" s="230"/>
      <c r="K1427" s="230"/>
      <c r="L1427" s="230"/>
      <c r="M1427" s="230"/>
      <c r="N1427" s="230"/>
      <c r="O1427" s="230"/>
      <c r="P1427" s="230"/>
      <c r="Q1427" s="230"/>
      <c r="R1427" s="230"/>
      <c r="S1427" s="239"/>
      <c r="T1427" s="230"/>
      <c r="U1427" s="230"/>
      <c r="V1427" s="230"/>
      <c r="W1427" s="230"/>
      <c r="X1427" s="239"/>
      <c r="Y1427" s="239"/>
      <c r="Z1427" s="230"/>
      <c r="AA1427" s="230"/>
      <c r="AB1427" s="230"/>
      <c r="AC1427" s="230"/>
      <c r="AD1427" s="239"/>
    </row>
    <row r="1428" spans="1:30" ht="15.75" x14ac:dyDescent="0.25">
      <c r="A1428" s="230"/>
      <c r="B1428" s="234"/>
      <c r="C1428" s="234"/>
      <c r="D1428" s="234"/>
      <c r="E1428" s="230"/>
      <c r="F1428" s="230"/>
      <c r="G1428" s="230"/>
      <c r="H1428" s="230"/>
      <c r="I1428" s="230"/>
      <c r="J1428" s="230"/>
      <c r="K1428" s="230"/>
      <c r="L1428" s="230"/>
      <c r="M1428" s="230"/>
      <c r="N1428" s="230"/>
      <c r="O1428" s="230"/>
      <c r="P1428" s="230"/>
      <c r="Q1428" s="230"/>
      <c r="R1428" s="230"/>
      <c r="S1428" s="239"/>
      <c r="T1428" s="230"/>
      <c r="U1428" s="230"/>
      <c r="V1428" s="230"/>
      <c r="W1428" s="230"/>
      <c r="X1428" s="239"/>
      <c r="Y1428" s="239"/>
      <c r="Z1428" s="230"/>
      <c r="AA1428" s="230"/>
      <c r="AB1428" s="230"/>
      <c r="AC1428" s="230"/>
      <c r="AD1428" s="239"/>
    </row>
    <row r="1429" spans="1:30" ht="15.75" x14ac:dyDescent="0.25">
      <c r="A1429" s="230"/>
      <c r="B1429" s="234"/>
      <c r="C1429" s="234"/>
      <c r="D1429" s="234"/>
      <c r="E1429" s="230"/>
      <c r="F1429" s="230"/>
      <c r="G1429" s="230"/>
      <c r="H1429" s="230"/>
      <c r="I1429" s="230"/>
      <c r="J1429" s="230"/>
      <c r="K1429" s="230"/>
      <c r="L1429" s="230"/>
      <c r="M1429" s="230"/>
      <c r="N1429" s="230"/>
      <c r="O1429" s="230"/>
      <c r="P1429" s="230"/>
      <c r="Q1429" s="230"/>
      <c r="R1429" s="230"/>
      <c r="S1429" s="239"/>
      <c r="T1429" s="230"/>
      <c r="U1429" s="230"/>
      <c r="V1429" s="230"/>
      <c r="W1429" s="230"/>
      <c r="X1429" s="239"/>
      <c r="Y1429" s="239"/>
      <c r="Z1429" s="230"/>
      <c r="AA1429" s="230"/>
      <c r="AB1429" s="230"/>
      <c r="AC1429" s="230"/>
      <c r="AD1429" s="239"/>
    </row>
    <row r="1430" spans="1:30" ht="15.75" x14ac:dyDescent="0.25">
      <c r="A1430" s="230"/>
      <c r="B1430" s="234"/>
      <c r="C1430" s="234"/>
      <c r="D1430" s="234"/>
      <c r="E1430" s="230"/>
      <c r="F1430" s="230"/>
      <c r="G1430" s="230"/>
      <c r="H1430" s="230"/>
      <c r="I1430" s="230"/>
      <c r="J1430" s="230"/>
      <c r="K1430" s="230"/>
      <c r="L1430" s="230"/>
      <c r="M1430" s="230"/>
      <c r="N1430" s="230"/>
      <c r="O1430" s="230"/>
      <c r="P1430" s="230"/>
      <c r="Q1430" s="230"/>
      <c r="R1430" s="230"/>
      <c r="S1430" s="239"/>
      <c r="T1430" s="230"/>
      <c r="U1430" s="230"/>
      <c r="V1430" s="230"/>
      <c r="W1430" s="230"/>
      <c r="X1430" s="239"/>
      <c r="Y1430" s="239"/>
      <c r="Z1430" s="230"/>
      <c r="AA1430" s="230"/>
      <c r="AB1430" s="230"/>
      <c r="AC1430" s="230"/>
      <c r="AD1430" s="239"/>
    </row>
    <row r="1431" spans="1:30" ht="15.75" x14ac:dyDescent="0.25">
      <c r="A1431" s="230"/>
      <c r="B1431" s="234"/>
      <c r="C1431" s="234"/>
      <c r="D1431" s="234"/>
      <c r="E1431" s="230"/>
      <c r="F1431" s="230"/>
      <c r="G1431" s="230"/>
      <c r="H1431" s="230"/>
      <c r="I1431" s="230"/>
      <c r="J1431" s="230"/>
      <c r="K1431" s="230"/>
      <c r="L1431" s="230"/>
      <c r="M1431" s="230"/>
      <c r="N1431" s="230"/>
      <c r="O1431" s="230"/>
      <c r="P1431" s="230"/>
      <c r="Q1431" s="230"/>
      <c r="R1431" s="230"/>
      <c r="S1431" s="239"/>
      <c r="T1431" s="230"/>
      <c r="U1431" s="230"/>
      <c r="V1431" s="230"/>
      <c r="W1431" s="230"/>
      <c r="X1431" s="239"/>
      <c r="Y1431" s="239"/>
      <c r="Z1431" s="230"/>
      <c r="AA1431" s="230"/>
      <c r="AB1431" s="230"/>
      <c r="AC1431" s="230"/>
      <c r="AD1431" s="239"/>
    </row>
    <row r="1432" spans="1:30" ht="15.75" x14ac:dyDescent="0.25">
      <c r="A1432" s="230"/>
      <c r="B1432" s="234"/>
      <c r="C1432" s="234"/>
      <c r="D1432" s="234"/>
      <c r="E1432" s="230"/>
      <c r="F1432" s="230"/>
      <c r="G1432" s="230"/>
      <c r="H1432" s="230"/>
      <c r="I1432" s="230"/>
      <c r="J1432" s="230"/>
      <c r="K1432" s="230"/>
      <c r="L1432" s="230"/>
      <c r="M1432" s="230"/>
      <c r="N1432" s="230"/>
      <c r="O1432" s="230"/>
      <c r="P1432" s="230"/>
      <c r="Q1432" s="230"/>
      <c r="R1432" s="230"/>
      <c r="S1432" s="239"/>
      <c r="T1432" s="230"/>
      <c r="U1432" s="230"/>
      <c r="V1432" s="230"/>
      <c r="W1432" s="230"/>
      <c r="X1432" s="239"/>
      <c r="Y1432" s="239"/>
      <c r="Z1432" s="230"/>
      <c r="AA1432" s="230"/>
      <c r="AB1432" s="230"/>
      <c r="AC1432" s="230"/>
      <c r="AD1432" s="239"/>
    </row>
    <row r="1433" spans="1:30" ht="15.75" x14ac:dyDescent="0.25">
      <c r="A1433" s="230"/>
      <c r="B1433" s="234"/>
      <c r="C1433" s="234"/>
      <c r="D1433" s="234"/>
      <c r="E1433" s="230"/>
      <c r="F1433" s="230"/>
      <c r="G1433" s="230"/>
      <c r="H1433" s="230"/>
      <c r="I1433" s="230"/>
      <c r="J1433" s="230"/>
      <c r="K1433" s="230"/>
      <c r="L1433" s="230"/>
      <c r="M1433" s="230"/>
      <c r="N1433" s="230"/>
      <c r="O1433" s="230"/>
      <c r="P1433" s="230"/>
      <c r="Q1433" s="230"/>
      <c r="R1433" s="230"/>
      <c r="S1433" s="239"/>
      <c r="T1433" s="230"/>
      <c r="U1433" s="230"/>
      <c r="V1433" s="230"/>
      <c r="W1433" s="230"/>
      <c r="X1433" s="239"/>
      <c r="Y1433" s="239"/>
      <c r="Z1433" s="230"/>
      <c r="AA1433" s="230"/>
      <c r="AB1433" s="230"/>
      <c r="AC1433" s="230"/>
      <c r="AD1433" s="239"/>
    </row>
    <row r="1434" spans="1:30" ht="15.75" x14ac:dyDescent="0.25">
      <c r="A1434" s="230"/>
      <c r="B1434" s="234"/>
      <c r="C1434" s="234"/>
      <c r="D1434" s="234"/>
      <c r="E1434" s="230"/>
      <c r="F1434" s="230"/>
      <c r="G1434" s="230"/>
      <c r="H1434" s="230"/>
      <c r="I1434" s="230"/>
      <c r="J1434" s="230"/>
      <c r="K1434" s="230"/>
      <c r="L1434" s="230"/>
      <c r="M1434" s="230"/>
      <c r="N1434" s="230"/>
      <c r="O1434" s="230"/>
      <c r="P1434" s="230"/>
      <c r="Q1434" s="230"/>
      <c r="R1434" s="230"/>
      <c r="S1434" s="239"/>
      <c r="T1434" s="230"/>
      <c r="U1434" s="230"/>
      <c r="V1434" s="230"/>
      <c r="W1434" s="230"/>
      <c r="X1434" s="239"/>
      <c r="Y1434" s="239"/>
      <c r="Z1434" s="230"/>
      <c r="AA1434" s="230"/>
      <c r="AB1434" s="230"/>
      <c r="AC1434" s="230"/>
      <c r="AD1434" s="239"/>
    </row>
    <row r="1435" spans="1:30" ht="15.75" x14ac:dyDescent="0.25">
      <c r="A1435" s="230"/>
      <c r="B1435" s="234"/>
      <c r="C1435" s="234"/>
      <c r="D1435" s="234"/>
      <c r="E1435" s="230"/>
      <c r="F1435" s="230"/>
      <c r="G1435" s="230"/>
      <c r="H1435" s="230"/>
      <c r="I1435" s="230"/>
      <c r="J1435" s="230"/>
      <c r="K1435" s="230"/>
      <c r="L1435" s="230"/>
      <c r="M1435" s="230"/>
      <c r="N1435" s="230"/>
      <c r="O1435" s="230"/>
      <c r="P1435" s="230"/>
      <c r="Q1435" s="230"/>
      <c r="R1435" s="230"/>
      <c r="S1435" s="239"/>
      <c r="T1435" s="230"/>
      <c r="U1435" s="230"/>
      <c r="V1435" s="230"/>
      <c r="W1435" s="230"/>
      <c r="X1435" s="239"/>
      <c r="Y1435" s="239"/>
      <c r="Z1435" s="230"/>
      <c r="AA1435" s="230"/>
      <c r="AB1435" s="230"/>
      <c r="AC1435" s="230"/>
      <c r="AD1435" s="239"/>
    </row>
    <row r="1436" spans="1:30" ht="15.75" x14ac:dyDescent="0.25">
      <c r="A1436" s="230"/>
      <c r="B1436" s="234"/>
      <c r="C1436" s="234"/>
      <c r="D1436" s="234"/>
      <c r="E1436" s="230"/>
      <c r="F1436" s="230"/>
      <c r="G1436" s="230"/>
      <c r="H1436" s="230"/>
      <c r="I1436" s="230"/>
      <c r="J1436" s="230"/>
      <c r="K1436" s="230"/>
      <c r="L1436" s="230"/>
      <c r="M1436" s="230"/>
      <c r="N1436" s="230"/>
      <c r="O1436" s="230"/>
      <c r="P1436" s="230"/>
      <c r="Q1436" s="230"/>
      <c r="R1436" s="230"/>
      <c r="S1436" s="239"/>
      <c r="T1436" s="230"/>
      <c r="U1436" s="230"/>
      <c r="V1436" s="230"/>
      <c r="W1436" s="230"/>
      <c r="X1436" s="239"/>
      <c r="Y1436" s="239"/>
      <c r="Z1436" s="230"/>
      <c r="AA1436" s="230"/>
      <c r="AB1436" s="230"/>
      <c r="AC1436" s="230"/>
      <c r="AD1436" s="239"/>
    </row>
    <row r="1437" spans="1:30" ht="15.75" x14ac:dyDescent="0.25">
      <c r="A1437" s="230"/>
      <c r="B1437" s="234"/>
      <c r="C1437" s="234"/>
      <c r="D1437" s="234"/>
      <c r="E1437" s="230"/>
      <c r="F1437" s="230"/>
      <c r="G1437" s="230"/>
      <c r="H1437" s="230"/>
      <c r="I1437" s="230"/>
      <c r="J1437" s="230"/>
      <c r="K1437" s="230"/>
      <c r="L1437" s="230"/>
      <c r="M1437" s="230"/>
      <c r="N1437" s="230"/>
      <c r="O1437" s="230"/>
      <c r="P1437" s="230"/>
      <c r="Q1437" s="230"/>
      <c r="R1437" s="230"/>
      <c r="S1437" s="239"/>
      <c r="T1437" s="230"/>
      <c r="U1437" s="230"/>
      <c r="V1437" s="230"/>
      <c r="W1437" s="230"/>
      <c r="X1437" s="239"/>
      <c r="Y1437" s="239"/>
      <c r="Z1437" s="230"/>
      <c r="AA1437" s="230"/>
      <c r="AB1437" s="230"/>
      <c r="AC1437" s="230"/>
      <c r="AD1437" s="239"/>
    </row>
    <row r="1438" spans="1:30" ht="15.75" x14ac:dyDescent="0.25">
      <c r="A1438" s="230"/>
      <c r="B1438" s="234"/>
      <c r="C1438" s="234"/>
      <c r="D1438" s="234"/>
      <c r="E1438" s="230"/>
      <c r="F1438" s="230"/>
      <c r="G1438" s="230"/>
      <c r="H1438" s="230"/>
      <c r="I1438" s="230"/>
      <c r="J1438" s="230"/>
      <c r="K1438" s="230"/>
      <c r="L1438" s="230"/>
      <c r="M1438" s="230"/>
      <c r="N1438" s="230"/>
      <c r="O1438" s="230"/>
      <c r="P1438" s="230"/>
      <c r="Q1438" s="230"/>
      <c r="R1438" s="230"/>
      <c r="S1438" s="239"/>
      <c r="T1438" s="230"/>
      <c r="U1438" s="230"/>
      <c r="V1438" s="230"/>
      <c r="W1438" s="230"/>
      <c r="X1438" s="239"/>
      <c r="Y1438" s="239"/>
      <c r="Z1438" s="230"/>
      <c r="AA1438" s="230"/>
      <c r="AB1438" s="230"/>
      <c r="AC1438" s="230"/>
      <c r="AD1438" s="239"/>
    </row>
    <row r="1439" spans="1:30" ht="15.75" x14ac:dyDescent="0.25">
      <c r="A1439" s="230"/>
      <c r="B1439" s="234"/>
      <c r="C1439" s="234"/>
      <c r="D1439" s="234"/>
      <c r="E1439" s="230"/>
      <c r="F1439" s="230"/>
      <c r="G1439" s="230"/>
      <c r="H1439" s="230"/>
      <c r="I1439" s="230"/>
      <c r="J1439" s="230"/>
      <c r="K1439" s="230"/>
      <c r="L1439" s="230"/>
      <c r="M1439" s="230"/>
      <c r="N1439" s="230"/>
      <c r="O1439" s="230"/>
      <c r="P1439" s="230"/>
      <c r="Q1439" s="230"/>
      <c r="R1439" s="230"/>
      <c r="S1439" s="239"/>
      <c r="T1439" s="230"/>
      <c r="U1439" s="230"/>
      <c r="V1439" s="230"/>
      <c r="W1439" s="230"/>
      <c r="X1439" s="239"/>
      <c r="Y1439" s="239"/>
      <c r="Z1439" s="230"/>
      <c r="AA1439" s="230"/>
      <c r="AB1439" s="230"/>
      <c r="AC1439" s="230"/>
      <c r="AD1439" s="239"/>
    </row>
    <row r="1440" spans="1:30" ht="15.75" x14ac:dyDescent="0.25">
      <c r="A1440" s="230"/>
      <c r="B1440" s="234"/>
      <c r="C1440" s="234"/>
      <c r="D1440" s="234"/>
      <c r="E1440" s="230"/>
      <c r="F1440" s="230"/>
      <c r="G1440" s="230"/>
      <c r="H1440" s="230"/>
      <c r="I1440" s="230"/>
      <c r="J1440" s="230"/>
      <c r="K1440" s="230"/>
      <c r="L1440" s="230"/>
      <c r="M1440" s="230"/>
      <c r="N1440" s="230"/>
      <c r="O1440" s="230"/>
      <c r="P1440" s="230"/>
      <c r="Q1440" s="230"/>
      <c r="R1440" s="230"/>
      <c r="S1440" s="239"/>
      <c r="T1440" s="230"/>
      <c r="U1440" s="230"/>
      <c r="V1440" s="230"/>
      <c r="W1440" s="230"/>
      <c r="X1440" s="239"/>
      <c r="Y1440" s="239"/>
      <c r="Z1440" s="230"/>
      <c r="AA1440" s="230"/>
      <c r="AB1440" s="230"/>
      <c r="AC1440" s="230"/>
      <c r="AD1440" s="239"/>
    </row>
    <row r="1441" spans="1:30" ht="15.75" x14ac:dyDescent="0.25">
      <c r="A1441" s="230"/>
      <c r="B1441" s="234"/>
      <c r="C1441" s="234"/>
      <c r="D1441" s="234"/>
      <c r="E1441" s="230"/>
      <c r="F1441" s="230"/>
      <c r="G1441" s="230"/>
      <c r="H1441" s="230"/>
      <c r="I1441" s="230"/>
      <c r="J1441" s="230"/>
      <c r="K1441" s="230"/>
      <c r="L1441" s="230"/>
      <c r="M1441" s="230"/>
      <c r="N1441" s="230"/>
      <c r="O1441" s="230"/>
      <c r="P1441" s="230"/>
      <c r="Q1441" s="230"/>
      <c r="R1441" s="230"/>
      <c r="S1441" s="239"/>
      <c r="T1441" s="230"/>
      <c r="U1441" s="230"/>
      <c r="V1441" s="230"/>
      <c r="W1441" s="230"/>
      <c r="X1441" s="239"/>
      <c r="Y1441" s="239"/>
      <c r="Z1441" s="230"/>
      <c r="AA1441" s="230"/>
      <c r="AB1441" s="230"/>
      <c r="AC1441" s="230"/>
      <c r="AD1441" s="239"/>
    </row>
    <row r="1442" spans="1:30" ht="15.75" x14ac:dyDescent="0.25">
      <c r="A1442" s="230"/>
      <c r="B1442" s="234"/>
      <c r="C1442" s="234"/>
      <c r="D1442" s="234"/>
      <c r="E1442" s="230"/>
      <c r="F1442" s="230"/>
      <c r="G1442" s="230"/>
      <c r="H1442" s="230"/>
      <c r="I1442" s="230"/>
      <c r="J1442" s="230"/>
      <c r="K1442" s="230"/>
      <c r="L1442" s="230"/>
      <c r="M1442" s="230"/>
      <c r="N1442" s="230"/>
      <c r="O1442" s="230"/>
      <c r="P1442" s="230"/>
      <c r="Q1442" s="230"/>
      <c r="R1442" s="230"/>
      <c r="S1442" s="239"/>
      <c r="T1442" s="230"/>
      <c r="U1442" s="230"/>
      <c r="V1442" s="230"/>
      <c r="W1442" s="230"/>
      <c r="X1442" s="239"/>
      <c r="Y1442" s="239"/>
      <c r="Z1442" s="230"/>
      <c r="AA1442" s="230"/>
      <c r="AB1442" s="230"/>
      <c r="AC1442" s="230"/>
      <c r="AD1442" s="239"/>
    </row>
    <row r="1443" spans="1:30" ht="15.75" x14ac:dyDescent="0.25">
      <c r="A1443" s="230"/>
      <c r="B1443" s="234"/>
      <c r="C1443" s="234"/>
      <c r="D1443" s="234"/>
      <c r="E1443" s="230"/>
      <c r="F1443" s="230"/>
      <c r="G1443" s="230"/>
      <c r="H1443" s="230"/>
      <c r="I1443" s="230"/>
      <c r="J1443" s="230"/>
      <c r="K1443" s="230"/>
      <c r="L1443" s="230"/>
      <c r="M1443" s="230"/>
      <c r="N1443" s="230"/>
      <c r="O1443" s="230"/>
      <c r="P1443" s="230"/>
      <c r="Q1443" s="230"/>
      <c r="R1443" s="230"/>
      <c r="S1443" s="239"/>
      <c r="T1443" s="230"/>
      <c r="U1443" s="230"/>
      <c r="V1443" s="230"/>
      <c r="W1443" s="230"/>
      <c r="X1443" s="239"/>
      <c r="Y1443" s="239"/>
      <c r="Z1443" s="230"/>
      <c r="AA1443" s="230"/>
      <c r="AB1443" s="230"/>
      <c r="AC1443" s="230"/>
      <c r="AD1443" s="239"/>
    </row>
    <row r="1444" spans="1:30" ht="15.75" x14ac:dyDescent="0.25">
      <c r="A1444" s="230"/>
      <c r="B1444" s="234"/>
      <c r="C1444" s="234"/>
      <c r="D1444" s="234"/>
      <c r="E1444" s="230"/>
      <c r="F1444" s="230"/>
      <c r="G1444" s="230"/>
      <c r="H1444" s="230"/>
      <c r="I1444" s="230"/>
      <c r="J1444" s="230"/>
      <c r="K1444" s="230"/>
      <c r="L1444" s="230"/>
      <c r="M1444" s="230"/>
      <c r="N1444" s="230"/>
      <c r="O1444" s="230"/>
      <c r="P1444" s="230"/>
      <c r="Q1444" s="230"/>
      <c r="R1444" s="230"/>
      <c r="S1444" s="239"/>
      <c r="T1444" s="230"/>
      <c r="U1444" s="230"/>
      <c r="V1444" s="230"/>
      <c r="W1444" s="230"/>
      <c r="X1444" s="239"/>
      <c r="Y1444" s="239"/>
      <c r="Z1444" s="230"/>
      <c r="AA1444" s="230"/>
      <c r="AB1444" s="230"/>
      <c r="AC1444" s="230"/>
      <c r="AD1444" s="239"/>
    </row>
    <row r="1445" spans="1:30" ht="15.75" x14ac:dyDescent="0.25">
      <c r="A1445" s="230"/>
      <c r="B1445" s="234"/>
      <c r="C1445" s="234"/>
      <c r="D1445" s="234"/>
      <c r="E1445" s="230"/>
      <c r="F1445" s="230"/>
      <c r="G1445" s="230"/>
      <c r="H1445" s="230"/>
      <c r="I1445" s="230"/>
      <c r="J1445" s="230"/>
      <c r="K1445" s="230"/>
      <c r="L1445" s="230"/>
      <c r="M1445" s="230"/>
      <c r="N1445" s="230"/>
      <c r="O1445" s="230"/>
      <c r="P1445" s="230"/>
      <c r="Q1445" s="230"/>
      <c r="R1445" s="230"/>
      <c r="S1445" s="239"/>
      <c r="T1445" s="230"/>
      <c r="U1445" s="230"/>
      <c r="V1445" s="230"/>
      <c r="W1445" s="230"/>
      <c r="X1445" s="239"/>
      <c r="Y1445" s="239"/>
      <c r="Z1445" s="230"/>
      <c r="AA1445" s="230"/>
      <c r="AB1445" s="230"/>
      <c r="AC1445" s="230"/>
      <c r="AD1445" s="239"/>
    </row>
    <row r="1446" spans="1:30" ht="15.75" x14ac:dyDescent="0.25">
      <c r="A1446" s="230"/>
      <c r="B1446" s="234"/>
      <c r="C1446" s="234"/>
      <c r="D1446" s="234"/>
      <c r="E1446" s="230"/>
      <c r="F1446" s="230"/>
      <c r="G1446" s="230"/>
      <c r="H1446" s="230"/>
      <c r="I1446" s="230"/>
      <c r="J1446" s="230"/>
      <c r="K1446" s="230"/>
      <c r="L1446" s="230"/>
      <c r="M1446" s="230"/>
      <c r="N1446" s="230"/>
      <c r="O1446" s="230"/>
      <c r="P1446" s="230"/>
      <c r="Q1446" s="230"/>
      <c r="R1446" s="230"/>
      <c r="S1446" s="239"/>
      <c r="T1446" s="230"/>
      <c r="U1446" s="230"/>
      <c r="V1446" s="230"/>
      <c r="W1446" s="230"/>
      <c r="X1446" s="239"/>
      <c r="Y1446" s="239"/>
      <c r="Z1446" s="230"/>
      <c r="AA1446" s="230"/>
      <c r="AB1446" s="230"/>
      <c r="AC1446" s="230"/>
      <c r="AD1446" s="239"/>
    </row>
    <row r="1447" spans="1:30" ht="15.75" x14ac:dyDescent="0.25">
      <c r="A1447" s="230"/>
      <c r="B1447" s="234"/>
      <c r="C1447" s="234"/>
      <c r="D1447" s="234"/>
      <c r="E1447" s="230"/>
      <c r="F1447" s="230"/>
      <c r="G1447" s="230"/>
      <c r="H1447" s="230"/>
      <c r="I1447" s="230"/>
      <c r="J1447" s="230"/>
      <c r="K1447" s="230"/>
      <c r="L1447" s="230"/>
      <c r="M1447" s="230"/>
      <c r="N1447" s="230"/>
      <c r="O1447" s="230"/>
      <c r="P1447" s="230"/>
      <c r="Q1447" s="230"/>
      <c r="R1447" s="230"/>
      <c r="S1447" s="239"/>
      <c r="T1447" s="230"/>
      <c r="U1447" s="230"/>
      <c r="V1447" s="230"/>
      <c r="W1447" s="230"/>
      <c r="X1447" s="239"/>
      <c r="Y1447" s="239"/>
      <c r="Z1447" s="230"/>
      <c r="AA1447" s="230"/>
      <c r="AB1447" s="230"/>
      <c r="AC1447" s="230"/>
      <c r="AD1447" s="239"/>
    </row>
    <row r="1448" spans="1:30" ht="15.75" x14ac:dyDescent="0.25">
      <c r="A1448" s="230"/>
      <c r="B1448" s="234"/>
      <c r="C1448" s="234"/>
      <c r="D1448" s="234"/>
      <c r="E1448" s="230"/>
      <c r="F1448" s="230"/>
      <c r="G1448" s="230"/>
      <c r="H1448" s="230"/>
      <c r="I1448" s="230"/>
      <c r="J1448" s="230"/>
      <c r="K1448" s="230"/>
      <c r="L1448" s="230"/>
      <c r="M1448" s="230"/>
      <c r="N1448" s="230"/>
      <c r="O1448" s="230"/>
      <c r="P1448" s="230"/>
      <c r="Q1448" s="230"/>
      <c r="R1448" s="230"/>
      <c r="S1448" s="239"/>
      <c r="T1448" s="230"/>
      <c r="U1448" s="230"/>
      <c r="V1448" s="230"/>
      <c r="W1448" s="230"/>
      <c r="X1448" s="239"/>
      <c r="Y1448" s="239"/>
      <c r="Z1448" s="230"/>
      <c r="AA1448" s="230"/>
      <c r="AB1448" s="230"/>
      <c r="AC1448" s="230"/>
      <c r="AD1448" s="239"/>
    </row>
    <row r="1449" spans="1:30" ht="15.75" x14ac:dyDescent="0.25">
      <c r="A1449" s="230"/>
      <c r="B1449" s="234"/>
      <c r="C1449" s="234"/>
      <c r="D1449" s="234"/>
      <c r="E1449" s="230"/>
      <c r="F1449" s="230"/>
      <c r="G1449" s="230"/>
      <c r="H1449" s="230"/>
      <c r="I1449" s="230"/>
      <c r="J1449" s="230"/>
      <c r="K1449" s="230"/>
      <c r="L1449" s="230"/>
      <c r="M1449" s="230"/>
      <c r="N1449" s="230"/>
      <c r="O1449" s="230"/>
      <c r="P1449" s="230"/>
      <c r="Q1449" s="230"/>
      <c r="R1449" s="230"/>
      <c r="S1449" s="239"/>
      <c r="T1449" s="230"/>
      <c r="U1449" s="230"/>
      <c r="V1449" s="230"/>
      <c r="W1449" s="230"/>
      <c r="X1449" s="239"/>
      <c r="Y1449" s="239"/>
      <c r="Z1449" s="230"/>
      <c r="AA1449" s="230"/>
      <c r="AB1449" s="230"/>
      <c r="AC1449" s="230"/>
      <c r="AD1449" s="239"/>
    </row>
    <row r="1450" spans="1:30" ht="15.75" x14ac:dyDescent="0.25">
      <c r="A1450" s="230"/>
      <c r="B1450" s="234"/>
      <c r="C1450" s="234"/>
      <c r="D1450" s="234"/>
      <c r="E1450" s="230"/>
      <c r="F1450" s="230"/>
      <c r="G1450" s="230"/>
      <c r="H1450" s="230"/>
      <c r="I1450" s="230"/>
      <c r="J1450" s="230"/>
      <c r="K1450" s="230"/>
      <c r="L1450" s="230"/>
      <c r="M1450" s="230"/>
      <c r="N1450" s="230"/>
      <c r="O1450" s="230"/>
      <c r="P1450" s="230"/>
      <c r="Q1450" s="230"/>
      <c r="R1450" s="230"/>
      <c r="S1450" s="239"/>
      <c r="T1450" s="230"/>
      <c r="U1450" s="230"/>
      <c r="V1450" s="230"/>
      <c r="W1450" s="230"/>
      <c r="X1450" s="239"/>
      <c r="Y1450" s="239"/>
      <c r="Z1450" s="230"/>
      <c r="AA1450" s="230"/>
      <c r="AB1450" s="230"/>
      <c r="AC1450" s="230"/>
      <c r="AD1450" s="239"/>
    </row>
    <row r="1451" spans="1:30" ht="15.75" x14ac:dyDescent="0.25">
      <c r="A1451" s="230"/>
      <c r="B1451" s="234"/>
      <c r="C1451" s="234"/>
      <c r="D1451" s="234"/>
      <c r="E1451" s="230"/>
      <c r="F1451" s="230"/>
      <c r="G1451" s="230"/>
      <c r="H1451" s="230"/>
      <c r="I1451" s="230"/>
      <c r="J1451" s="230"/>
      <c r="K1451" s="230"/>
      <c r="L1451" s="230"/>
      <c r="M1451" s="230"/>
      <c r="N1451" s="230"/>
      <c r="O1451" s="230"/>
      <c r="P1451" s="230"/>
      <c r="Q1451" s="230"/>
      <c r="R1451" s="230"/>
      <c r="S1451" s="239"/>
      <c r="T1451" s="230"/>
      <c r="U1451" s="230"/>
      <c r="V1451" s="230"/>
      <c r="W1451" s="230"/>
      <c r="X1451" s="239"/>
      <c r="Y1451" s="239"/>
      <c r="Z1451" s="230"/>
      <c r="AA1451" s="230"/>
      <c r="AB1451" s="230"/>
      <c r="AC1451" s="230"/>
      <c r="AD1451" s="239"/>
    </row>
    <row r="1452" spans="1:30" ht="15.75" x14ac:dyDescent="0.25">
      <c r="A1452" s="230"/>
      <c r="B1452" s="234"/>
      <c r="C1452" s="234"/>
      <c r="D1452" s="234"/>
      <c r="E1452" s="230"/>
      <c r="F1452" s="230"/>
      <c r="G1452" s="230"/>
      <c r="H1452" s="230"/>
      <c r="I1452" s="230"/>
      <c r="J1452" s="230"/>
      <c r="K1452" s="230"/>
      <c r="L1452" s="230"/>
      <c r="M1452" s="230"/>
      <c r="N1452" s="230"/>
      <c r="O1452" s="230"/>
      <c r="P1452" s="230"/>
      <c r="Q1452" s="230"/>
      <c r="R1452" s="230"/>
      <c r="S1452" s="239"/>
      <c r="T1452" s="230"/>
      <c r="U1452" s="230"/>
      <c r="V1452" s="230"/>
      <c r="W1452" s="230"/>
      <c r="X1452" s="239"/>
      <c r="Y1452" s="239"/>
      <c r="Z1452" s="230"/>
      <c r="AA1452" s="230"/>
      <c r="AB1452" s="230"/>
      <c r="AC1452" s="230"/>
      <c r="AD1452" s="239"/>
    </row>
    <row r="1453" spans="1:30" ht="15.75" x14ac:dyDescent="0.25">
      <c r="A1453" s="230"/>
      <c r="B1453" s="234"/>
      <c r="C1453" s="234"/>
      <c r="D1453" s="234"/>
      <c r="E1453" s="230"/>
      <c r="F1453" s="230"/>
      <c r="G1453" s="230"/>
      <c r="H1453" s="230"/>
      <c r="I1453" s="230"/>
      <c r="J1453" s="230"/>
      <c r="K1453" s="230"/>
      <c r="L1453" s="230"/>
      <c r="M1453" s="230"/>
      <c r="N1453" s="230"/>
      <c r="O1453" s="230"/>
      <c r="P1453" s="230"/>
      <c r="Q1453" s="230"/>
      <c r="R1453" s="230"/>
      <c r="S1453" s="239"/>
      <c r="T1453" s="230"/>
      <c r="U1453" s="230"/>
      <c r="V1453" s="230"/>
      <c r="W1453" s="230"/>
      <c r="X1453" s="239"/>
      <c r="Y1453" s="239"/>
      <c r="Z1453" s="230"/>
      <c r="AA1453" s="230"/>
      <c r="AB1453" s="230"/>
      <c r="AC1453" s="230"/>
      <c r="AD1453" s="239"/>
    </row>
    <row r="1454" spans="1:30" ht="15.75" x14ac:dyDescent="0.25">
      <c r="A1454" s="230"/>
      <c r="B1454" s="234"/>
      <c r="C1454" s="234"/>
      <c r="D1454" s="234"/>
      <c r="E1454" s="230"/>
      <c r="F1454" s="230"/>
      <c r="G1454" s="230"/>
      <c r="H1454" s="230"/>
      <c r="I1454" s="230"/>
      <c r="J1454" s="230"/>
      <c r="K1454" s="230"/>
      <c r="L1454" s="230"/>
      <c r="M1454" s="230"/>
      <c r="N1454" s="230"/>
      <c r="O1454" s="230"/>
      <c r="P1454" s="230"/>
      <c r="Q1454" s="230"/>
      <c r="R1454" s="230"/>
      <c r="S1454" s="239"/>
      <c r="T1454" s="230"/>
      <c r="U1454" s="230"/>
      <c r="V1454" s="230"/>
      <c r="W1454" s="230"/>
      <c r="X1454" s="239"/>
      <c r="Y1454" s="239"/>
      <c r="Z1454" s="230"/>
      <c r="AA1454" s="230"/>
      <c r="AB1454" s="230"/>
      <c r="AC1454" s="230"/>
      <c r="AD1454" s="239"/>
    </row>
    <row r="1455" spans="1:30" ht="15.75" x14ac:dyDescent="0.25">
      <c r="A1455" s="230"/>
      <c r="B1455" s="234"/>
      <c r="C1455" s="234"/>
      <c r="D1455" s="234"/>
      <c r="E1455" s="230"/>
      <c r="F1455" s="230"/>
      <c r="G1455" s="230"/>
      <c r="H1455" s="230"/>
      <c r="I1455" s="230"/>
      <c r="J1455" s="230"/>
      <c r="K1455" s="230"/>
      <c r="L1455" s="230"/>
      <c r="M1455" s="230"/>
      <c r="N1455" s="230"/>
      <c r="O1455" s="230"/>
      <c r="P1455" s="230"/>
      <c r="Q1455" s="230"/>
      <c r="R1455" s="230"/>
      <c r="S1455" s="239"/>
      <c r="T1455" s="230"/>
      <c r="U1455" s="230"/>
      <c r="V1455" s="230"/>
      <c r="W1455" s="230"/>
      <c r="X1455" s="239"/>
      <c r="Y1455" s="239"/>
      <c r="Z1455" s="230"/>
      <c r="AA1455" s="230"/>
      <c r="AB1455" s="230"/>
      <c r="AC1455" s="230"/>
      <c r="AD1455" s="239"/>
    </row>
    <row r="1456" spans="1:30" ht="15.75" x14ac:dyDescent="0.25">
      <c r="A1456" s="230"/>
      <c r="B1456" s="234"/>
      <c r="C1456" s="234"/>
      <c r="D1456" s="234"/>
      <c r="E1456" s="230"/>
      <c r="F1456" s="230"/>
      <c r="G1456" s="230"/>
      <c r="H1456" s="230"/>
      <c r="I1456" s="230"/>
      <c r="J1456" s="230"/>
      <c r="K1456" s="230"/>
      <c r="L1456" s="230"/>
      <c r="M1456" s="230"/>
      <c r="N1456" s="230"/>
      <c r="O1456" s="230"/>
      <c r="P1456" s="230"/>
      <c r="Q1456" s="230"/>
      <c r="R1456" s="230"/>
      <c r="S1456" s="239"/>
      <c r="T1456" s="230"/>
      <c r="U1456" s="230"/>
      <c r="V1456" s="230"/>
      <c r="W1456" s="230"/>
      <c r="X1456" s="239"/>
      <c r="Y1456" s="239"/>
      <c r="Z1456" s="230"/>
      <c r="AA1456" s="230"/>
      <c r="AB1456" s="230"/>
      <c r="AC1456" s="230"/>
      <c r="AD1456" s="239"/>
    </row>
    <row r="1457" spans="1:30" ht="15.75" x14ac:dyDescent="0.25">
      <c r="A1457" s="230"/>
      <c r="B1457" s="234"/>
      <c r="C1457" s="234"/>
      <c r="D1457" s="234"/>
      <c r="E1457" s="230"/>
      <c r="F1457" s="230"/>
      <c r="G1457" s="230"/>
      <c r="H1457" s="230"/>
      <c r="I1457" s="230"/>
      <c r="J1457" s="230"/>
      <c r="K1457" s="230"/>
      <c r="L1457" s="230"/>
      <c r="M1457" s="230"/>
      <c r="N1457" s="230"/>
      <c r="O1457" s="230"/>
      <c r="P1457" s="230"/>
      <c r="Q1457" s="230"/>
      <c r="R1457" s="230"/>
      <c r="S1457" s="239"/>
      <c r="T1457" s="230"/>
      <c r="U1457" s="230"/>
      <c r="V1457" s="230"/>
      <c r="W1457" s="230"/>
      <c r="X1457" s="239"/>
      <c r="Y1457" s="239"/>
      <c r="Z1457" s="230"/>
      <c r="AA1457" s="230"/>
      <c r="AB1457" s="230"/>
      <c r="AC1457" s="230"/>
      <c r="AD1457" s="239"/>
    </row>
    <row r="1458" spans="1:30" ht="15.75" x14ac:dyDescent="0.25">
      <c r="A1458" s="230"/>
      <c r="B1458" s="234"/>
      <c r="C1458" s="234"/>
      <c r="D1458" s="234"/>
      <c r="E1458" s="230"/>
      <c r="F1458" s="230"/>
      <c r="G1458" s="230"/>
      <c r="H1458" s="230"/>
      <c r="I1458" s="230"/>
      <c r="J1458" s="230"/>
      <c r="K1458" s="230"/>
      <c r="L1458" s="230"/>
      <c r="M1458" s="230"/>
      <c r="N1458" s="230"/>
      <c r="O1458" s="230"/>
      <c r="P1458" s="230"/>
      <c r="Q1458" s="230"/>
      <c r="R1458" s="230"/>
      <c r="S1458" s="239"/>
      <c r="T1458" s="230"/>
      <c r="U1458" s="230"/>
      <c r="V1458" s="230"/>
      <c r="W1458" s="230"/>
      <c r="X1458" s="239"/>
      <c r="Y1458" s="239"/>
      <c r="Z1458" s="230"/>
      <c r="AA1458" s="230"/>
      <c r="AB1458" s="230"/>
      <c r="AC1458" s="230"/>
      <c r="AD1458" s="239"/>
    </row>
    <row r="1459" spans="1:30" ht="15.75" x14ac:dyDescent="0.25">
      <c r="A1459" s="230"/>
      <c r="B1459" s="234"/>
      <c r="C1459" s="234"/>
      <c r="D1459" s="234"/>
      <c r="E1459" s="230"/>
      <c r="F1459" s="230"/>
      <c r="G1459" s="230"/>
      <c r="H1459" s="230"/>
      <c r="I1459" s="230"/>
      <c r="J1459" s="230"/>
      <c r="K1459" s="230"/>
      <c r="L1459" s="230"/>
      <c r="M1459" s="230"/>
      <c r="N1459" s="230"/>
      <c r="O1459" s="230"/>
      <c r="P1459" s="230"/>
      <c r="Q1459" s="230"/>
      <c r="R1459" s="230"/>
      <c r="S1459" s="239"/>
      <c r="T1459" s="230"/>
      <c r="U1459" s="230"/>
      <c r="V1459" s="230"/>
      <c r="W1459" s="230"/>
      <c r="X1459" s="239"/>
      <c r="Y1459" s="239"/>
      <c r="Z1459" s="230"/>
      <c r="AA1459" s="230"/>
      <c r="AB1459" s="230"/>
      <c r="AC1459" s="230"/>
      <c r="AD1459" s="239"/>
    </row>
    <row r="1460" spans="1:30" ht="15.75" x14ac:dyDescent="0.25">
      <c r="A1460" s="230"/>
      <c r="B1460" s="234"/>
      <c r="C1460" s="234"/>
      <c r="D1460" s="234"/>
      <c r="E1460" s="230"/>
      <c r="F1460" s="230"/>
      <c r="G1460" s="230"/>
      <c r="H1460" s="230"/>
      <c r="I1460" s="230"/>
      <c r="J1460" s="230"/>
      <c r="K1460" s="230"/>
      <c r="L1460" s="230"/>
      <c r="M1460" s="230"/>
      <c r="N1460" s="230"/>
      <c r="O1460" s="230"/>
      <c r="P1460" s="230"/>
      <c r="Q1460" s="230"/>
      <c r="R1460" s="230"/>
      <c r="S1460" s="239"/>
      <c r="T1460" s="230"/>
      <c r="U1460" s="230"/>
      <c r="V1460" s="230"/>
      <c r="W1460" s="230"/>
      <c r="X1460" s="239"/>
      <c r="Y1460" s="239"/>
      <c r="Z1460" s="230"/>
      <c r="AA1460" s="230"/>
      <c r="AB1460" s="230"/>
      <c r="AC1460" s="230"/>
      <c r="AD1460" s="239"/>
    </row>
    <row r="1461" spans="1:30" ht="15.75" x14ac:dyDescent="0.25">
      <c r="A1461" s="230"/>
      <c r="B1461" s="234"/>
      <c r="C1461" s="234"/>
      <c r="D1461" s="234"/>
      <c r="E1461" s="230"/>
      <c r="F1461" s="230"/>
      <c r="G1461" s="230"/>
      <c r="H1461" s="230"/>
      <c r="I1461" s="230"/>
      <c r="J1461" s="230"/>
      <c r="K1461" s="230"/>
      <c r="L1461" s="230"/>
      <c r="M1461" s="230"/>
      <c r="N1461" s="230"/>
      <c r="O1461" s="230"/>
      <c r="P1461" s="230"/>
      <c r="Q1461" s="230"/>
      <c r="R1461" s="230"/>
      <c r="S1461" s="239"/>
      <c r="T1461" s="230"/>
      <c r="U1461" s="230"/>
      <c r="V1461" s="230"/>
      <c r="W1461" s="230"/>
      <c r="X1461" s="239"/>
      <c r="Y1461" s="239"/>
      <c r="Z1461" s="230"/>
      <c r="AA1461" s="230"/>
      <c r="AB1461" s="230"/>
      <c r="AC1461" s="230"/>
      <c r="AD1461" s="239"/>
    </row>
    <row r="1462" spans="1:30" ht="15.75" x14ac:dyDescent="0.25">
      <c r="A1462" s="230"/>
      <c r="B1462" s="234"/>
      <c r="C1462" s="234"/>
      <c r="D1462" s="234"/>
      <c r="E1462" s="230"/>
      <c r="F1462" s="230"/>
      <c r="G1462" s="230"/>
      <c r="H1462" s="230"/>
      <c r="I1462" s="230"/>
      <c r="J1462" s="230"/>
      <c r="K1462" s="230"/>
      <c r="L1462" s="230"/>
      <c r="M1462" s="230"/>
      <c r="N1462" s="230"/>
      <c r="O1462" s="230"/>
      <c r="P1462" s="230"/>
      <c r="Q1462" s="230"/>
      <c r="R1462" s="230"/>
      <c r="S1462" s="239"/>
      <c r="T1462" s="230"/>
      <c r="U1462" s="230"/>
      <c r="V1462" s="230"/>
      <c r="W1462" s="230"/>
      <c r="X1462" s="239"/>
      <c r="Y1462" s="239"/>
      <c r="Z1462" s="230"/>
      <c r="AA1462" s="230"/>
      <c r="AB1462" s="230"/>
      <c r="AC1462" s="230"/>
      <c r="AD1462" s="239"/>
    </row>
    <row r="1463" spans="1:30" ht="15.75" x14ac:dyDescent="0.25">
      <c r="A1463" s="230"/>
      <c r="B1463" s="234"/>
      <c r="C1463" s="234"/>
      <c r="D1463" s="234"/>
      <c r="E1463" s="230"/>
      <c r="F1463" s="230"/>
      <c r="G1463" s="230"/>
      <c r="H1463" s="230"/>
      <c r="I1463" s="230"/>
      <c r="J1463" s="230"/>
      <c r="K1463" s="230"/>
      <c r="L1463" s="230"/>
      <c r="M1463" s="230"/>
      <c r="N1463" s="230"/>
      <c r="O1463" s="230"/>
      <c r="P1463" s="230"/>
      <c r="Q1463" s="230"/>
      <c r="R1463" s="230"/>
      <c r="S1463" s="239"/>
      <c r="T1463" s="230"/>
      <c r="U1463" s="230"/>
      <c r="V1463" s="230"/>
      <c r="W1463" s="230"/>
      <c r="X1463" s="239"/>
      <c r="Y1463" s="239"/>
      <c r="Z1463" s="230"/>
      <c r="AA1463" s="230"/>
      <c r="AB1463" s="230"/>
      <c r="AC1463" s="230"/>
      <c r="AD1463" s="239"/>
    </row>
    <row r="1464" spans="1:30" ht="15.75" x14ac:dyDescent="0.25">
      <c r="A1464" s="230"/>
      <c r="B1464" s="234"/>
      <c r="C1464" s="234"/>
      <c r="D1464" s="234"/>
      <c r="E1464" s="230"/>
      <c r="F1464" s="230"/>
      <c r="G1464" s="230"/>
      <c r="H1464" s="230"/>
      <c r="I1464" s="230"/>
      <c r="J1464" s="230"/>
      <c r="K1464" s="230"/>
      <c r="L1464" s="230"/>
      <c r="M1464" s="230"/>
      <c r="N1464" s="230"/>
      <c r="O1464" s="230"/>
      <c r="P1464" s="230"/>
      <c r="Q1464" s="230"/>
      <c r="R1464" s="230"/>
      <c r="S1464" s="239"/>
      <c r="T1464" s="230"/>
      <c r="U1464" s="230"/>
      <c r="V1464" s="230"/>
      <c r="W1464" s="230"/>
      <c r="X1464" s="239"/>
      <c r="Y1464" s="239"/>
      <c r="Z1464" s="230"/>
      <c r="AA1464" s="230"/>
      <c r="AB1464" s="230"/>
      <c r="AC1464" s="230"/>
      <c r="AD1464" s="239"/>
    </row>
    <row r="1465" spans="1:30" ht="15.75" x14ac:dyDescent="0.25">
      <c r="A1465" s="230"/>
      <c r="B1465" s="234"/>
      <c r="C1465" s="234"/>
      <c r="D1465" s="234"/>
      <c r="E1465" s="230"/>
      <c r="F1465" s="230"/>
      <c r="G1465" s="230"/>
      <c r="H1465" s="230"/>
      <c r="I1465" s="230"/>
      <c r="J1465" s="230"/>
      <c r="K1465" s="230"/>
      <c r="L1465" s="230"/>
      <c r="M1465" s="230"/>
      <c r="N1465" s="230"/>
      <c r="O1465" s="230"/>
      <c r="P1465" s="230"/>
      <c r="Q1465" s="230"/>
      <c r="R1465" s="230"/>
      <c r="S1465" s="239"/>
      <c r="T1465" s="230"/>
      <c r="U1465" s="230"/>
      <c r="V1465" s="230"/>
      <c r="W1465" s="230"/>
      <c r="X1465" s="239"/>
      <c r="Y1465" s="239"/>
      <c r="Z1465" s="230"/>
      <c r="AA1465" s="230"/>
      <c r="AB1465" s="230"/>
      <c r="AC1465" s="230"/>
      <c r="AD1465" s="239"/>
    </row>
    <row r="1466" spans="1:30" ht="15.75" x14ac:dyDescent="0.25">
      <c r="A1466" s="230"/>
      <c r="B1466" s="234"/>
      <c r="C1466" s="234"/>
      <c r="D1466" s="234"/>
      <c r="E1466" s="230"/>
      <c r="F1466" s="230"/>
      <c r="G1466" s="230"/>
      <c r="H1466" s="230"/>
      <c r="I1466" s="230"/>
      <c r="J1466" s="230"/>
      <c r="K1466" s="230"/>
      <c r="L1466" s="230"/>
      <c r="M1466" s="230"/>
      <c r="N1466" s="230"/>
      <c r="O1466" s="230"/>
      <c r="P1466" s="230"/>
      <c r="Q1466" s="230"/>
      <c r="R1466" s="230"/>
      <c r="S1466" s="239"/>
      <c r="T1466" s="230"/>
      <c r="U1466" s="230"/>
      <c r="V1466" s="230"/>
      <c r="W1466" s="230"/>
      <c r="X1466" s="239"/>
      <c r="Y1466" s="239"/>
      <c r="Z1466" s="230"/>
      <c r="AA1466" s="230"/>
      <c r="AB1466" s="230"/>
      <c r="AC1466" s="230"/>
      <c r="AD1466" s="239"/>
    </row>
    <row r="1467" spans="1:30" ht="15.75" x14ac:dyDescent="0.25">
      <c r="A1467" s="230"/>
      <c r="B1467" s="234"/>
      <c r="C1467" s="234"/>
      <c r="D1467" s="234"/>
      <c r="E1467" s="230"/>
      <c r="F1467" s="230"/>
      <c r="G1467" s="230"/>
      <c r="H1467" s="230"/>
      <c r="I1467" s="230"/>
      <c r="J1467" s="230"/>
      <c r="K1467" s="230"/>
      <c r="L1467" s="230"/>
      <c r="M1467" s="230"/>
      <c r="N1467" s="230"/>
      <c r="O1467" s="230"/>
      <c r="P1467" s="230"/>
      <c r="Q1467" s="230"/>
      <c r="R1467" s="230"/>
      <c r="S1467" s="239"/>
      <c r="T1467" s="230"/>
      <c r="U1467" s="230"/>
      <c r="V1467" s="230"/>
      <c r="W1467" s="230"/>
      <c r="X1467" s="239"/>
      <c r="Y1467" s="239"/>
      <c r="Z1467" s="230"/>
      <c r="AA1467" s="230"/>
      <c r="AB1467" s="230"/>
      <c r="AC1467" s="230"/>
      <c r="AD1467" s="239"/>
    </row>
    <row r="1468" spans="1:30" ht="15.75" x14ac:dyDescent="0.25">
      <c r="A1468" s="230"/>
      <c r="B1468" s="234"/>
      <c r="C1468" s="234"/>
      <c r="D1468" s="234"/>
      <c r="E1468" s="230"/>
      <c r="F1468" s="230"/>
      <c r="G1468" s="230"/>
      <c r="H1468" s="230"/>
      <c r="I1468" s="230"/>
      <c r="J1468" s="230"/>
      <c r="K1468" s="230"/>
      <c r="L1468" s="230"/>
      <c r="M1468" s="230"/>
      <c r="N1468" s="230"/>
      <c r="O1468" s="230"/>
      <c r="P1468" s="230"/>
      <c r="Q1468" s="230"/>
      <c r="R1468" s="230"/>
      <c r="S1468" s="239"/>
      <c r="T1468" s="230"/>
      <c r="U1468" s="230"/>
      <c r="V1468" s="230"/>
      <c r="W1468" s="230"/>
      <c r="X1468" s="239"/>
      <c r="Y1468" s="239"/>
      <c r="Z1468" s="230"/>
      <c r="AA1468" s="230"/>
      <c r="AB1468" s="230"/>
      <c r="AC1468" s="230"/>
      <c r="AD1468" s="239"/>
    </row>
    <row r="1469" spans="1:30" ht="15.75" x14ac:dyDescent="0.25">
      <c r="A1469" s="230"/>
      <c r="B1469" s="234"/>
      <c r="C1469" s="234"/>
      <c r="D1469" s="234"/>
      <c r="E1469" s="230"/>
      <c r="F1469" s="230"/>
      <c r="G1469" s="230"/>
      <c r="H1469" s="230"/>
      <c r="I1469" s="230"/>
      <c r="J1469" s="230"/>
      <c r="K1469" s="230"/>
      <c r="L1469" s="230"/>
      <c r="M1469" s="230"/>
      <c r="N1469" s="230"/>
      <c r="O1469" s="230"/>
      <c r="P1469" s="230"/>
      <c r="Q1469" s="230"/>
      <c r="R1469" s="230"/>
      <c r="S1469" s="239"/>
      <c r="T1469" s="230"/>
      <c r="U1469" s="230"/>
      <c r="V1469" s="230"/>
      <c r="W1469" s="230"/>
      <c r="X1469" s="239"/>
      <c r="Y1469" s="239"/>
      <c r="Z1469" s="230"/>
      <c r="AA1469" s="230"/>
      <c r="AB1469" s="230"/>
      <c r="AC1469" s="230"/>
      <c r="AD1469" s="239"/>
    </row>
    <row r="1470" spans="1:30" ht="15.75" x14ac:dyDescent="0.25">
      <c r="A1470" s="230"/>
      <c r="B1470" s="234"/>
      <c r="C1470" s="234"/>
      <c r="D1470" s="234"/>
      <c r="E1470" s="230"/>
      <c r="F1470" s="230"/>
      <c r="G1470" s="230"/>
      <c r="H1470" s="230"/>
      <c r="I1470" s="230"/>
      <c r="J1470" s="230"/>
      <c r="K1470" s="230"/>
      <c r="L1470" s="230"/>
      <c r="M1470" s="230"/>
      <c r="N1470" s="230"/>
      <c r="O1470" s="230"/>
      <c r="P1470" s="230"/>
      <c r="Q1470" s="230"/>
      <c r="R1470" s="230"/>
      <c r="S1470" s="239"/>
      <c r="T1470" s="230"/>
      <c r="U1470" s="230"/>
      <c r="V1470" s="230"/>
      <c r="W1470" s="230"/>
      <c r="X1470" s="239"/>
      <c r="Y1470" s="239"/>
      <c r="Z1470" s="230"/>
      <c r="AA1470" s="230"/>
      <c r="AB1470" s="230"/>
      <c r="AC1470" s="230"/>
      <c r="AD1470" s="239"/>
    </row>
    <row r="1471" spans="1:30" ht="15.75" x14ac:dyDescent="0.25">
      <c r="A1471" s="230"/>
      <c r="B1471" s="234"/>
      <c r="C1471" s="234"/>
      <c r="D1471" s="234"/>
      <c r="E1471" s="230"/>
      <c r="F1471" s="230"/>
      <c r="G1471" s="230"/>
      <c r="H1471" s="230"/>
      <c r="I1471" s="230"/>
      <c r="J1471" s="230"/>
      <c r="K1471" s="230"/>
      <c r="L1471" s="230"/>
      <c r="M1471" s="230"/>
      <c r="N1471" s="230"/>
      <c r="O1471" s="230"/>
      <c r="P1471" s="230"/>
      <c r="Q1471" s="230"/>
      <c r="R1471" s="230"/>
      <c r="S1471" s="239"/>
      <c r="T1471" s="230"/>
      <c r="U1471" s="230"/>
      <c r="V1471" s="230"/>
      <c r="W1471" s="230"/>
      <c r="X1471" s="239"/>
      <c r="Y1471" s="239"/>
      <c r="Z1471" s="230"/>
      <c r="AA1471" s="230"/>
      <c r="AB1471" s="230"/>
      <c r="AC1471" s="230"/>
      <c r="AD1471" s="239"/>
    </row>
    <row r="1472" spans="1:30" ht="15.75" x14ac:dyDescent="0.25">
      <c r="A1472" s="230"/>
      <c r="B1472" s="234"/>
      <c r="C1472" s="234"/>
      <c r="D1472" s="234"/>
      <c r="E1472" s="230"/>
      <c r="F1472" s="230"/>
      <c r="G1472" s="230"/>
      <c r="H1472" s="230"/>
      <c r="I1472" s="230"/>
      <c r="J1472" s="230"/>
      <c r="K1472" s="230"/>
      <c r="L1472" s="230"/>
      <c r="M1472" s="230"/>
      <c r="N1472" s="230"/>
      <c r="O1472" s="230"/>
      <c r="P1472" s="230"/>
      <c r="Q1472" s="230"/>
      <c r="R1472" s="230"/>
      <c r="S1472" s="239"/>
      <c r="T1472" s="230"/>
      <c r="U1472" s="230"/>
      <c r="V1472" s="230"/>
      <c r="W1472" s="230"/>
      <c r="X1472" s="239"/>
      <c r="Y1472" s="239"/>
      <c r="Z1472" s="230"/>
      <c r="AA1472" s="230"/>
      <c r="AB1472" s="230"/>
      <c r="AC1472" s="230"/>
      <c r="AD1472" s="239"/>
    </row>
    <row r="1473" spans="1:30" ht="15.75" x14ac:dyDescent="0.25">
      <c r="A1473" s="230"/>
      <c r="B1473" s="234"/>
      <c r="C1473" s="234"/>
      <c r="D1473" s="234"/>
      <c r="E1473" s="230"/>
      <c r="F1473" s="230"/>
      <c r="G1473" s="230"/>
      <c r="H1473" s="230"/>
      <c r="I1473" s="230"/>
      <c r="J1473" s="230"/>
      <c r="K1473" s="230"/>
      <c r="L1473" s="230"/>
      <c r="M1473" s="230"/>
      <c r="N1473" s="230"/>
      <c r="O1473" s="230"/>
      <c r="P1473" s="230"/>
      <c r="Q1473" s="230"/>
      <c r="R1473" s="230"/>
      <c r="S1473" s="239"/>
      <c r="T1473" s="230"/>
      <c r="U1473" s="230"/>
      <c r="V1473" s="230"/>
      <c r="W1473" s="230"/>
      <c r="X1473" s="239"/>
      <c r="Y1473" s="239"/>
      <c r="Z1473" s="230"/>
      <c r="AA1473" s="230"/>
      <c r="AB1473" s="230"/>
      <c r="AC1473" s="230"/>
      <c r="AD1473" s="239"/>
    </row>
    <row r="1474" spans="1:30" ht="15.75" x14ac:dyDescent="0.25">
      <c r="A1474" s="230"/>
      <c r="B1474" s="234"/>
      <c r="C1474" s="234"/>
      <c r="D1474" s="234"/>
      <c r="E1474" s="230"/>
      <c r="F1474" s="230"/>
      <c r="G1474" s="230"/>
      <c r="H1474" s="230"/>
      <c r="I1474" s="230"/>
      <c r="J1474" s="230"/>
      <c r="K1474" s="230"/>
      <c r="L1474" s="230"/>
      <c r="M1474" s="230"/>
      <c r="N1474" s="230"/>
      <c r="O1474" s="230"/>
      <c r="P1474" s="230"/>
      <c r="Q1474" s="230"/>
      <c r="R1474" s="230"/>
      <c r="S1474" s="239"/>
      <c r="T1474" s="230"/>
      <c r="U1474" s="230"/>
      <c r="V1474" s="230"/>
      <c r="W1474" s="230"/>
      <c r="X1474" s="239"/>
      <c r="Y1474" s="239"/>
      <c r="Z1474" s="230"/>
      <c r="AA1474" s="230"/>
      <c r="AB1474" s="230"/>
      <c r="AC1474" s="230"/>
      <c r="AD1474" s="239"/>
    </row>
    <row r="1475" spans="1:30" ht="15.75" x14ac:dyDescent="0.25">
      <c r="A1475" s="230"/>
      <c r="B1475" s="234"/>
      <c r="C1475" s="234"/>
      <c r="D1475" s="234"/>
      <c r="E1475" s="230"/>
      <c r="F1475" s="230"/>
      <c r="G1475" s="230"/>
      <c r="H1475" s="230"/>
      <c r="I1475" s="230"/>
      <c r="J1475" s="230"/>
      <c r="K1475" s="230"/>
      <c r="L1475" s="230"/>
      <c r="M1475" s="230"/>
      <c r="N1475" s="230"/>
      <c r="O1475" s="230"/>
      <c r="P1475" s="230"/>
      <c r="Q1475" s="230"/>
      <c r="R1475" s="230"/>
      <c r="S1475" s="239"/>
      <c r="T1475" s="230"/>
      <c r="U1475" s="230"/>
      <c r="V1475" s="230"/>
      <c r="W1475" s="230"/>
      <c r="X1475" s="239"/>
      <c r="Y1475" s="239"/>
      <c r="Z1475" s="230"/>
      <c r="AA1475" s="230"/>
      <c r="AB1475" s="230"/>
      <c r="AC1475" s="230"/>
      <c r="AD1475" s="239"/>
    </row>
    <row r="1476" spans="1:30" ht="15.75" x14ac:dyDescent="0.25">
      <c r="A1476" s="230"/>
      <c r="B1476" s="234"/>
      <c r="C1476" s="234"/>
      <c r="D1476" s="234"/>
      <c r="E1476" s="230"/>
      <c r="F1476" s="230"/>
      <c r="G1476" s="230"/>
      <c r="H1476" s="230"/>
      <c r="I1476" s="230"/>
      <c r="J1476" s="230"/>
      <c r="K1476" s="230"/>
      <c r="L1476" s="230"/>
      <c r="M1476" s="230"/>
      <c r="N1476" s="230"/>
      <c r="O1476" s="230"/>
      <c r="P1476" s="230"/>
      <c r="Q1476" s="230"/>
      <c r="R1476" s="230"/>
      <c r="S1476" s="239"/>
      <c r="T1476" s="230"/>
      <c r="U1476" s="230"/>
      <c r="V1476" s="230"/>
      <c r="W1476" s="230"/>
      <c r="X1476" s="239"/>
      <c r="Y1476" s="239"/>
      <c r="Z1476" s="230"/>
      <c r="AA1476" s="230"/>
      <c r="AB1476" s="230"/>
      <c r="AC1476" s="230"/>
      <c r="AD1476" s="239"/>
    </row>
    <row r="1477" spans="1:30" ht="15.75" x14ac:dyDescent="0.25">
      <c r="A1477" s="230"/>
      <c r="B1477" s="234"/>
      <c r="C1477" s="234"/>
      <c r="D1477" s="234"/>
      <c r="E1477" s="230"/>
      <c r="F1477" s="230"/>
      <c r="G1477" s="230"/>
      <c r="H1477" s="230"/>
      <c r="I1477" s="230"/>
      <c r="J1477" s="230"/>
      <c r="K1477" s="230"/>
      <c r="L1477" s="230"/>
      <c r="M1477" s="230"/>
      <c r="N1477" s="230"/>
      <c r="O1477" s="230"/>
      <c r="P1477" s="230"/>
      <c r="Q1477" s="230"/>
      <c r="R1477" s="230"/>
      <c r="S1477" s="239"/>
      <c r="T1477" s="230"/>
      <c r="U1477" s="230"/>
      <c r="V1477" s="230"/>
      <c r="W1477" s="230"/>
      <c r="X1477" s="239"/>
      <c r="Y1477" s="239"/>
      <c r="Z1477" s="230"/>
      <c r="AA1477" s="230"/>
      <c r="AB1477" s="230"/>
      <c r="AC1477" s="230"/>
      <c r="AD1477" s="239"/>
    </row>
    <row r="1478" spans="1:30" ht="15.75" x14ac:dyDescent="0.25">
      <c r="A1478" s="230"/>
      <c r="B1478" s="234"/>
      <c r="C1478" s="234"/>
      <c r="D1478" s="234"/>
      <c r="E1478" s="230"/>
      <c r="F1478" s="230"/>
      <c r="G1478" s="230"/>
      <c r="H1478" s="230"/>
      <c r="I1478" s="230"/>
      <c r="J1478" s="230"/>
      <c r="K1478" s="230"/>
      <c r="L1478" s="230"/>
      <c r="M1478" s="230"/>
      <c r="N1478" s="230"/>
      <c r="O1478" s="230"/>
      <c r="P1478" s="230"/>
      <c r="Q1478" s="230"/>
      <c r="R1478" s="230"/>
      <c r="S1478" s="239"/>
      <c r="T1478" s="230"/>
      <c r="U1478" s="230"/>
      <c r="V1478" s="230"/>
      <c r="W1478" s="230"/>
      <c r="X1478" s="239"/>
      <c r="Y1478" s="239"/>
      <c r="Z1478" s="230"/>
      <c r="AA1478" s="230"/>
      <c r="AB1478" s="230"/>
      <c r="AC1478" s="230"/>
      <c r="AD1478" s="239"/>
    </row>
    <row r="1479" spans="1:30" ht="15.75" x14ac:dyDescent="0.25">
      <c r="A1479" s="230"/>
      <c r="B1479" s="234"/>
      <c r="C1479" s="234"/>
      <c r="D1479" s="234"/>
      <c r="E1479" s="230"/>
      <c r="F1479" s="230"/>
      <c r="G1479" s="230"/>
      <c r="H1479" s="230"/>
      <c r="I1479" s="230"/>
      <c r="J1479" s="230"/>
      <c r="K1479" s="230"/>
      <c r="L1479" s="230"/>
      <c r="M1479" s="230"/>
      <c r="N1479" s="230"/>
      <c r="O1479" s="230"/>
      <c r="P1479" s="230"/>
      <c r="Q1479" s="230"/>
      <c r="R1479" s="230"/>
      <c r="S1479" s="239"/>
      <c r="T1479" s="230"/>
      <c r="U1479" s="230"/>
      <c r="V1479" s="230"/>
      <c r="W1479" s="230"/>
      <c r="X1479" s="239"/>
      <c r="Y1479" s="239"/>
      <c r="Z1479" s="230"/>
      <c r="AA1479" s="230"/>
      <c r="AB1479" s="230"/>
      <c r="AC1479" s="230"/>
      <c r="AD1479" s="239"/>
    </row>
    <row r="1480" spans="1:30" ht="15.75" x14ac:dyDescent="0.25">
      <c r="A1480" s="230"/>
      <c r="B1480" s="234"/>
      <c r="C1480" s="234"/>
      <c r="D1480" s="234"/>
      <c r="E1480" s="230"/>
      <c r="F1480" s="230"/>
      <c r="G1480" s="230"/>
      <c r="H1480" s="230"/>
      <c r="I1480" s="230"/>
      <c r="J1480" s="230"/>
      <c r="K1480" s="230"/>
      <c r="L1480" s="230"/>
      <c r="M1480" s="230"/>
      <c r="N1480" s="230"/>
      <c r="O1480" s="230"/>
      <c r="P1480" s="230"/>
      <c r="Q1480" s="230"/>
      <c r="R1480" s="230"/>
      <c r="S1480" s="239"/>
      <c r="T1480" s="230"/>
      <c r="U1480" s="230"/>
      <c r="V1480" s="230"/>
      <c r="W1480" s="230"/>
      <c r="X1480" s="239"/>
      <c r="Y1480" s="239"/>
      <c r="Z1480" s="230"/>
      <c r="AA1480" s="230"/>
      <c r="AB1480" s="230"/>
      <c r="AC1480" s="230"/>
      <c r="AD1480" s="239"/>
    </row>
    <row r="1481" spans="1:30" ht="15.75" x14ac:dyDescent="0.25">
      <c r="A1481" s="230"/>
      <c r="B1481" s="234"/>
      <c r="C1481" s="234"/>
      <c r="D1481" s="234"/>
      <c r="E1481" s="230"/>
      <c r="F1481" s="230"/>
      <c r="G1481" s="230"/>
      <c r="H1481" s="230"/>
      <c r="I1481" s="230"/>
      <c r="J1481" s="230"/>
      <c r="K1481" s="230"/>
      <c r="L1481" s="230"/>
      <c r="M1481" s="230"/>
      <c r="N1481" s="230"/>
      <c r="O1481" s="230"/>
      <c r="P1481" s="230"/>
      <c r="Q1481" s="230"/>
      <c r="R1481" s="230"/>
      <c r="S1481" s="239"/>
      <c r="T1481" s="230"/>
      <c r="U1481" s="230"/>
      <c r="V1481" s="230"/>
      <c r="W1481" s="230"/>
      <c r="X1481" s="239"/>
      <c r="Y1481" s="239"/>
      <c r="Z1481" s="230"/>
      <c r="AA1481" s="230"/>
      <c r="AB1481" s="230"/>
      <c r="AC1481" s="230"/>
      <c r="AD1481" s="239"/>
    </row>
    <row r="1482" spans="1:30" ht="15.75" x14ac:dyDescent="0.25">
      <c r="A1482" s="230"/>
      <c r="B1482" s="234"/>
      <c r="C1482" s="234"/>
      <c r="D1482" s="234"/>
      <c r="E1482" s="230"/>
      <c r="F1482" s="230"/>
      <c r="G1482" s="230"/>
      <c r="H1482" s="230"/>
      <c r="I1482" s="230"/>
      <c r="J1482" s="230"/>
      <c r="K1482" s="230"/>
      <c r="L1482" s="230"/>
      <c r="M1482" s="230"/>
      <c r="N1482" s="230"/>
      <c r="O1482" s="230"/>
      <c r="P1482" s="230"/>
      <c r="Q1482" s="230"/>
      <c r="R1482" s="230"/>
      <c r="S1482" s="239"/>
      <c r="T1482" s="230"/>
      <c r="U1482" s="230"/>
      <c r="V1482" s="230"/>
      <c r="W1482" s="230"/>
      <c r="X1482" s="239"/>
      <c r="Y1482" s="239"/>
      <c r="Z1482" s="230"/>
      <c r="AA1482" s="230"/>
      <c r="AB1482" s="230"/>
      <c r="AC1482" s="230"/>
      <c r="AD1482" s="239"/>
    </row>
    <row r="1483" spans="1:30" ht="15.75" x14ac:dyDescent="0.25">
      <c r="A1483" s="230"/>
      <c r="B1483" s="234"/>
      <c r="C1483" s="234"/>
      <c r="D1483" s="234"/>
      <c r="E1483" s="230"/>
      <c r="F1483" s="230"/>
      <c r="G1483" s="230"/>
      <c r="H1483" s="230"/>
      <c r="I1483" s="230"/>
      <c r="J1483" s="230"/>
      <c r="K1483" s="230"/>
      <c r="L1483" s="230"/>
      <c r="M1483" s="230"/>
      <c r="N1483" s="230"/>
      <c r="O1483" s="230"/>
      <c r="P1483" s="230"/>
      <c r="Q1483" s="230"/>
      <c r="R1483" s="230"/>
      <c r="S1483" s="239"/>
      <c r="T1483" s="230"/>
      <c r="U1483" s="230"/>
      <c r="V1483" s="230"/>
      <c r="W1483" s="230"/>
      <c r="X1483" s="239"/>
      <c r="Y1483" s="239"/>
      <c r="Z1483" s="230"/>
      <c r="AA1483" s="230"/>
      <c r="AB1483" s="230"/>
      <c r="AC1483" s="230"/>
      <c r="AD1483" s="239"/>
    </row>
    <row r="1484" spans="1:30" ht="15.75" x14ac:dyDescent="0.25">
      <c r="A1484" s="230"/>
      <c r="B1484" s="234"/>
      <c r="C1484" s="234"/>
      <c r="D1484" s="234"/>
      <c r="E1484" s="230"/>
      <c r="F1484" s="230"/>
      <c r="G1484" s="230"/>
      <c r="H1484" s="230"/>
      <c r="I1484" s="230"/>
      <c r="J1484" s="230"/>
      <c r="K1484" s="230"/>
      <c r="L1484" s="230"/>
      <c r="M1484" s="230"/>
      <c r="N1484" s="230"/>
      <c r="O1484" s="230"/>
      <c r="P1484" s="230"/>
      <c r="Q1484" s="230"/>
      <c r="R1484" s="230"/>
      <c r="S1484" s="239"/>
      <c r="T1484" s="230"/>
      <c r="U1484" s="230"/>
      <c r="V1484" s="230"/>
      <c r="W1484" s="230"/>
      <c r="X1484" s="239"/>
      <c r="Y1484" s="239"/>
      <c r="Z1484" s="230"/>
      <c r="AA1484" s="230"/>
      <c r="AB1484" s="230"/>
      <c r="AC1484" s="230"/>
      <c r="AD1484" s="239"/>
    </row>
    <row r="1485" spans="1:30" ht="15.75" x14ac:dyDescent="0.25">
      <c r="A1485" s="230"/>
      <c r="B1485" s="234"/>
      <c r="C1485" s="234"/>
      <c r="D1485" s="234"/>
      <c r="E1485" s="230"/>
      <c r="F1485" s="230"/>
      <c r="G1485" s="230"/>
      <c r="H1485" s="230"/>
      <c r="I1485" s="230"/>
      <c r="J1485" s="230"/>
      <c r="K1485" s="230"/>
      <c r="L1485" s="230"/>
      <c r="M1485" s="230"/>
      <c r="N1485" s="230"/>
      <c r="O1485" s="230"/>
      <c r="P1485" s="230"/>
      <c r="Q1485" s="230"/>
      <c r="R1485" s="230"/>
      <c r="S1485" s="239"/>
      <c r="T1485" s="230"/>
      <c r="U1485" s="230"/>
      <c r="V1485" s="230"/>
      <c r="W1485" s="230"/>
      <c r="X1485" s="239"/>
      <c r="Y1485" s="239"/>
      <c r="Z1485" s="230"/>
      <c r="AA1485" s="230"/>
      <c r="AB1485" s="230"/>
      <c r="AC1485" s="230"/>
      <c r="AD1485" s="239"/>
    </row>
    <row r="1486" spans="1:30" ht="15.75" x14ac:dyDescent="0.25">
      <c r="A1486" s="230"/>
      <c r="B1486" s="234"/>
      <c r="C1486" s="234"/>
      <c r="D1486" s="234"/>
      <c r="E1486" s="230"/>
      <c r="F1486" s="230"/>
      <c r="G1486" s="230"/>
      <c r="H1486" s="230"/>
      <c r="I1486" s="230"/>
      <c r="J1486" s="230"/>
      <c r="K1486" s="230"/>
      <c r="L1486" s="230"/>
      <c r="M1486" s="230"/>
      <c r="N1486" s="230"/>
      <c r="O1486" s="230"/>
      <c r="P1486" s="230"/>
      <c r="Q1486" s="230"/>
      <c r="R1486" s="230"/>
      <c r="S1486" s="239"/>
      <c r="T1486" s="230"/>
      <c r="U1486" s="230"/>
      <c r="V1486" s="230"/>
      <c r="W1486" s="230"/>
      <c r="X1486" s="239"/>
      <c r="Y1486" s="239"/>
      <c r="Z1486" s="230"/>
      <c r="AA1486" s="230"/>
      <c r="AB1486" s="230"/>
      <c r="AC1486" s="230"/>
      <c r="AD1486" s="239"/>
    </row>
    <row r="1487" spans="1:30" ht="15.75" x14ac:dyDescent="0.25">
      <c r="A1487" s="230"/>
      <c r="B1487" s="234"/>
      <c r="C1487" s="234"/>
      <c r="D1487" s="234"/>
      <c r="E1487" s="230"/>
      <c r="F1487" s="230"/>
      <c r="G1487" s="230"/>
      <c r="H1487" s="230"/>
      <c r="I1487" s="230"/>
      <c r="J1487" s="230"/>
      <c r="K1487" s="230"/>
      <c r="L1487" s="230"/>
      <c r="M1487" s="230"/>
      <c r="N1487" s="230"/>
      <c r="O1487" s="230"/>
      <c r="P1487" s="230"/>
      <c r="Q1487" s="230"/>
      <c r="R1487" s="230"/>
      <c r="S1487" s="239"/>
      <c r="T1487" s="230"/>
      <c r="U1487" s="230"/>
      <c r="V1487" s="230"/>
      <c r="W1487" s="230"/>
      <c r="X1487" s="239"/>
      <c r="Y1487" s="239"/>
      <c r="Z1487" s="230"/>
      <c r="AA1487" s="230"/>
      <c r="AB1487" s="230"/>
      <c r="AC1487" s="230"/>
      <c r="AD1487" s="239"/>
    </row>
    <row r="1488" spans="1:30" ht="15.75" x14ac:dyDescent="0.25">
      <c r="A1488" s="230"/>
      <c r="B1488" s="234"/>
      <c r="C1488" s="234"/>
      <c r="D1488" s="234"/>
      <c r="E1488" s="230"/>
      <c r="F1488" s="230"/>
      <c r="G1488" s="230"/>
      <c r="H1488" s="230"/>
      <c r="I1488" s="230"/>
      <c r="J1488" s="230"/>
      <c r="K1488" s="230"/>
      <c r="L1488" s="230"/>
      <c r="M1488" s="230"/>
      <c r="N1488" s="230"/>
      <c r="O1488" s="230"/>
      <c r="P1488" s="230"/>
      <c r="Q1488" s="230"/>
      <c r="R1488" s="230"/>
      <c r="S1488" s="239"/>
      <c r="T1488" s="230"/>
      <c r="U1488" s="230"/>
      <c r="V1488" s="230"/>
      <c r="W1488" s="230"/>
      <c r="X1488" s="239"/>
      <c r="Y1488" s="239"/>
      <c r="Z1488" s="230"/>
      <c r="AA1488" s="230"/>
      <c r="AB1488" s="230"/>
      <c r="AC1488" s="230"/>
      <c r="AD1488" s="239"/>
    </row>
    <row r="1489" spans="1:30" ht="15.75" x14ac:dyDescent="0.25">
      <c r="A1489" s="230"/>
      <c r="B1489" s="234"/>
      <c r="C1489" s="234"/>
      <c r="D1489" s="234"/>
      <c r="E1489" s="230"/>
      <c r="F1489" s="230"/>
      <c r="G1489" s="230"/>
      <c r="H1489" s="230"/>
      <c r="I1489" s="230"/>
      <c r="J1489" s="230"/>
      <c r="K1489" s="230"/>
      <c r="L1489" s="230"/>
      <c r="M1489" s="230"/>
      <c r="N1489" s="230"/>
      <c r="O1489" s="230"/>
      <c r="P1489" s="230"/>
      <c r="Q1489" s="230"/>
      <c r="R1489" s="230"/>
      <c r="S1489" s="239"/>
      <c r="T1489" s="230"/>
      <c r="U1489" s="230"/>
      <c r="V1489" s="230"/>
      <c r="W1489" s="230"/>
      <c r="X1489" s="239"/>
      <c r="Y1489" s="239"/>
      <c r="Z1489" s="230"/>
      <c r="AA1489" s="230"/>
      <c r="AB1489" s="230"/>
      <c r="AC1489" s="230"/>
      <c r="AD1489" s="239"/>
    </row>
    <row r="1490" spans="1:30" ht="15.75" x14ac:dyDescent="0.25">
      <c r="A1490" s="230"/>
      <c r="B1490" s="234"/>
      <c r="C1490" s="234"/>
      <c r="D1490" s="234"/>
      <c r="E1490" s="230"/>
      <c r="F1490" s="230"/>
      <c r="G1490" s="230"/>
      <c r="H1490" s="230"/>
      <c r="I1490" s="230"/>
      <c r="J1490" s="230"/>
      <c r="K1490" s="230"/>
      <c r="L1490" s="230"/>
      <c r="M1490" s="230"/>
      <c r="N1490" s="230"/>
      <c r="O1490" s="230"/>
      <c r="P1490" s="230"/>
      <c r="Q1490" s="230"/>
      <c r="R1490" s="230"/>
      <c r="S1490" s="239"/>
      <c r="T1490" s="230"/>
      <c r="U1490" s="230"/>
      <c r="V1490" s="230"/>
      <c r="W1490" s="230"/>
      <c r="X1490" s="239"/>
      <c r="Y1490" s="239"/>
      <c r="Z1490" s="230"/>
      <c r="AA1490" s="230"/>
      <c r="AB1490" s="230"/>
      <c r="AC1490" s="230"/>
      <c r="AD1490" s="239"/>
    </row>
    <row r="1491" spans="1:30" ht="15.75" x14ac:dyDescent="0.25">
      <c r="A1491" s="230"/>
      <c r="B1491" s="234"/>
      <c r="C1491" s="234"/>
      <c r="D1491" s="234"/>
      <c r="E1491" s="230"/>
      <c r="F1491" s="230"/>
      <c r="G1491" s="230"/>
      <c r="H1491" s="230"/>
      <c r="I1491" s="230"/>
      <c r="J1491" s="230"/>
      <c r="K1491" s="230"/>
      <c r="L1491" s="230"/>
      <c r="M1491" s="230"/>
      <c r="N1491" s="230"/>
      <c r="O1491" s="230"/>
      <c r="P1491" s="230"/>
      <c r="Q1491" s="230"/>
      <c r="R1491" s="230"/>
      <c r="S1491" s="239"/>
      <c r="T1491" s="230"/>
      <c r="U1491" s="230"/>
      <c r="V1491" s="230"/>
      <c r="W1491" s="230"/>
      <c r="X1491" s="239"/>
      <c r="Y1491" s="239"/>
      <c r="Z1491" s="230"/>
      <c r="AA1491" s="230"/>
      <c r="AB1491" s="230"/>
      <c r="AC1491" s="230"/>
      <c r="AD1491" s="239"/>
    </row>
    <row r="1492" spans="1:30" ht="15.75" x14ac:dyDescent="0.25">
      <c r="A1492" s="230"/>
      <c r="B1492" s="234"/>
      <c r="C1492" s="234"/>
      <c r="D1492" s="234"/>
      <c r="E1492" s="230"/>
      <c r="F1492" s="230"/>
      <c r="G1492" s="230"/>
      <c r="H1492" s="230"/>
      <c r="I1492" s="230"/>
      <c r="J1492" s="230"/>
      <c r="K1492" s="230"/>
      <c r="L1492" s="230"/>
      <c r="M1492" s="230"/>
      <c r="N1492" s="230"/>
      <c r="O1492" s="230"/>
      <c r="P1492" s="230"/>
      <c r="Q1492" s="230"/>
      <c r="R1492" s="230"/>
      <c r="S1492" s="239"/>
      <c r="T1492" s="230"/>
      <c r="U1492" s="230"/>
      <c r="V1492" s="230"/>
      <c r="W1492" s="230"/>
      <c r="X1492" s="239"/>
      <c r="Y1492" s="239"/>
      <c r="Z1492" s="230"/>
      <c r="AA1492" s="230"/>
      <c r="AB1492" s="230"/>
      <c r="AC1492" s="230"/>
      <c r="AD1492" s="239"/>
    </row>
    <row r="1493" spans="1:30" ht="15.75" x14ac:dyDescent="0.25">
      <c r="A1493" s="230"/>
      <c r="B1493" s="234"/>
      <c r="C1493" s="234"/>
      <c r="D1493" s="234"/>
      <c r="E1493" s="230"/>
      <c r="F1493" s="230"/>
      <c r="G1493" s="230"/>
      <c r="H1493" s="230"/>
      <c r="I1493" s="230"/>
      <c r="J1493" s="230"/>
      <c r="K1493" s="230"/>
      <c r="L1493" s="230"/>
      <c r="M1493" s="230"/>
      <c r="N1493" s="230"/>
      <c r="O1493" s="230"/>
      <c r="P1493" s="230"/>
      <c r="Q1493" s="230"/>
      <c r="R1493" s="230"/>
      <c r="S1493" s="239"/>
      <c r="T1493" s="230"/>
      <c r="U1493" s="230"/>
      <c r="V1493" s="230"/>
      <c r="W1493" s="230"/>
      <c r="X1493" s="239"/>
      <c r="Y1493" s="239"/>
      <c r="Z1493" s="230"/>
      <c r="AA1493" s="230"/>
      <c r="AB1493" s="230"/>
      <c r="AC1493" s="230"/>
      <c r="AD1493" s="239"/>
    </row>
    <row r="1494" spans="1:30" ht="15.75" x14ac:dyDescent="0.25">
      <c r="A1494" s="230"/>
      <c r="B1494" s="234"/>
      <c r="C1494" s="234"/>
      <c r="D1494" s="234"/>
      <c r="E1494" s="230"/>
      <c r="F1494" s="230"/>
      <c r="G1494" s="230"/>
      <c r="H1494" s="230"/>
      <c r="I1494" s="230"/>
      <c r="J1494" s="230"/>
      <c r="K1494" s="230"/>
      <c r="L1494" s="230"/>
      <c r="M1494" s="230"/>
      <c r="N1494" s="230"/>
      <c r="O1494" s="230"/>
      <c r="P1494" s="230"/>
      <c r="Q1494" s="230"/>
      <c r="R1494" s="230"/>
      <c r="S1494" s="239"/>
      <c r="T1494" s="230"/>
      <c r="U1494" s="230"/>
      <c r="V1494" s="230"/>
      <c r="W1494" s="230"/>
      <c r="X1494" s="239"/>
      <c r="Y1494" s="239"/>
      <c r="Z1494" s="230"/>
      <c r="AA1494" s="230"/>
      <c r="AB1494" s="230"/>
      <c r="AC1494" s="230"/>
      <c r="AD1494" s="239"/>
    </row>
    <row r="1495" spans="1:30" ht="15.75" x14ac:dyDescent="0.25">
      <c r="A1495" s="230"/>
      <c r="B1495" s="234"/>
      <c r="C1495" s="234"/>
      <c r="D1495" s="234"/>
      <c r="E1495" s="230"/>
      <c r="F1495" s="230"/>
      <c r="G1495" s="230"/>
      <c r="H1495" s="230"/>
      <c r="I1495" s="230"/>
      <c r="J1495" s="230"/>
      <c r="K1495" s="230"/>
      <c r="L1495" s="230"/>
      <c r="M1495" s="230"/>
      <c r="N1495" s="230"/>
      <c r="O1495" s="230"/>
      <c r="P1495" s="230"/>
      <c r="Q1495" s="230"/>
      <c r="R1495" s="230"/>
      <c r="S1495" s="239"/>
      <c r="T1495" s="230"/>
      <c r="U1495" s="230"/>
      <c r="V1495" s="230"/>
      <c r="W1495" s="230"/>
      <c r="X1495" s="239"/>
      <c r="Y1495" s="239"/>
      <c r="Z1495" s="230"/>
      <c r="AA1495" s="230"/>
      <c r="AB1495" s="230"/>
      <c r="AC1495" s="230"/>
      <c r="AD1495" s="239"/>
    </row>
    <row r="1496" spans="1:30" ht="15.75" x14ac:dyDescent="0.25">
      <c r="A1496" s="230"/>
      <c r="B1496" s="234"/>
      <c r="C1496" s="234"/>
      <c r="D1496" s="234"/>
      <c r="E1496" s="230"/>
      <c r="F1496" s="230"/>
      <c r="G1496" s="230"/>
      <c r="H1496" s="230"/>
      <c r="I1496" s="230"/>
      <c r="J1496" s="230"/>
      <c r="K1496" s="230"/>
      <c r="L1496" s="230"/>
      <c r="M1496" s="230"/>
      <c r="N1496" s="230"/>
      <c r="O1496" s="230"/>
      <c r="P1496" s="230"/>
      <c r="Q1496" s="230"/>
      <c r="R1496" s="230"/>
      <c r="S1496" s="239"/>
      <c r="T1496" s="230"/>
      <c r="U1496" s="230"/>
      <c r="V1496" s="230"/>
      <c r="W1496" s="230"/>
      <c r="X1496" s="239"/>
      <c r="Y1496" s="239"/>
      <c r="Z1496" s="230"/>
      <c r="AA1496" s="230"/>
      <c r="AB1496" s="230"/>
      <c r="AC1496" s="230"/>
      <c r="AD1496" s="239"/>
    </row>
    <row r="1497" spans="1:30" ht="15.75" x14ac:dyDescent="0.25">
      <c r="A1497" s="230"/>
      <c r="B1497" s="234"/>
      <c r="C1497" s="234"/>
      <c r="D1497" s="234"/>
      <c r="E1497" s="230"/>
      <c r="F1497" s="230"/>
      <c r="G1497" s="230"/>
      <c r="H1497" s="230"/>
      <c r="I1497" s="230"/>
      <c r="J1497" s="230"/>
      <c r="K1497" s="230"/>
      <c r="L1497" s="230"/>
      <c r="M1497" s="230"/>
      <c r="N1497" s="230"/>
      <c r="O1497" s="230"/>
      <c r="P1497" s="230"/>
      <c r="Q1497" s="230"/>
      <c r="R1497" s="230"/>
      <c r="S1497" s="239"/>
      <c r="T1497" s="230"/>
      <c r="U1497" s="230"/>
      <c r="V1497" s="230"/>
      <c r="W1497" s="230"/>
      <c r="X1497" s="239"/>
      <c r="Y1497" s="239"/>
      <c r="Z1497" s="230"/>
      <c r="AA1497" s="230"/>
      <c r="AB1497" s="230"/>
      <c r="AC1497" s="230"/>
      <c r="AD1497" s="239"/>
    </row>
    <row r="1498" spans="1:30" ht="15.75" x14ac:dyDescent="0.25">
      <c r="A1498" s="230"/>
      <c r="B1498" s="234"/>
      <c r="C1498" s="234"/>
      <c r="D1498" s="234"/>
      <c r="E1498" s="230"/>
      <c r="F1498" s="230"/>
      <c r="G1498" s="230"/>
      <c r="H1498" s="230"/>
      <c r="I1498" s="230"/>
      <c r="J1498" s="230"/>
      <c r="K1498" s="230"/>
      <c r="L1498" s="230"/>
      <c r="M1498" s="230"/>
      <c r="N1498" s="230"/>
      <c r="O1498" s="230"/>
      <c r="P1498" s="230"/>
      <c r="Q1498" s="230"/>
      <c r="R1498" s="230"/>
      <c r="S1498" s="239"/>
      <c r="T1498" s="230"/>
      <c r="U1498" s="230"/>
      <c r="V1498" s="230"/>
      <c r="W1498" s="230"/>
      <c r="X1498" s="239"/>
      <c r="Y1498" s="239"/>
      <c r="Z1498" s="230"/>
      <c r="AA1498" s="230"/>
      <c r="AB1498" s="230"/>
      <c r="AC1498" s="230"/>
      <c r="AD1498" s="239"/>
    </row>
    <row r="1499" spans="1:30" ht="15.75" x14ac:dyDescent="0.25">
      <c r="A1499" s="230"/>
      <c r="B1499" s="234"/>
      <c r="C1499" s="234"/>
      <c r="D1499" s="234"/>
      <c r="E1499" s="230"/>
      <c r="F1499" s="230"/>
      <c r="G1499" s="230"/>
      <c r="H1499" s="230"/>
      <c r="I1499" s="230"/>
      <c r="J1499" s="230"/>
      <c r="K1499" s="230"/>
      <c r="L1499" s="230"/>
      <c r="M1499" s="230"/>
      <c r="N1499" s="230"/>
      <c r="O1499" s="230"/>
      <c r="P1499" s="230"/>
      <c r="Q1499" s="230"/>
      <c r="R1499" s="230"/>
      <c r="S1499" s="239"/>
      <c r="T1499" s="230"/>
      <c r="U1499" s="230"/>
      <c r="V1499" s="230"/>
      <c r="W1499" s="230"/>
      <c r="X1499" s="239"/>
      <c r="Y1499" s="239"/>
      <c r="Z1499" s="230"/>
      <c r="AA1499" s="230"/>
      <c r="AB1499" s="230"/>
      <c r="AC1499" s="230"/>
      <c r="AD1499" s="239"/>
    </row>
    <row r="1500" spans="1:30" ht="15.75" x14ac:dyDescent="0.25">
      <c r="A1500" s="230"/>
      <c r="B1500" s="234"/>
      <c r="C1500" s="234"/>
      <c r="D1500" s="234"/>
      <c r="E1500" s="230"/>
      <c r="F1500" s="230"/>
      <c r="G1500" s="230"/>
      <c r="H1500" s="230"/>
      <c r="I1500" s="230"/>
      <c r="J1500" s="230"/>
      <c r="K1500" s="230"/>
      <c r="L1500" s="230"/>
      <c r="M1500" s="230"/>
      <c r="N1500" s="230"/>
      <c r="O1500" s="230"/>
      <c r="P1500" s="230"/>
      <c r="Q1500" s="230"/>
      <c r="R1500" s="230"/>
      <c r="S1500" s="239"/>
      <c r="T1500" s="230"/>
      <c r="U1500" s="230"/>
      <c r="V1500" s="230"/>
      <c r="W1500" s="230"/>
      <c r="X1500" s="239"/>
      <c r="Y1500" s="239"/>
      <c r="Z1500" s="230"/>
      <c r="AA1500" s="230"/>
      <c r="AB1500" s="230"/>
      <c r="AC1500" s="230"/>
      <c r="AD1500" s="239"/>
    </row>
    <row r="1501" spans="1:30" ht="15.75" x14ac:dyDescent="0.25">
      <c r="A1501" s="230"/>
      <c r="B1501" s="234"/>
      <c r="C1501" s="234"/>
      <c r="D1501" s="234"/>
      <c r="E1501" s="230"/>
      <c r="F1501" s="230"/>
      <c r="G1501" s="230"/>
      <c r="H1501" s="230"/>
      <c r="I1501" s="230"/>
      <c r="J1501" s="230"/>
      <c r="K1501" s="230"/>
      <c r="L1501" s="230"/>
      <c r="M1501" s="230"/>
      <c r="N1501" s="230"/>
      <c r="O1501" s="230"/>
      <c r="P1501" s="230"/>
      <c r="Q1501" s="230"/>
      <c r="R1501" s="230"/>
      <c r="S1501" s="239"/>
      <c r="T1501" s="230"/>
      <c r="U1501" s="230"/>
      <c r="V1501" s="230"/>
      <c r="W1501" s="230"/>
      <c r="X1501" s="239"/>
      <c r="Y1501" s="239"/>
      <c r="Z1501" s="230"/>
      <c r="AA1501" s="230"/>
      <c r="AB1501" s="230"/>
      <c r="AC1501" s="230"/>
      <c r="AD1501" s="239"/>
    </row>
    <row r="1502" spans="1:30" ht="15.75" x14ac:dyDescent="0.25">
      <c r="A1502" s="230"/>
      <c r="B1502" s="234"/>
      <c r="C1502" s="234"/>
      <c r="D1502" s="234"/>
      <c r="E1502" s="230"/>
      <c r="F1502" s="230"/>
      <c r="G1502" s="230"/>
      <c r="H1502" s="230"/>
      <c r="I1502" s="230"/>
      <c r="J1502" s="230"/>
      <c r="K1502" s="230"/>
      <c r="L1502" s="230"/>
      <c r="M1502" s="230"/>
      <c r="N1502" s="230"/>
      <c r="O1502" s="230"/>
      <c r="P1502" s="230"/>
      <c r="Q1502" s="230"/>
      <c r="R1502" s="230"/>
      <c r="S1502" s="239"/>
      <c r="T1502" s="230"/>
      <c r="U1502" s="230"/>
      <c r="V1502" s="230"/>
      <c r="W1502" s="230"/>
      <c r="X1502" s="239"/>
      <c r="Y1502" s="239"/>
      <c r="Z1502" s="230"/>
      <c r="AA1502" s="230"/>
      <c r="AB1502" s="230"/>
      <c r="AC1502" s="230"/>
      <c r="AD1502" s="239"/>
    </row>
    <row r="1503" spans="1:30" ht="15.75" x14ac:dyDescent="0.25">
      <c r="A1503" s="230"/>
      <c r="B1503" s="234"/>
      <c r="C1503" s="234"/>
      <c r="D1503" s="234"/>
      <c r="E1503" s="230"/>
      <c r="F1503" s="230"/>
      <c r="G1503" s="230"/>
      <c r="H1503" s="230"/>
      <c r="I1503" s="230"/>
      <c r="J1503" s="230"/>
      <c r="K1503" s="230"/>
      <c r="L1503" s="230"/>
      <c r="M1503" s="230"/>
      <c r="N1503" s="230"/>
      <c r="O1503" s="230"/>
      <c r="P1503" s="230"/>
      <c r="Q1503" s="230"/>
      <c r="R1503" s="230"/>
      <c r="S1503" s="239"/>
      <c r="T1503" s="230"/>
      <c r="U1503" s="230"/>
      <c r="V1503" s="230"/>
      <c r="W1503" s="230"/>
      <c r="X1503" s="239"/>
      <c r="Y1503" s="239"/>
      <c r="Z1503" s="230"/>
      <c r="AA1503" s="230"/>
      <c r="AB1503" s="230"/>
      <c r="AC1503" s="230"/>
      <c r="AD1503" s="239"/>
    </row>
    <row r="1504" spans="1:30" ht="15.75" x14ac:dyDescent="0.25">
      <c r="A1504" s="230"/>
      <c r="B1504" s="234"/>
      <c r="C1504" s="234"/>
      <c r="D1504" s="234"/>
      <c r="E1504" s="230"/>
      <c r="F1504" s="230"/>
      <c r="G1504" s="230"/>
      <c r="H1504" s="230"/>
      <c r="I1504" s="230"/>
      <c r="J1504" s="230"/>
      <c r="K1504" s="230"/>
      <c r="L1504" s="230"/>
      <c r="M1504" s="230"/>
      <c r="N1504" s="230"/>
      <c r="O1504" s="230"/>
      <c r="P1504" s="230"/>
      <c r="Q1504" s="230"/>
      <c r="R1504" s="230"/>
      <c r="S1504" s="239"/>
      <c r="T1504" s="230"/>
      <c r="U1504" s="230"/>
      <c r="V1504" s="230"/>
      <c r="W1504" s="230"/>
      <c r="X1504" s="239"/>
      <c r="Y1504" s="239"/>
      <c r="Z1504" s="230"/>
      <c r="AA1504" s="230"/>
      <c r="AB1504" s="230"/>
      <c r="AC1504" s="230"/>
      <c r="AD1504" s="239"/>
    </row>
    <row r="1505" spans="1:30" ht="15.75" x14ac:dyDescent="0.25">
      <c r="A1505" s="230"/>
      <c r="B1505" s="234"/>
      <c r="C1505" s="234"/>
      <c r="D1505" s="234"/>
      <c r="E1505" s="230"/>
      <c r="F1505" s="230"/>
      <c r="G1505" s="230"/>
      <c r="H1505" s="230"/>
      <c r="I1505" s="230"/>
      <c r="J1505" s="230"/>
      <c r="K1505" s="230"/>
      <c r="L1505" s="230"/>
      <c r="M1505" s="230"/>
      <c r="N1505" s="230"/>
      <c r="O1505" s="230"/>
      <c r="P1505" s="230"/>
      <c r="Q1505" s="230"/>
      <c r="R1505" s="230"/>
      <c r="S1505" s="239"/>
      <c r="T1505" s="230"/>
      <c r="U1505" s="230"/>
      <c r="V1505" s="230"/>
      <c r="W1505" s="230"/>
      <c r="X1505" s="239"/>
      <c r="Y1505" s="239"/>
      <c r="Z1505" s="230"/>
      <c r="AA1505" s="230"/>
      <c r="AB1505" s="230"/>
      <c r="AC1505" s="230"/>
      <c r="AD1505" s="239"/>
    </row>
    <row r="1506" spans="1:30" ht="15.75" x14ac:dyDescent="0.25">
      <c r="A1506" s="230"/>
      <c r="B1506" s="234"/>
      <c r="C1506" s="234"/>
      <c r="D1506" s="234"/>
      <c r="E1506" s="230"/>
      <c r="F1506" s="230"/>
      <c r="G1506" s="230"/>
      <c r="H1506" s="230"/>
      <c r="I1506" s="230"/>
      <c r="J1506" s="230"/>
      <c r="K1506" s="230"/>
      <c r="L1506" s="230"/>
      <c r="M1506" s="230"/>
      <c r="N1506" s="230"/>
      <c r="O1506" s="230"/>
      <c r="P1506" s="230"/>
      <c r="Q1506" s="230"/>
      <c r="R1506" s="230"/>
      <c r="S1506" s="239"/>
      <c r="T1506" s="230"/>
      <c r="U1506" s="230"/>
      <c r="V1506" s="230"/>
      <c r="W1506" s="230"/>
      <c r="X1506" s="239"/>
      <c r="Y1506" s="239"/>
      <c r="Z1506" s="230"/>
      <c r="AA1506" s="230"/>
      <c r="AB1506" s="230"/>
      <c r="AC1506" s="230"/>
      <c r="AD1506" s="239"/>
    </row>
    <row r="1507" spans="1:30" ht="15.75" x14ac:dyDescent="0.25">
      <c r="A1507" s="230"/>
      <c r="B1507" s="234"/>
      <c r="C1507" s="234"/>
      <c r="D1507" s="234"/>
      <c r="E1507" s="230"/>
      <c r="F1507" s="230"/>
      <c r="G1507" s="230"/>
      <c r="H1507" s="230"/>
      <c r="I1507" s="230"/>
      <c r="J1507" s="230"/>
      <c r="K1507" s="230"/>
      <c r="L1507" s="230"/>
      <c r="M1507" s="230"/>
      <c r="N1507" s="230"/>
      <c r="O1507" s="230"/>
      <c r="P1507" s="230"/>
      <c r="Q1507" s="230"/>
      <c r="R1507" s="230"/>
      <c r="S1507" s="239"/>
      <c r="T1507" s="230"/>
      <c r="U1507" s="230"/>
      <c r="V1507" s="230"/>
      <c r="W1507" s="230"/>
      <c r="X1507" s="239"/>
      <c r="Y1507" s="239"/>
      <c r="Z1507" s="230"/>
      <c r="AA1507" s="230"/>
      <c r="AB1507" s="230"/>
      <c r="AC1507" s="230"/>
      <c r="AD1507" s="239"/>
    </row>
    <row r="1508" spans="1:30" ht="15.75" x14ac:dyDescent="0.25">
      <c r="A1508" s="230"/>
      <c r="B1508" s="234"/>
      <c r="C1508" s="234"/>
      <c r="D1508" s="234"/>
      <c r="E1508" s="230"/>
      <c r="F1508" s="230"/>
      <c r="G1508" s="230"/>
      <c r="H1508" s="230"/>
      <c r="I1508" s="230"/>
      <c r="J1508" s="230"/>
      <c r="K1508" s="230"/>
      <c r="L1508" s="230"/>
      <c r="M1508" s="230"/>
      <c r="N1508" s="230"/>
      <c r="O1508" s="230"/>
      <c r="P1508" s="230"/>
      <c r="Q1508" s="230"/>
      <c r="R1508" s="230"/>
      <c r="S1508" s="239"/>
      <c r="T1508" s="230"/>
      <c r="U1508" s="230"/>
      <c r="V1508" s="230"/>
      <c r="W1508" s="230"/>
      <c r="X1508" s="239"/>
      <c r="Y1508" s="239"/>
      <c r="Z1508" s="230"/>
      <c r="AA1508" s="230"/>
      <c r="AB1508" s="230"/>
      <c r="AC1508" s="230"/>
      <c r="AD1508" s="239"/>
    </row>
    <row r="1509" spans="1:30" ht="15.75" x14ac:dyDescent="0.25">
      <c r="A1509" s="230"/>
      <c r="B1509" s="234"/>
      <c r="C1509" s="234"/>
      <c r="D1509" s="234"/>
      <c r="E1509" s="230"/>
      <c r="F1509" s="230"/>
      <c r="G1509" s="230"/>
      <c r="H1509" s="230"/>
      <c r="I1509" s="230"/>
      <c r="J1509" s="230"/>
      <c r="K1509" s="230"/>
      <c r="L1509" s="230"/>
      <c r="M1509" s="230"/>
      <c r="N1509" s="230"/>
      <c r="O1509" s="230"/>
      <c r="P1509" s="230"/>
      <c r="Q1509" s="230"/>
      <c r="R1509" s="230"/>
      <c r="S1509" s="239"/>
      <c r="T1509" s="230"/>
      <c r="U1509" s="230"/>
      <c r="V1509" s="230"/>
      <c r="W1509" s="230"/>
      <c r="X1509" s="239"/>
      <c r="Y1509" s="239"/>
      <c r="Z1509" s="230"/>
      <c r="AA1509" s="230"/>
      <c r="AB1509" s="230"/>
      <c r="AC1509" s="230"/>
      <c r="AD1509" s="239"/>
    </row>
    <row r="1510" spans="1:30" ht="15.75" x14ac:dyDescent="0.25">
      <c r="A1510" s="230"/>
      <c r="B1510" s="234"/>
      <c r="C1510" s="234"/>
      <c r="D1510" s="234"/>
      <c r="E1510" s="230"/>
      <c r="F1510" s="230"/>
      <c r="G1510" s="230"/>
      <c r="H1510" s="230"/>
      <c r="I1510" s="230"/>
      <c r="J1510" s="230"/>
      <c r="K1510" s="230"/>
      <c r="L1510" s="230"/>
      <c r="M1510" s="230"/>
      <c r="N1510" s="230"/>
      <c r="O1510" s="230"/>
      <c r="P1510" s="230"/>
      <c r="Q1510" s="230"/>
      <c r="R1510" s="230"/>
      <c r="S1510" s="239"/>
      <c r="T1510" s="230"/>
      <c r="U1510" s="230"/>
      <c r="V1510" s="230"/>
      <c r="W1510" s="230"/>
      <c r="X1510" s="239"/>
      <c r="Y1510" s="239"/>
      <c r="Z1510" s="230"/>
      <c r="AA1510" s="230"/>
      <c r="AB1510" s="230"/>
      <c r="AC1510" s="230"/>
      <c r="AD1510" s="239"/>
    </row>
    <row r="1511" spans="1:30" ht="15.75" x14ac:dyDescent="0.25">
      <c r="A1511" s="230"/>
      <c r="B1511" s="234"/>
      <c r="C1511" s="234"/>
      <c r="D1511" s="234"/>
      <c r="E1511" s="230"/>
      <c r="F1511" s="230"/>
      <c r="G1511" s="230"/>
      <c r="H1511" s="230"/>
      <c r="I1511" s="230"/>
      <c r="J1511" s="230"/>
      <c r="K1511" s="230"/>
      <c r="L1511" s="230"/>
      <c r="M1511" s="230"/>
      <c r="N1511" s="230"/>
      <c r="O1511" s="230"/>
      <c r="P1511" s="230"/>
      <c r="Q1511" s="230"/>
      <c r="R1511" s="230"/>
      <c r="S1511" s="239"/>
      <c r="T1511" s="230"/>
      <c r="U1511" s="230"/>
      <c r="V1511" s="230"/>
      <c r="W1511" s="230"/>
      <c r="X1511" s="239"/>
      <c r="Y1511" s="239"/>
      <c r="Z1511" s="230"/>
      <c r="AA1511" s="230"/>
      <c r="AB1511" s="230"/>
      <c r="AC1511" s="230"/>
      <c r="AD1511" s="239"/>
    </row>
    <row r="1512" spans="1:30" ht="15.75" x14ac:dyDescent="0.25">
      <c r="A1512" s="230"/>
      <c r="B1512" s="234"/>
      <c r="C1512" s="234"/>
      <c r="D1512" s="234"/>
      <c r="E1512" s="230"/>
      <c r="F1512" s="230"/>
      <c r="G1512" s="230"/>
      <c r="H1512" s="230"/>
      <c r="I1512" s="230"/>
      <c r="J1512" s="230"/>
      <c r="K1512" s="230"/>
      <c r="L1512" s="230"/>
      <c r="M1512" s="230"/>
      <c r="N1512" s="230"/>
      <c r="O1512" s="230"/>
      <c r="P1512" s="230"/>
      <c r="Q1512" s="230"/>
      <c r="R1512" s="230"/>
      <c r="S1512" s="239"/>
      <c r="T1512" s="230"/>
      <c r="U1512" s="230"/>
      <c r="V1512" s="230"/>
      <c r="W1512" s="230"/>
      <c r="X1512" s="239"/>
      <c r="Y1512" s="239"/>
      <c r="Z1512" s="230"/>
      <c r="AA1512" s="230"/>
      <c r="AB1512" s="230"/>
      <c r="AC1512" s="230"/>
      <c r="AD1512" s="239"/>
    </row>
    <row r="1513" spans="1:30" ht="15.75" x14ac:dyDescent="0.25">
      <c r="A1513" s="230"/>
      <c r="B1513" s="234"/>
      <c r="C1513" s="234"/>
      <c r="D1513" s="234"/>
      <c r="E1513" s="230"/>
      <c r="F1513" s="230"/>
      <c r="G1513" s="230"/>
      <c r="H1513" s="230"/>
      <c r="I1513" s="230"/>
      <c r="J1513" s="230"/>
      <c r="K1513" s="230"/>
      <c r="L1513" s="230"/>
      <c r="M1513" s="230"/>
      <c r="N1513" s="230"/>
      <c r="O1513" s="230"/>
      <c r="P1513" s="230"/>
      <c r="Q1513" s="230"/>
      <c r="R1513" s="230"/>
      <c r="S1513" s="239"/>
      <c r="T1513" s="230"/>
      <c r="U1513" s="230"/>
      <c r="V1513" s="230"/>
      <c r="W1513" s="230"/>
      <c r="X1513" s="239"/>
      <c r="Y1513" s="239"/>
      <c r="Z1513" s="230"/>
      <c r="AA1513" s="230"/>
      <c r="AB1513" s="230"/>
      <c r="AC1513" s="230"/>
      <c r="AD1513" s="239"/>
    </row>
    <row r="1514" spans="1:30" ht="15.75" x14ac:dyDescent="0.25">
      <c r="A1514" s="230"/>
      <c r="B1514" s="234"/>
      <c r="C1514" s="234"/>
      <c r="D1514" s="234"/>
      <c r="E1514" s="230"/>
      <c r="F1514" s="230"/>
      <c r="G1514" s="230"/>
      <c r="H1514" s="230"/>
      <c r="I1514" s="230"/>
      <c r="J1514" s="230"/>
      <c r="K1514" s="230"/>
      <c r="L1514" s="230"/>
      <c r="M1514" s="230"/>
      <c r="N1514" s="230"/>
      <c r="O1514" s="230"/>
      <c r="P1514" s="230"/>
      <c r="Q1514" s="230"/>
      <c r="R1514" s="230"/>
      <c r="S1514" s="239"/>
      <c r="T1514" s="230"/>
      <c r="U1514" s="230"/>
      <c r="V1514" s="230"/>
      <c r="W1514" s="230"/>
      <c r="X1514" s="239"/>
      <c r="Y1514" s="239"/>
      <c r="Z1514" s="230"/>
      <c r="AA1514" s="230"/>
      <c r="AB1514" s="230"/>
      <c r="AC1514" s="230"/>
      <c r="AD1514" s="239"/>
    </row>
    <row r="1515" spans="1:30" ht="15.75" x14ac:dyDescent="0.25">
      <c r="A1515" s="230"/>
      <c r="B1515" s="234"/>
      <c r="C1515" s="234"/>
      <c r="D1515" s="234"/>
      <c r="E1515" s="230"/>
      <c r="F1515" s="230"/>
      <c r="G1515" s="230"/>
      <c r="H1515" s="230"/>
      <c r="I1515" s="230"/>
      <c r="J1515" s="230"/>
      <c r="K1515" s="230"/>
      <c r="L1515" s="230"/>
      <c r="M1515" s="230"/>
      <c r="N1515" s="230"/>
      <c r="O1515" s="230"/>
      <c r="P1515" s="230"/>
      <c r="Q1515" s="230"/>
      <c r="R1515" s="230"/>
      <c r="S1515" s="239"/>
      <c r="T1515" s="230"/>
      <c r="U1515" s="230"/>
      <c r="V1515" s="230"/>
      <c r="W1515" s="230"/>
      <c r="X1515" s="239"/>
      <c r="Y1515" s="239"/>
      <c r="Z1515" s="230"/>
      <c r="AA1515" s="230"/>
      <c r="AB1515" s="230"/>
      <c r="AC1515" s="230"/>
      <c r="AD1515" s="239"/>
    </row>
    <row r="1516" spans="1:30" ht="15.75" x14ac:dyDescent="0.25">
      <c r="A1516" s="230"/>
      <c r="B1516" s="234"/>
      <c r="C1516" s="234"/>
      <c r="D1516" s="234"/>
      <c r="E1516" s="230"/>
      <c r="F1516" s="230"/>
      <c r="G1516" s="230"/>
      <c r="H1516" s="230"/>
      <c r="I1516" s="230"/>
      <c r="J1516" s="230"/>
      <c r="K1516" s="230"/>
      <c r="L1516" s="230"/>
      <c r="M1516" s="230"/>
      <c r="N1516" s="230"/>
      <c r="O1516" s="230"/>
      <c r="P1516" s="230"/>
      <c r="Q1516" s="230"/>
      <c r="R1516" s="230"/>
      <c r="S1516" s="239"/>
      <c r="T1516" s="230"/>
      <c r="U1516" s="230"/>
      <c r="V1516" s="230"/>
      <c r="W1516" s="230"/>
      <c r="X1516" s="239"/>
      <c r="Y1516" s="239"/>
      <c r="Z1516" s="230"/>
      <c r="AA1516" s="230"/>
      <c r="AB1516" s="230"/>
      <c r="AC1516" s="230"/>
      <c r="AD1516" s="239"/>
    </row>
    <row r="1517" spans="1:30" ht="15.75" x14ac:dyDescent="0.25">
      <c r="A1517" s="230"/>
      <c r="B1517" s="234"/>
      <c r="C1517" s="234"/>
      <c r="D1517" s="234"/>
      <c r="E1517" s="230"/>
      <c r="F1517" s="230"/>
      <c r="G1517" s="230"/>
      <c r="H1517" s="230"/>
      <c r="I1517" s="230"/>
      <c r="J1517" s="230"/>
      <c r="K1517" s="230"/>
      <c r="L1517" s="230"/>
      <c r="M1517" s="230"/>
      <c r="N1517" s="230"/>
      <c r="O1517" s="230"/>
      <c r="P1517" s="230"/>
      <c r="Q1517" s="230"/>
      <c r="R1517" s="230"/>
      <c r="S1517" s="239"/>
      <c r="T1517" s="230"/>
      <c r="U1517" s="230"/>
      <c r="V1517" s="230"/>
      <c r="W1517" s="230"/>
      <c r="X1517" s="239"/>
      <c r="Y1517" s="239"/>
      <c r="Z1517" s="230"/>
      <c r="AA1517" s="230"/>
      <c r="AB1517" s="230"/>
      <c r="AC1517" s="230"/>
      <c r="AD1517" s="239"/>
    </row>
    <row r="1518" spans="1:30" ht="15.75" x14ac:dyDescent="0.25">
      <c r="A1518" s="230"/>
      <c r="B1518" s="234"/>
      <c r="C1518" s="234"/>
      <c r="D1518" s="234"/>
      <c r="E1518" s="230"/>
      <c r="F1518" s="230"/>
      <c r="G1518" s="230"/>
      <c r="H1518" s="230"/>
      <c r="I1518" s="230"/>
      <c r="J1518" s="230"/>
      <c r="K1518" s="230"/>
      <c r="L1518" s="230"/>
      <c r="M1518" s="230"/>
      <c r="N1518" s="230"/>
      <c r="O1518" s="230"/>
      <c r="P1518" s="230"/>
      <c r="Q1518" s="230"/>
      <c r="R1518" s="230"/>
      <c r="S1518" s="239"/>
      <c r="T1518" s="230"/>
      <c r="U1518" s="230"/>
      <c r="V1518" s="230"/>
      <c r="W1518" s="230"/>
      <c r="X1518" s="239"/>
      <c r="Y1518" s="239"/>
      <c r="Z1518" s="230"/>
      <c r="AA1518" s="230"/>
      <c r="AB1518" s="230"/>
      <c r="AC1518" s="230"/>
      <c r="AD1518" s="239"/>
    </row>
    <row r="1519" spans="1:30" ht="15.75" x14ac:dyDescent="0.25">
      <c r="A1519" s="230"/>
      <c r="B1519" s="234"/>
      <c r="C1519" s="234"/>
      <c r="D1519" s="234"/>
      <c r="E1519" s="230"/>
      <c r="F1519" s="230"/>
      <c r="G1519" s="230"/>
      <c r="H1519" s="230"/>
      <c r="I1519" s="230"/>
      <c r="J1519" s="230"/>
      <c r="K1519" s="230"/>
      <c r="L1519" s="230"/>
      <c r="M1519" s="230"/>
      <c r="N1519" s="230"/>
      <c r="O1519" s="230"/>
      <c r="P1519" s="230"/>
      <c r="Q1519" s="230"/>
      <c r="R1519" s="230"/>
      <c r="S1519" s="239"/>
      <c r="T1519" s="230"/>
      <c r="U1519" s="230"/>
      <c r="V1519" s="230"/>
      <c r="W1519" s="230"/>
      <c r="X1519" s="239"/>
      <c r="Y1519" s="239"/>
      <c r="Z1519" s="230"/>
      <c r="AA1519" s="230"/>
      <c r="AB1519" s="230"/>
      <c r="AC1519" s="230"/>
      <c r="AD1519" s="239"/>
    </row>
    <row r="1520" spans="1:30" ht="15.75" x14ac:dyDescent="0.25">
      <c r="A1520" s="230"/>
      <c r="B1520" s="234"/>
      <c r="C1520" s="234"/>
      <c r="D1520" s="234"/>
      <c r="E1520" s="230"/>
      <c r="F1520" s="230"/>
      <c r="G1520" s="230"/>
      <c r="H1520" s="230"/>
      <c r="I1520" s="230"/>
      <c r="J1520" s="230"/>
      <c r="K1520" s="230"/>
      <c r="L1520" s="230"/>
      <c r="M1520" s="230"/>
      <c r="N1520" s="230"/>
      <c r="O1520" s="230"/>
      <c r="P1520" s="230"/>
      <c r="Q1520" s="230"/>
      <c r="R1520" s="230"/>
      <c r="S1520" s="239"/>
      <c r="T1520" s="230"/>
      <c r="U1520" s="230"/>
      <c r="V1520" s="230"/>
      <c r="W1520" s="230"/>
      <c r="X1520" s="239"/>
      <c r="Y1520" s="239"/>
      <c r="Z1520" s="230"/>
      <c r="AA1520" s="230"/>
      <c r="AB1520" s="230"/>
      <c r="AC1520" s="230"/>
      <c r="AD1520" s="239"/>
    </row>
    <row r="1521" spans="1:30" ht="15.75" x14ac:dyDescent="0.25">
      <c r="A1521" s="230"/>
      <c r="B1521" s="234"/>
      <c r="C1521" s="234"/>
      <c r="D1521" s="234"/>
      <c r="E1521" s="230"/>
      <c r="F1521" s="230"/>
      <c r="G1521" s="230"/>
      <c r="H1521" s="230"/>
      <c r="I1521" s="230"/>
      <c r="J1521" s="230"/>
      <c r="K1521" s="230"/>
      <c r="L1521" s="230"/>
      <c r="M1521" s="230"/>
      <c r="N1521" s="230"/>
      <c r="O1521" s="230"/>
      <c r="P1521" s="230"/>
      <c r="Q1521" s="230"/>
      <c r="R1521" s="230"/>
      <c r="S1521" s="239"/>
      <c r="T1521" s="230"/>
      <c r="U1521" s="230"/>
      <c r="V1521" s="230"/>
      <c r="W1521" s="230"/>
      <c r="X1521" s="239"/>
      <c r="Y1521" s="239"/>
      <c r="Z1521" s="230"/>
      <c r="AA1521" s="230"/>
      <c r="AB1521" s="230"/>
      <c r="AC1521" s="230"/>
      <c r="AD1521" s="239"/>
    </row>
    <row r="1522" spans="1:30" ht="15.75" x14ac:dyDescent="0.25">
      <c r="A1522" s="230"/>
      <c r="B1522" s="234"/>
      <c r="C1522" s="234"/>
      <c r="D1522" s="234"/>
      <c r="E1522" s="230"/>
      <c r="F1522" s="230"/>
      <c r="G1522" s="230"/>
      <c r="H1522" s="230"/>
      <c r="I1522" s="230"/>
      <c r="J1522" s="230"/>
      <c r="K1522" s="230"/>
      <c r="L1522" s="230"/>
      <c r="M1522" s="230"/>
      <c r="N1522" s="230"/>
      <c r="O1522" s="230"/>
      <c r="P1522" s="230"/>
      <c r="Q1522" s="230"/>
      <c r="R1522" s="230"/>
      <c r="S1522" s="239"/>
      <c r="T1522" s="230"/>
      <c r="U1522" s="230"/>
      <c r="V1522" s="230"/>
      <c r="W1522" s="230"/>
      <c r="X1522" s="239"/>
      <c r="Y1522" s="239"/>
      <c r="Z1522" s="230"/>
      <c r="AA1522" s="230"/>
      <c r="AB1522" s="230"/>
      <c r="AC1522" s="230"/>
      <c r="AD1522" s="239"/>
    </row>
    <row r="1523" spans="1:30" ht="15.75" x14ac:dyDescent="0.25">
      <c r="A1523" s="230"/>
      <c r="B1523" s="234"/>
      <c r="C1523" s="234"/>
      <c r="D1523" s="234"/>
      <c r="E1523" s="230"/>
      <c r="F1523" s="230"/>
      <c r="G1523" s="230"/>
      <c r="H1523" s="230"/>
      <c r="I1523" s="230"/>
      <c r="J1523" s="230"/>
      <c r="K1523" s="230"/>
      <c r="L1523" s="230"/>
      <c r="M1523" s="230"/>
      <c r="N1523" s="230"/>
      <c r="O1523" s="230"/>
      <c r="P1523" s="230"/>
      <c r="Q1523" s="230"/>
      <c r="R1523" s="230"/>
      <c r="S1523" s="239"/>
      <c r="T1523" s="230"/>
      <c r="U1523" s="230"/>
      <c r="V1523" s="230"/>
      <c r="W1523" s="230"/>
      <c r="X1523" s="239"/>
      <c r="Y1523" s="239"/>
      <c r="Z1523" s="230"/>
      <c r="AA1523" s="230"/>
      <c r="AB1523" s="230"/>
      <c r="AC1523" s="230"/>
      <c r="AD1523" s="239"/>
    </row>
    <row r="1524" spans="1:30" ht="15.75" x14ac:dyDescent="0.25">
      <c r="A1524" s="230"/>
      <c r="B1524" s="234"/>
      <c r="C1524" s="234"/>
      <c r="D1524" s="234"/>
      <c r="E1524" s="230"/>
      <c r="F1524" s="230"/>
      <c r="G1524" s="230"/>
      <c r="H1524" s="230"/>
      <c r="I1524" s="230"/>
      <c r="J1524" s="230"/>
      <c r="K1524" s="230"/>
      <c r="L1524" s="230"/>
      <c r="M1524" s="230"/>
      <c r="N1524" s="230"/>
      <c r="O1524" s="230"/>
      <c r="P1524" s="230"/>
      <c r="Q1524" s="230"/>
      <c r="R1524" s="230"/>
      <c r="S1524" s="239"/>
      <c r="T1524" s="230"/>
      <c r="U1524" s="230"/>
      <c r="V1524" s="230"/>
      <c r="W1524" s="230"/>
      <c r="X1524" s="239"/>
      <c r="Y1524" s="239"/>
      <c r="Z1524" s="230"/>
      <c r="AA1524" s="230"/>
      <c r="AB1524" s="230"/>
      <c r="AC1524" s="230"/>
      <c r="AD1524" s="230"/>
    </row>
    <row r="1525" spans="1:30" ht="15.75" x14ac:dyDescent="0.25">
      <c r="A1525" s="230"/>
      <c r="B1525" s="234"/>
      <c r="C1525" s="234"/>
      <c r="D1525" s="234"/>
      <c r="E1525" s="230"/>
      <c r="F1525" s="230"/>
      <c r="G1525" s="230"/>
      <c r="H1525" s="230"/>
      <c r="I1525" s="230"/>
      <c r="J1525" s="230"/>
      <c r="K1525" s="230"/>
      <c r="L1525" s="230"/>
      <c r="M1525" s="230"/>
      <c r="N1525" s="230"/>
      <c r="O1525" s="230"/>
      <c r="P1525" s="230"/>
      <c r="Q1525" s="230"/>
      <c r="R1525" s="230"/>
      <c r="S1525" s="239"/>
      <c r="T1525" s="230"/>
      <c r="U1525" s="230"/>
      <c r="V1525" s="230"/>
      <c r="W1525" s="230"/>
      <c r="X1525" s="239"/>
      <c r="Y1525" s="239"/>
      <c r="Z1525" s="230"/>
      <c r="AA1525" s="230"/>
      <c r="AB1525" s="230"/>
      <c r="AC1525" s="230"/>
      <c r="AD1525" s="230"/>
    </row>
    <row r="1526" spans="1:30" ht="15.75" x14ac:dyDescent="0.25">
      <c r="A1526" s="230"/>
      <c r="B1526" s="234"/>
      <c r="C1526" s="234"/>
      <c r="D1526" s="234"/>
      <c r="E1526" s="230"/>
      <c r="F1526" s="230"/>
      <c r="G1526" s="230"/>
      <c r="H1526" s="230"/>
      <c r="I1526" s="230"/>
      <c r="J1526" s="230"/>
      <c r="K1526" s="230"/>
      <c r="L1526" s="230"/>
      <c r="M1526" s="230"/>
      <c r="N1526" s="230"/>
      <c r="O1526" s="230"/>
      <c r="P1526" s="230"/>
      <c r="Q1526" s="230"/>
      <c r="R1526" s="230"/>
      <c r="S1526" s="239"/>
      <c r="T1526" s="230"/>
      <c r="U1526" s="230"/>
      <c r="V1526" s="230"/>
      <c r="W1526" s="230"/>
      <c r="X1526" s="239"/>
      <c r="Y1526" s="239"/>
      <c r="Z1526" s="230"/>
      <c r="AA1526" s="230"/>
      <c r="AB1526" s="230"/>
      <c r="AC1526" s="230"/>
      <c r="AD1526" s="230"/>
    </row>
    <row r="1527" spans="1:30" ht="15.75" x14ac:dyDescent="0.25">
      <c r="A1527" s="230"/>
      <c r="B1527" s="234"/>
      <c r="C1527" s="234"/>
      <c r="D1527" s="234"/>
      <c r="E1527" s="230"/>
      <c r="F1527" s="230"/>
      <c r="G1527" s="230"/>
      <c r="H1527" s="230"/>
      <c r="I1527" s="230"/>
      <c r="J1527" s="230"/>
      <c r="K1527" s="230"/>
      <c r="L1527" s="230"/>
      <c r="M1527" s="230"/>
      <c r="N1527" s="230"/>
      <c r="O1527" s="230"/>
      <c r="P1527" s="230"/>
      <c r="Q1527" s="230"/>
      <c r="R1527" s="230"/>
      <c r="S1527" s="239"/>
      <c r="T1527" s="230"/>
      <c r="U1527" s="230"/>
      <c r="V1527" s="230"/>
      <c r="W1527" s="230"/>
      <c r="X1527" s="239"/>
      <c r="Y1527" s="239"/>
      <c r="Z1527" s="230"/>
      <c r="AA1527" s="230"/>
      <c r="AB1527" s="230"/>
      <c r="AC1527" s="230"/>
      <c r="AD1527" s="230"/>
    </row>
    <row r="1528" spans="1:30" ht="15.75" x14ac:dyDescent="0.25">
      <c r="A1528" s="230"/>
      <c r="B1528" s="234"/>
      <c r="C1528" s="234"/>
      <c r="D1528" s="234"/>
      <c r="E1528" s="230"/>
      <c r="F1528" s="230"/>
      <c r="G1528" s="230"/>
      <c r="H1528" s="230"/>
      <c r="I1528" s="230"/>
      <c r="J1528" s="230"/>
      <c r="K1528" s="230"/>
      <c r="L1528" s="230"/>
      <c r="M1528" s="230"/>
      <c r="N1528" s="230"/>
      <c r="O1528" s="230"/>
      <c r="P1528" s="230"/>
      <c r="Q1528" s="230"/>
      <c r="R1528" s="230"/>
      <c r="S1528" s="239"/>
      <c r="T1528" s="230"/>
      <c r="U1528" s="230"/>
      <c r="V1528" s="230"/>
      <c r="W1528" s="230"/>
      <c r="X1528" s="239"/>
      <c r="Y1528" s="239"/>
      <c r="Z1528" s="230"/>
      <c r="AA1528" s="230"/>
      <c r="AB1528" s="230"/>
      <c r="AC1528" s="230"/>
      <c r="AD1528" s="230"/>
    </row>
    <row r="1529" spans="1:30" ht="15.75" x14ac:dyDescent="0.25">
      <c r="A1529" s="230"/>
      <c r="B1529" s="234"/>
      <c r="C1529" s="234"/>
      <c r="D1529" s="234"/>
      <c r="E1529" s="230"/>
      <c r="F1529" s="230"/>
      <c r="G1529" s="230"/>
      <c r="H1529" s="230"/>
      <c r="I1529" s="230"/>
      <c r="J1529" s="230"/>
      <c r="K1529" s="230"/>
      <c r="L1529" s="230"/>
      <c r="M1529" s="230"/>
      <c r="N1529" s="230"/>
      <c r="O1529" s="230"/>
      <c r="P1529" s="230"/>
      <c r="Q1529" s="230"/>
      <c r="R1529" s="230"/>
      <c r="S1529" s="239"/>
      <c r="T1529" s="230"/>
      <c r="U1529" s="230"/>
      <c r="V1529" s="230"/>
      <c r="W1529" s="230"/>
      <c r="X1529" s="239"/>
      <c r="Y1529" s="239"/>
      <c r="Z1529" s="230"/>
      <c r="AA1529" s="230"/>
      <c r="AB1529" s="230"/>
      <c r="AC1529" s="230"/>
      <c r="AD1529" s="230"/>
    </row>
    <row r="1530" spans="1:30" ht="15.75" x14ac:dyDescent="0.25">
      <c r="A1530" s="230"/>
      <c r="B1530" s="234"/>
      <c r="C1530" s="234"/>
      <c r="D1530" s="234"/>
      <c r="E1530" s="230"/>
      <c r="F1530" s="230"/>
      <c r="G1530" s="230"/>
      <c r="H1530" s="230"/>
      <c r="I1530" s="230"/>
      <c r="J1530" s="230"/>
      <c r="K1530" s="230"/>
      <c r="L1530" s="230"/>
      <c r="M1530" s="230"/>
      <c r="N1530" s="230"/>
      <c r="O1530" s="230"/>
      <c r="P1530" s="230"/>
      <c r="Q1530" s="230"/>
      <c r="R1530" s="230"/>
      <c r="S1530" s="239"/>
      <c r="T1530" s="230"/>
      <c r="U1530" s="230"/>
      <c r="V1530" s="230"/>
      <c r="W1530" s="230"/>
      <c r="X1530" s="239"/>
      <c r="Y1530" s="239"/>
      <c r="Z1530" s="230"/>
      <c r="AA1530" s="230"/>
      <c r="AB1530" s="230"/>
      <c r="AC1530" s="230"/>
      <c r="AD1530" s="230"/>
    </row>
    <row r="1531" spans="1:30" ht="15.75" x14ac:dyDescent="0.25">
      <c r="A1531" s="230"/>
      <c r="B1531" s="234"/>
      <c r="C1531" s="234"/>
      <c r="D1531" s="234"/>
      <c r="E1531" s="230"/>
      <c r="F1531" s="230"/>
      <c r="G1531" s="230"/>
      <c r="H1531" s="230"/>
      <c r="I1531" s="230"/>
      <c r="J1531" s="230"/>
      <c r="K1531" s="230"/>
      <c r="L1531" s="230"/>
      <c r="M1531" s="230"/>
      <c r="N1531" s="230"/>
      <c r="O1531" s="230"/>
      <c r="P1531" s="230"/>
      <c r="Q1531" s="230"/>
      <c r="R1531" s="230"/>
      <c r="S1531" s="239"/>
      <c r="T1531" s="230"/>
      <c r="U1531" s="230"/>
      <c r="V1531" s="230"/>
      <c r="W1531" s="230"/>
      <c r="X1531" s="239"/>
      <c r="Y1531" s="239"/>
      <c r="Z1531" s="230"/>
      <c r="AA1531" s="230"/>
      <c r="AB1531" s="230"/>
      <c r="AC1531" s="230"/>
      <c r="AD1531" s="230"/>
    </row>
    <row r="1532" spans="1:30" ht="15.75" x14ac:dyDescent="0.25">
      <c r="A1532" s="230"/>
      <c r="B1532" s="234"/>
      <c r="C1532" s="234"/>
      <c r="D1532" s="234"/>
      <c r="E1532" s="230"/>
      <c r="F1532" s="230"/>
      <c r="G1532" s="230"/>
      <c r="H1532" s="230"/>
      <c r="I1532" s="230"/>
      <c r="J1532" s="230"/>
      <c r="K1532" s="230"/>
      <c r="L1532" s="230"/>
      <c r="M1532" s="230"/>
      <c r="N1532" s="230"/>
      <c r="O1532" s="230"/>
      <c r="P1532" s="230"/>
      <c r="Q1532" s="230"/>
      <c r="R1532" s="230"/>
      <c r="S1532" s="239"/>
      <c r="T1532" s="230"/>
      <c r="U1532" s="230"/>
      <c r="V1532" s="230"/>
      <c r="W1532" s="230"/>
      <c r="X1532" s="239"/>
      <c r="Y1532" s="239"/>
      <c r="Z1532" s="230"/>
      <c r="AA1532" s="230"/>
      <c r="AB1532" s="230"/>
      <c r="AC1532" s="230"/>
      <c r="AD1532" s="230"/>
    </row>
    <row r="1533" spans="1:30" ht="15.75" x14ac:dyDescent="0.25">
      <c r="A1533" s="230"/>
      <c r="B1533" s="234"/>
      <c r="C1533" s="234"/>
      <c r="D1533" s="234"/>
      <c r="E1533" s="230"/>
      <c r="F1533" s="230"/>
      <c r="G1533" s="230"/>
      <c r="H1533" s="230"/>
      <c r="I1533" s="230"/>
      <c r="J1533" s="230"/>
      <c r="K1533" s="230"/>
      <c r="L1533" s="230"/>
      <c r="M1533" s="230"/>
      <c r="N1533" s="230"/>
      <c r="O1533" s="230"/>
      <c r="P1533" s="230"/>
      <c r="Q1533" s="230"/>
      <c r="R1533" s="230"/>
      <c r="S1533" s="239"/>
      <c r="T1533" s="230"/>
      <c r="U1533" s="230"/>
      <c r="V1533" s="230"/>
      <c r="W1533" s="230"/>
      <c r="X1533" s="239"/>
      <c r="Y1533" s="239"/>
      <c r="Z1533" s="230"/>
      <c r="AA1533" s="230"/>
      <c r="AB1533" s="230"/>
      <c r="AC1533" s="230"/>
      <c r="AD1533" s="230"/>
    </row>
    <row r="1534" spans="1:30" ht="15.75" x14ac:dyDescent="0.25">
      <c r="A1534" s="230"/>
      <c r="B1534" s="234"/>
      <c r="C1534" s="234"/>
      <c r="D1534" s="234"/>
      <c r="E1534" s="230"/>
      <c r="F1534" s="230"/>
      <c r="G1534" s="230"/>
      <c r="H1534" s="230"/>
      <c r="I1534" s="230"/>
      <c r="J1534" s="230"/>
      <c r="K1534" s="230"/>
      <c r="L1534" s="230"/>
      <c r="M1534" s="230"/>
      <c r="N1534" s="230"/>
      <c r="O1534" s="230"/>
      <c r="P1534" s="230"/>
      <c r="Q1534" s="230"/>
      <c r="R1534" s="230"/>
      <c r="S1534" s="239"/>
      <c r="T1534" s="230"/>
      <c r="U1534" s="230"/>
      <c r="V1534" s="230"/>
      <c r="W1534" s="230"/>
      <c r="X1534" s="239"/>
      <c r="Y1534" s="239"/>
      <c r="Z1534" s="230"/>
      <c r="AA1534" s="230"/>
      <c r="AB1534" s="230"/>
      <c r="AC1534" s="230"/>
      <c r="AD1534" s="230"/>
    </row>
    <row r="1535" spans="1:30" ht="15.75" x14ac:dyDescent="0.25">
      <c r="A1535" s="230"/>
      <c r="B1535" s="234"/>
      <c r="C1535" s="234"/>
      <c r="D1535" s="234"/>
      <c r="E1535" s="230"/>
      <c r="F1535" s="230"/>
      <c r="G1535" s="230"/>
      <c r="H1535" s="230"/>
      <c r="I1535" s="230"/>
      <c r="J1535" s="230"/>
      <c r="K1535" s="230"/>
      <c r="L1535" s="230"/>
      <c r="M1535" s="230"/>
      <c r="N1535" s="230"/>
      <c r="O1535" s="230"/>
      <c r="P1535" s="230"/>
      <c r="Q1535" s="230"/>
      <c r="R1535" s="230"/>
      <c r="S1535" s="239"/>
      <c r="T1535" s="230"/>
      <c r="U1535" s="230"/>
      <c r="V1535" s="230"/>
      <c r="W1535" s="230"/>
      <c r="X1535" s="239"/>
      <c r="Y1535" s="239"/>
      <c r="Z1535" s="230"/>
      <c r="AA1535" s="230"/>
      <c r="AB1535" s="230"/>
      <c r="AC1535" s="230"/>
      <c r="AD1535" s="230"/>
    </row>
    <row r="1536" spans="1:30" ht="15.75" x14ac:dyDescent="0.25">
      <c r="A1536" s="230"/>
      <c r="B1536" s="234"/>
      <c r="C1536" s="234"/>
      <c r="D1536" s="234"/>
      <c r="E1536" s="230"/>
      <c r="F1536" s="230"/>
      <c r="G1536" s="230"/>
      <c r="H1536" s="230"/>
      <c r="I1536" s="230"/>
      <c r="J1536" s="230"/>
      <c r="K1536" s="230"/>
      <c r="L1536" s="230"/>
      <c r="M1536" s="230"/>
      <c r="N1536" s="230"/>
      <c r="O1536" s="230"/>
      <c r="P1536" s="230"/>
      <c r="Q1536" s="230"/>
      <c r="R1536" s="230"/>
      <c r="S1536" s="239"/>
      <c r="T1536" s="230"/>
      <c r="U1536" s="230"/>
      <c r="V1536" s="230"/>
      <c r="W1536" s="230"/>
      <c r="X1536" s="239"/>
      <c r="Y1536" s="239"/>
      <c r="Z1536" s="230"/>
      <c r="AA1536" s="230"/>
      <c r="AB1536" s="230"/>
      <c r="AC1536" s="230"/>
      <c r="AD1536" s="230"/>
    </row>
    <row r="1537" spans="1:30" ht="15.75" x14ac:dyDescent="0.25">
      <c r="A1537" s="230"/>
      <c r="B1537" s="234"/>
      <c r="C1537" s="234"/>
      <c r="D1537" s="234"/>
      <c r="E1537" s="230"/>
      <c r="F1537" s="230"/>
      <c r="G1537" s="230"/>
      <c r="H1537" s="230"/>
      <c r="I1537" s="230"/>
      <c r="J1537" s="230"/>
      <c r="K1537" s="230"/>
      <c r="L1537" s="230"/>
      <c r="M1537" s="230"/>
      <c r="N1537" s="230"/>
      <c r="O1537" s="230"/>
      <c r="P1537" s="230"/>
      <c r="Q1537" s="230"/>
      <c r="R1537" s="230"/>
      <c r="S1537" s="239"/>
      <c r="T1537" s="230"/>
      <c r="U1537" s="230"/>
      <c r="V1537" s="230"/>
      <c r="W1537" s="230"/>
      <c r="X1537" s="239"/>
      <c r="Y1537" s="239"/>
      <c r="Z1537" s="230"/>
      <c r="AA1537" s="230"/>
      <c r="AB1537" s="230"/>
      <c r="AC1537" s="230"/>
      <c r="AD1537" s="230"/>
    </row>
    <row r="1538" spans="1:30" ht="15.75" x14ac:dyDescent="0.25">
      <c r="A1538" s="230"/>
      <c r="B1538" s="234"/>
      <c r="C1538" s="234"/>
      <c r="D1538" s="234"/>
      <c r="E1538" s="230"/>
      <c r="F1538" s="230"/>
      <c r="G1538" s="230"/>
      <c r="H1538" s="230"/>
      <c r="I1538" s="230"/>
      <c r="J1538" s="230"/>
      <c r="K1538" s="230"/>
      <c r="L1538" s="230"/>
      <c r="M1538" s="230"/>
      <c r="N1538" s="230"/>
      <c r="O1538" s="230"/>
      <c r="P1538" s="230"/>
      <c r="Q1538" s="230"/>
      <c r="R1538" s="230"/>
      <c r="S1538" s="239"/>
      <c r="T1538" s="230"/>
      <c r="U1538" s="230"/>
      <c r="V1538" s="230"/>
      <c r="W1538" s="230"/>
      <c r="X1538" s="239"/>
      <c r="Y1538" s="239"/>
      <c r="Z1538" s="230"/>
      <c r="AA1538" s="230"/>
      <c r="AB1538" s="230"/>
      <c r="AC1538" s="230"/>
      <c r="AD1538" s="230"/>
    </row>
    <row r="1539" spans="1:30" ht="15.75" x14ac:dyDescent="0.25">
      <c r="A1539" s="230"/>
      <c r="B1539" s="234"/>
      <c r="C1539" s="234"/>
      <c r="D1539" s="234"/>
      <c r="E1539" s="230"/>
      <c r="F1539" s="230"/>
      <c r="G1539" s="230"/>
      <c r="H1539" s="230"/>
      <c r="I1539" s="230"/>
      <c r="J1539" s="230"/>
      <c r="K1539" s="230"/>
      <c r="L1539" s="230"/>
      <c r="M1539" s="230"/>
      <c r="N1539" s="230"/>
      <c r="O1539" s="230"/>
      <c r="P1539" s="230"/>
      <c r="Q1539" s="230"/>
      <c r="R1539" s="230"/>
      <c r="S1539" s="239"/>
      <c r="T1539" s="230"/>
      <c r="U1539" s="230"/>
      <c r="V1539" s="230"/>
      <c r="W1539" s="230"/>
      <c r="X1539" s="239"/>
      <c r="Y1539" s="239"/>
      <c r="Z1539" s="230"/>
      <c r="AA1539" s="230"/>
      <c r="AB1539" s="230"/>
      <c r="AC1539" s="230"/>
      <c r="AD1539" s="230"/>
    </row>
    <row r="1540" spans="1:30" ht="15.75" x14ac:dyDescent="0.25">
      <c r="A1540" s="230"/>
      <c r="B1540" s="234"/>
      <c r="C1540" s="234"/>
      <c r="D1540" s="234"/>
      <c r="E1540" s="230"/>
      <c r="F1540" s="230"/>
      <c r="G1540" s="230"/>
      <c r="H1540" s="230"/>
      <c r="I1540" s="230"/>
      <c r="J1540" s="230"/>
      <c r="K1540" s="230"/>
      <c r="L1540" s="230"/>
      <c r="M1540" s="230"/>
      <c r="N1540" s="230"/>
      <c r="O1540" s="230"/>
      <c r="P1540" s="230"/>
      <c r="Q1540" s="230"/>
      <c r="R1540" s="230"/>
      <c r="S1540" s="239"/>
      <c r="T1540" s="230"/>
      <c r="U1540" s="230"/>
      <c r="V1540" s="230"/>
      <c r="W1540" s="230"/>
      <c r="X1540" s="239"/>
      <c r="Y1540" s="239"/>
      <c r="Z1540" s="230"/>
      <c r="AA1540" s="230"/>
      <c r="AB1540" s="230"/>
      <c r="AC1540" s="230"/>
      <c r="AD1540" s="230"/>
    </row>
    <row r="1541" spans="1:30" ht="15.75" x14ac:dyDescent="0.25">
      <c r="A1541" s="230"/>
      <c r="B1541" s="234"/>
      <c r="C1541" s="234"/>
      <c r="D1541" s="234"/>
      <c r="E1541" s="230"/>
      <c r="F1541" s="230"/>
      <c r="G1541" s="230"/>
      <c r="H1541" s="230"/>
      <c r="I1541" s="230"/>
      <c r="J1541" s="230"/>
      <c r="K1541" s="230"/>
      <c r="L1541" s="230"/>
      <c r="M1541" s="230"/>
      <c r="N1541" s="230"/>
      <c r="O1541" s="230"/>
      <c r="P1541" s="230"/>
      <c r="Q1541" s="230"/>
      <c r="R1541" s="230"/>
      <c r="S1541" s="239"/>
      <c r="T1541" s="230"/>
      <c r="U1541" s="230"/>
      <c r="V1541" s="230"/>
      <c r="W1541" s="230"/>
      <c r="X1541" s="239"/>
      <c r="Y1541" s="239"/>
      <c r="Z1541" s="230"/>
      <c r="AA1541" s="230"/>
      <c r="AB1541" s="230"/>
      <c r="AC1541" s="230"/>
      <c r="AD1541" s="230"/>
    </row>
    <row r="1542" spans="1:30" ht="15.75" x14ac:dyDescent="0.25">
      <c r="A1542" s="230"/>
      <c r="B1542" s="234"/>
      <c r="C1542" s="234"/>
      <c r="D1542" s="234"/>
      <c r="E1542" s="230"/>
      <c r="F1542" s="230"/>
      <c r="G1542" s="230"/>
      <c r="H1542" s="230"/>
      <c r="I1542" s="230"/>
      <c r="J1542" s="230"/>
      <c r="K1542" s="230"/>
      <c r="L1542" s="230"/>
      <c r="M1542" s="230"/>
      <c r="N1542" s="230"/>
      <c r="O1542" s="230"/>
      <c r="P1542" s="230"/>
      <c r="Q1542" s="230"/>
      <c r="R1542" s="230"/>
      <c r="S1542" s="239"/>
      <c r="T1542" s="230"/>
      <c r="U1542" s="230"/>
      <c r="V1542" s="230"/>
      <c r="W1542" s="230"/>
      <c r="X1542" s="239"/>
      <c r="Y1542" s="239"/>
      <c r="Z1542" s="230"/>
      <c r="AA1542" s="230"/>
      <c r="AB1542" s="230"/>
      <c r="AC1542" s="230"/>
      <c r="AD1542" s="230"/>
    </row>
    <row r="1543" spans="1:30" ht="15.75" x14ac:dyDescent="0.25">
      <c r="A1543" s="230"/>
      <c r="B1543" s="234"/>
      <c r="C1543" s="234"/>
      <c r="D1543" s="234"/>
      <c r="E1543" s="230"/>
      <c r="F1543" s="230"/>
      <c r="G1543" s="230"/>
      <c r="H1543" s="230"/>
      <c r="I1543" s="230"/>
      <c r="J1543" s="230"/>
      <c r="K1543" s="230"/>
      <c r="L1543" s="230"/>
      <c r="M1543" s="230"/>
      <c r="N1543" s="230"/>
      <c r="O1543" s="230"/>
      <c r="P1543" s="230"/>
      <c r="Q1543" s="230"/>
      <c r="R1543" s="230"/>
      <c r="S1543" s="239"/>
      <c r="T1543" s="230"/>
      <c r="U1543" s="230"/>
      <c r="V1543" s="230"/>
      <c r="W1543" s="230"/>
      <c r="X1543" s="239"/>
      <c r="Y1543" s="239"/>
      <c r="Z1543" s="230"/>
      <c r="AA1543" s="230"/>
      <c r="AB1543" s="230"/>
      <c r="AC1543" s="230"/>
      <c r="AD1543" s="230"/>
    </row>
    <row r="1544" spans="1:30" ht="15.75" x14ac:dyDescent="0.25">
      <c r="A1544" s="230"/>
      <c r="B1544" s="234"/>
      <c r="C1544" s="234"/>
      <c r="D1544" s="234"/>
      <c r="E1544" s="230"/>
      <c r="F1544" s="230"/>
      <c r="G1544" s="230"/>
      <c r="H1544" s="230"/>
      <c r="I1544" s="230"/>
      <c r="J1544" s="230"/>
      <c r="K1544" s="230"/>
      <c r="L1544" s="230"/>
      <c r="M1544" s="230"/>
      <c r="N1544" s="230"/>
      <c r="O1544" s="230"/>
      <c r="P1544" s="230"/>
      <c r="Q1544" s="230"/>
      <c r="R1544" s="230"/>
      <c r="S1544" s="239"/>
      <c r="T1544" s="230"/>
      <c r="U1544" s="230"/>
      <c r="V1544" s="230"/>
      <c r="W1544" s="230"/>
      <c r="X1544" s="239"/>
      <c r="Y1544" s="239"/>
      <c r="Z1544" s="230"/>
      <c r="AA1544" s="230"/>
      <c r="AB1544" s="230"/>
      <c r="AC1544" s="230"/>
      <c r="AD1544" s="230"/>
    </row>
    <row r="1545" spans="1:30" ht="15.75" x14ac:dyDescent="0.25">
      <c r="A1545" s="230"/>
      <c r="B1545" s="234"/>
      <c r="C1545" s="234"/>
      <c r="D1545" s="234"/>
      <c r="E1545" s="230"/>
      <c r="F1545" s="230"/>
      <c r="G1545" s="230"/>
      <c r="H1545" s="230"/>
      <c r="I1545" s="230"/>
      <c r="J1545" s="230"/>
      <c r="K1545" s="230"/>
      <c r="L1545" s="230"/>
      <c r="M1545" s="230"/>
      <c r="N1545" s="230"/>
      <c r="O1545" s="230"/>
      <c r="P1545" s="230"/>
      <c r="Q1545" s="230"/>
      <c r="R1545" s="230"/>
      <c r="S1545" s="239"/>
      <c r="T1545" s="230"/>
      <c r="U1545" s="230"/>
      <c r="V1545" s="230"/>
      <c r="W1545" s="230"/>
      <c r="X1545" s="239"/>
      <c r="Y1545" s="239"/>
      <c r="Z1545" s="230"/>
      <c r="AA1545" s="230"/>
      <c r="AB1545" s="230"/>
      <c r="AC1545" s="230"/>
      <c r="AD1545" s="230"/>
    </row>
    <row r="1546" spans="1:30" ht="15.75" x14ac:dyDescent="0.25">
      <c r="A1546" s="230"/>
      <c r="B1546" s="234"/>
      <c r="C1546" s="234"/>
      <c r="D1546" s="234"/>
      <c r="E1546" s="230"/>
      <c r="F1546" s="230"/>
      <c r="G1546" s="230"/>
      <c r="H1546" s="230"/>
      <c r="I1546" s="230"/>
      <c r="J1546" s="230"/>
      <c r="K1546" s="230"/>
      <c r="L1546" s="230"/>
      <c r="M1546" s="230"/>
      <c r="N1546" s="230"/>
      <c r="O1546" s="230"/>
      <c r="P1546" s="230"/>
      <c r="Q1546" s="230"/>
      <c r="R1546" s="230"/>
      <c r="S1546" s="239"/>
      <c r="T1546" s="230"/>
      <c r="U1546" s="230"/>
      <c r="V1546" s="230"/>
      <c r="W1546" s="230"/>
      <c r="X1546" s="239"/>
      <c r="Y1546" s="239"/>
      <c r="Z1546" s="230"/>
      <c r="AA1546" s="230"/>
      <c r="AB1546" s="230"/>
      <c r="AC1546" s="230"/>
      <c r="AD1546" s="230"/>
    </row>
    <row r="1547" spans="1:30" ht="15.75" x14ac:dyDescent="0.25">
      <c r="A1547" s="230"/>
      <c r="B1547" s="234"/>
      <c r="C1547" s="234"/>
      <c r="D1547" s="234"/>
      <c r="E1547" s="230"/>
      <c r="F1547" s="230"/>
      <c r="G1547" s="230"/>
      <c r="H1547" s="230"/>
      <c r="I1547" s="230"/>
      <c r="J1547" s="230"/>
      <c r="K1547" s="230"/>
      <c r="L1547" s="230"/>
      <c r="M1547" s="230"/>
      <c r="N1547" s="230"/>
      <c r="O1547" s="230"/>
      <c r="P1547" s="230"/>
      <c r="Q1547" s="230"/>
      <c r="R1547" s="230"/>
      <c r="S1547" s="239"/>
      <c r="T1547" s="230"/>
      <c r="U1547" s="230"/>
      <c r="V1547" s="230"/>
      <c r="W1547" s="230"/>
      <c r="X1547" s="239"/>
      <c r="Y1547" s="239"/>
      <c r="Z1547" s="230"/>
      <c r="AA1547" s="230"/>
      <c r="AB1547" s="230"/>
      <c r="AC1547" s="230"/>
      <c r="AD1547" s="230"/>
    </row>
    <row r="1548" spans="1:30" ht="15.75" x14ac:dyDescent="0.25">
      <c r="A1548" s="230"/>
      <c r="B1548" s="234"/>
      <c r="C1548" s="234"/>
      <c r="D1548" s="234"/>
      <c r="E1548" s="230"/>
      <c r="F1548" s="230"/>
      <c r="G1548" s="230"/>
      <c r="H1548" s="230"/>
      <c r="I1548" s="230"/>
      <c r="J1548" s="230"/>
      <c r="K1548" s="230"/>
      <c r="L1548" s="230"/>
      <c r="M1548" s="230"/>
      <c r="N1548" s="230"/>
      <c r="O1548" s="230"/>
      <c r="P1548" s="230"/>
      <c r="Q1548" s="230"/>
      <c r="R1548" s="230"/>
      <c r="S1548" s="239"/>
      <c r="T1548" s="230"/>
      <c r="U1548" s="230"/>
      <c r="V1548" s="230"/>
      <c r="W1548" s="230"/>
      <c r="X1548" s="239"/>
      <c r="Y1548" s="239"/>
      <c r="Z1548" s="230"/>
      <c r="AA1548" s="230"/>
      <c r="AB1548" s="230"/>
      <c r="AC1548" s="230"/>
      <c r="AD1548" s="230"/>
    </row>
    <row r="1549" spans="1:30" ht="15.75" x14ac:dyDescent="0.25">
      <c r="A1549" s="230"/>
      <c r="B1549" s="234"/>
      <c r="C1549" s="234"/>
      <c r="D1549" s="234"/>
      <c r="E1549" s="230"/>
      <c r="F1549" s="230"/>
      <c r="G1549" s="230"/>
      <c r="H1549" s="230"/>
      <c r="I1549" s="230"/>
      <c r="J1549" s="230"/>
      <c r="K1549" s="230"/>
      <c r="L1549" s="230"/>
      <c r="M1549" s="230"/>
      <c r="N1549" s="230"/>
      <c r="O1549" s="230"/>
      <c r="P1549" s="230"/>
      <c r="Q1549" s="230"/>
      <c r="R1549" s="230"/>
      <c r="S1549" s="239"/>
      <c r="T1549" s="230"/>
      <c r="U1549" s="230"/>
      <c r="V1549" s="230"/>
      <c r="W1549" s="230"/>
      <c r="X1549" s="239"/>
      <c r="Y1549" s="239"/>
      <c r="Z1549" s="230"/>
      <c r="AA1549" s="230"/>
      <c r="AB1549" s="230"/>
      <c r="AC1549" s="230"/>
      <c r="AD1549" s="230"/>
    </row>
    <row r="1550" spans="1:30" ht="15.75" x14ac:dyDescent="0.25">
      <c r="A1550" s="230"/>
      <c r="B1550" s="234"/>
      <c r="C1550" s="234"/>
      <c r="D1550" s="234"/>
      <c r="E1550" s="230"/>
      <c r="F1550" s="230"/>
      <c r="G1550" s="230"/>
      <c r="H1550" s="230"/>
      <c r="I1550" s="230"/>
      <c r="J1550" s="230"/>
      <c r="K1550" s="230"/>
      <c r="L1550" s="230"/>
      <c r="M1550" s="230"/>
      <c r="N1550" s="230"/>
      <c r="O1550" s="230"/>
      <c r="P1550" s="230"/>
      <c r="Q1550" s="230"/>
      <c r="R1550" s="230"/>
      <c r="S1550" s="239"/>
      <c r="T1550" s="230"/>
      <c r="U1550" s="230"/>
      <c r="V1550" s="230"/>
      <c r="W1550" s="230"/>
      <c r="X1550" s="239"/>
      <c r="Y1550" s="239"/>
      <c r="Z1550" s="230"/>
      <c r="AA1550" s="230"/>
      <c r="AB1550" s="230"/>
      <c r="AC1550" s="230"/>
      <c r="AD1550" s="230"/>
    </row>
    <row r="1551" spans="1:30" ht="15.75" x14ac:dyDescent="0.25">
      <c r="A1551" s="230"/>
      <c r="B1551" s="234"/>
      <c r="C1551" s="234"/>
      <c r="D1551" s="234"/>
      <c r="E1551" s="230"/>
      <c r="F1551" s="230"/>
      <c r="G1551" s="230"/>
      <c r="H1551" s="230"/>
      <c r="I1551" s="230"/>
      <c r="J1551" s="230"/>
      <c r="K1551" s="230"/>
      <c r="L1551" s="230"/>
      <c r="M1551" s="230"/>
      <c r="N1551" s="230"/>
      <c r="O1551" s="230"/>
      <c r="P1551" s="230"/>
      <c r="Q1551" s="230"/>
      <c r="R1551" s="230"/>
      <c r="S1551" s="239"/>
      <c r="T1551" s="230"/>
      <c r="U1551" s="230"/>
      <c r="V1551" s="230"/>
      <c r="W1551" s="230"/>
      <c r="X1551" s="239"/>
      <c r="Y1551" s="239"/>
      <c r="Z1551" s="230"/>
      <c r="AA1551" s="230"/>
      <c r="AB1551" s="230"/>
      <c r="AC1551" s="230"/>
      <c r="AD1551" s="230"/>
    </row>
    <row r="1552" spans="1:30" ht="15.75" x14ac:dyDescent="0.25">
      <c r="A1552" s="230"/>
      <c r="B1552" s="234"/>
      <c r="C1552" s="234"/>
      <c r="D1552" s="234"/>
      <c r="E1552" s="230"/>
      <c r="F1552" s="230"/>
      <c r="G1552" s="230"/>
      <c r="H1552" s="230"/>
      <c r="I1552" s="230"/>
      <c r="J1552" s="230"/>
      <c r="K1552" s="230"/>
      <c r="L1552" s="230"/>
      <c r="M1552" s="230"/>
      <c r="N1552" s="230"/>
      <c r="O1552" s="230"/>
      <c r="P1552" s="230"/>
      <c r="Q1552" s="230"/>
      <c r="R1552" s="230"/>
      <c r="S1552" s="239"/>
      <c r="T1552" s="230"/>
      <c r="U1552" s="230"/>
      <c r="V1552" s="230"/>
      <c r="W1552" s="230"/>
      <c r="X1552" s="239"/>
      <c r="Y1552" s="239"/>
      <c r="Z1552" s="230"/>
      <c r="AA1552" s="230"/>
      <c r="AB1552" s="230"/>
      <c r="AC1552" s="230"/>
      <c r="AD1552" s="230"/>
    </row>
    <row r="1553" spans="1:30" ht="15.75" x14ac:dyDescent="0.25">
      <c r="A1553" s="230"/>
      <c r="B1553" s="234"/>
      <c r="C1553" s="234"/>
      <c r="D1553" s="234"/>
      <c r="E1553" s="230"/>
      <c r="F1553" s="230"/>
      <c r="G1553" s="230"/>
      <c r="H1553" s="230"/>
      <c r="I1553" s="230"/>
      <c r="J1553" s="230"/>
      <c r="K1553" s="230"/>
      <c r="L1553" s="230"/>
      <c r="M1553" s="230"/>
      <c r="N1553" s="230"/>
      <c r="O1553" s="230"/>
      <c r="P1553" s="230"/>
      <c r="Q1553" s="230"/>
      <c r="R1553" s="230"/>
      <c r="S1553" s="239"/>
      <c r="T1553" s="230"/>
      <c r="U1553" s="230"/>
      <c r="V1553" s="230"/>
      <c r="W1553" s="230"/>
      <c r="X1553" s="239"/>
      <c r="Y1553" s="239"/>
      <c r="Z1553" s="230"/>
      <c r="AA1553" s="230"/>
      <c r="AB1553" s="230"/>
      <c r="AC1553" s="230"/>
      <c r="AD1553" s="230"/>
    </row>
    <row r="1554" spans="1:30" ht="15.75" x14ac:dyDescent="0.25">
      <c r="A1554" s="230"/>
      <c r="B1554" s="234"/>
      <c r="C1554" s="234"/>
      <c r="D1554" s="234"/>
      <c r="E1554" s="230"/>
      <c r="F1554" s="230"/>
      <c r="G1554" s="230"/>
      <c r="H1554" s="230"/>
      <c r="I1554" s="230"/>
      <c r="J1554" s="230"/>
      <c r="K1554" s="230"/>
      <c r="L1554" s="230"/>
      <c r="M1554" s="230"/>
      <c r="N1554" s="230"/>
      <c r="O1554" s="230"/>
      <c r="P1554" s="230"/>
      <c r="Q1554" s="230"/>
      <c r="R1554" s="230"/>
      <c r="S1554" s="239"/>
      <c r="T1554" s="230"/>
      <c r="U1554" s="230"/>
      <c r="V1554" s="230"/>
      <c r="W1554" s="230"/>
      <c r="X1554" s="239"/>
      <c r="Y1554" s="239"/>
      <c r="Z1554" s="230"/>
      <c r="AA1554" s="230"/>
      <c r="AB1554" s="230"/>
      <c r="AC1554" s="230"/>
      <c r="AD1554" s="230"/>
    </row>
    <row r="1555" spans="1:30" ht="15.75" x14ac:dyDescent="0.25">
      <c r="A1555" s="230"/>
      <c r="B1555" s="234"/>
      <c r="C1555" s="234"/>
      <c r="D1555" s="234"/>
      <c r="E1555" s="230"/>
      <c r="F1555" s="230"/>
      <c r="G1555" s="230"/>
      <c r="H1555" s="230"/>
      <c r="I1555" s="230"/>
      <c r="J1555" s="230"/>
      <c r="K1555" s="230"/>
      <c r="L1555" s="230"/>
      <c r="M1555" s="230"/>
      <c r="N1555" s="230"/>
      <c r="O1555" s="230"/>
      <c r="P1555" s="230"/>
      <c r="Q1555" s="230"/>
      <c r="R1555" s="230"/>
      <c r="S1555" s="239"/>
      <c r="T1555" s="230"/>
      <c r="U1555" s="230"/>
      <c r="V1555" s="230"/>
      <c r="W1555" s="230"/>
      <c r="X1555" s="239"/>
      <c r="Y1555" s="239"/>
      <c r="Z1555" s="230"/>
      <c r="AA1555" s="230"/>
      <c r="AB1555" s="230"/>
      <c r="AC1555" s="230"/>
      <c r="AD1555" s="230"/>
    </row>
    <row r="1556" spans="1:30" ht="15.75" x14ac:dyDescent="0.25">
      <c r="A1556" s="230"/>
      <c r="B1556" s="234"/>
      <c r="C1556" s="234"/>
      <c r="D1556" s="234"/>
      <c r="E1556" s="230"/>
      <c r="F1556" s="230"/>
      <c r="G1556" s="230"/>
      <c r="H1556" s="230"/>
      <c r="I1556" s="230"/>
      <c r="J1556" s="230"/>
      <c r="K1556" s="230"/>
      <c r="L1556" s="230"/>
      <c r="M1556" s="230"/>
      <c r="N1556" s="230"/>
      <c r="O1556" s="230"/>
      <c r="P1556" s="230"/>
      <c r="Q1556" s="230"/>
      <c r="R1556" s="230"/>
      <c r="S1556" s="239"/>
      <c r="T1556" s="230"/>
      <c r="U1556" s="230"/>
      <c r="V1556" s="230"/>
      <c r="W1556" s="230"/>
      <c r="X1556" s="239"/>
      <c r="Y1556" s="239"/>
      <c r="Z1556" s="230"/>
      <c r="AA1556" s="230"/>
      <c r="AB1556" s="230"/>
      <c r="AC1556" s="230"/>
      <c r="AD1556" s="230"/>
    </row>
    <row r="1557" spans="1:30" ht="15.75" x14ac:dyDescent="0.25">
      <c r="A1557" s="230"/>
      <c r="B1557" s="234"/>
      <c r="C1557" s="234"/>
      <c r="D1557" s="234"/>
      <c r="E1557" s="230"/>
      <c r="F1557" s="230"/>
      <c r="G1557" s="230"/>
      <c r="H1557" s="230"/>
      <c r="I1557" s="230"/>
      <c r="J1557" s="230"/>
      <c r="K1557" s="230"/>
      <c r="L1557" s="230"/>
      <c r="M1557" s="230"/>
      <c r="N1557" s="230"/>
      <c r="O1557" s="230"/>
      <c r="P1557" s="230"/>
      <c r="Q1557" s="230"/>
      <c r="R1557" s="230"/>
      <c r="S1557" s="239"/>
      <c r="T1557" s="230"/>
      <c r="U1557" s="230"/>
      <c r="V1557" s="230"/>
      <c r="W1557" s="230"/>
      <c r="X1557" s="239"/>
      <c r="Y1557" s="239"/>
      <c r="Z1557" s="230"/>
      <c r="AA1557" s="230"/>
      <c r="AB1557" s="230"/>
      <c r="AC1557" s="230"/>
      <c r="AD1557" s="230"/>
    </row>
    <row r="1558" spans="1:30" ht="15.75" x14ac:dyDescent="0.25">
      <c r="A1558" s="230"/>
      <c r="B1558" s="234"/>
      <c r="C1558" s="234"/>
      <c r="D1558" s="234"/>
      <c r="E1558" s="230"/>
      <c r="F1558" s="230"/>
      <c r="G1558" s="230"/>
      <c r="H1558" s="230"/>
      <c r="I1558" s="230"/>
      <c r="J1558" s="230"/>
      <c r="K1558" s="230"/>
      <c r="L1558" s="230"/>
      <c r="M1558" s="230"/>
      <c r="N1558" s="230"/>
      <c r="O1558" s="230"/>
      <c r="P1558" s="230"/>
      <c r="Q1558" s="230"/>
      <c r="R1558" s="230"/>
      <c r="S1558" s="239"/>
      <c r="T1558" s="230"/>
      <c r="U1558" s="230"/>
      <c r="V1558" s="230"/>
      <c r="W1558" s="230"/>
      <c r="X1558" s="239"/>
      <c r="Y1558" s="239"/>
      <c r="Z1558" s="230"/>
      <c r="AA1558" s="230"/>
      <c r="AB1558" s="230"/>
      <c r="AC1558" s="230"/>
      <c r="AD1558" s="230"/>
    </row>
    <row r="1559" spans="1:30" ht="15.75" x14ac:dyDescent="0.25">
      <c r="A1559" s="230"/>
      <c r="B1559" s="234"/>
      <c r="C1559" s="234"/>
      <c r="D1559" s="234"/>
      <c r="E1559" s="230"/>
      <c r="F1559" s="230"/>
      <c r="G1559" s="230"/>
      <c r="H1559" s="230"/>
      <c r="I1559" s="230"/>
      <c r="J1559" s="230"/>
      <c r="K1559" s="230"/>
      <c r="L1559" s="230"/>
      <c r="M1559" s="230"/>
      <c r="N1559" s="230"/>
      <c r="O1559" s="230"/>
      <c r="P1559" s="230"/>
      <c r="Q1559" s="230"/>
      <c r="R1559" s="230"/>
      <c r="S1559" s="239"/>
      <c r="T1559" s="230"/>
      <c r="U1559" s="230"/>
      <c r="V1559" s="230"/>
      <c r="W1559" s="230"/>
      <c r="X1559" s="239"/>
      <c r="Y1559" s="239"/>
      <c r="Z1559" s="230"/>
      <c r="AA1559" s="230"/>
      <c r="AB1559" s="230"/>
      <c r="AC1559" s="230"/>
      <c r="AD1559" s="230"/>
    </row>
    <row r="1560" spans="1:30" ht="15.75" x14ac:dyDescent="0.25">
      <c r="A1560" s="230"/>
      <c r="B1560" s="234"/>
      <c r="C1560" s="234"/>
      <c r="D1560" s="234"/>
      <c r="E1560" s="230"/>
      <c r="F1560" s="230"/>
      <c r="G1560" s="230"/>
      <c r="H1560" s="230"/>
      <c r="I1560" s="230"/>
      <c r="J1560" s="230"/>
      <c r="K1560" s="230"/>
      <c r="L1560" s="230"/>
      <c r="M1560" s="230"/>
      <c r="N1560" s="230"/>
      <c r="O1560" s="230"/>
      <c r="P1560" s="230"/>
      <c r="Q1560" s="230"/>
      <c r="R1560" s="230"/>
      <c r="S1560" s="239"/>
      <c r="T1560" s="230"/>
      <c r="U1560" s="230"/>
      <c r="V1560" s="230"/>
      <c r="W1560" s="230"/>
      <c r="X1560" s="239"/>
      <c r="Y1560" s="239"/>
      <c r="Z1560" s="230"/>
      <c r="AA1560" s="230"/>
      <c r="AB1560" s="230"/>
      <c r="AC1560" s="230"/>
      <c r="AD1560" s="230"/>
    </row>
    <row r="1561" spans="1:30" ht="15.75" x14ac:dyDescent="0.25">
      <c r="A1561" s="230"/>
      <c r="B1561" s="234"/>
      <c r="C1561" s="234"/>
      <c r="D1561" s="234"/>
      <c r="E1561" s="230"/>
      <c r="F1561" s="230"/>
      <c r="G1561" s="230"/>
      <c r="H1561" s="230"/>
      <c r="I1561" s="230"/>
      <c r="J1561" s="230"/>
      <c r="K1561" s="230"/>
      <c r="L1561" s="230"/>
      <c r="M1561" s="230"/>
      <c r="N1561" s="230"/>
      <c r="O1561" s="230"/>
      <c r="P1561" s="230"/>
      <c r="Q1561" s="230"/>
      <c r="R1561" s="230"/>
      <c r="S1561" s="239"/>
      <c r="T1561" s="230"/>
      <c r="U1561" s="230"/>
      <c r="V1561" s="230"/>
      <c r="W1561" s="230"/>
      <c r="X1561" s="239"/>
      <c r="Y1561" s="239"/>
      <c r="Z1561" s="230"/>
      <c r="AA1561" s="230"/>
      <c r="AB1561" s="230"/>
      <c r="AC1561" s="230"/>
      <c r="AD1561" s="230"/>
    </row>
    <row r="1562" spans="1:30" ht="15.75" x14ac:dyDescent="0.25">
      <c r="A1562" s="230"/>
      <c r="B1562" s="234"/>
      <c r="C1562" s="234"/>
      <c r="D1562" s="234"/>
      <c r="E1562" s="230"/>
      <c r="F1562" s="230"/>
      <c r="G1562" s="230"/>
      <c r="H1562" s="230"/>
      <c r="I1562" s="230"/>
      <c r="J1562" s="230"/>
      <c r="K1562" s="230"/>
      <c r="L1562" s="230"/>
      <c r="M1562" s="230"/>
      <c r="N1562" s="230"/>
      <c r="O1562" s="230"/>
      <c r="P1562" s="230"/>
      <c r="Q1562" s="230"/>
      <c r="R1562" s="230"/>
      <c r="S1562" s="239"/>
      <c r="T1562" s="230"/>
      <c r="U1562" s="230"/>
      <c r="V1562" s="230"/>
      <c r="W1562" s="230"/>
      <c r="X1562" s="239"/>
      <c r="Y1562" s="239"/>
      <c r="Z1562" s="230"/>
      <c r="AA1562" s="230"/>
      <c r="AB1562" s="230"/>
      <c r="AC1562" s="230"/>
      <c r="AD1562" s="230"/>
    </row>
    <row r="1563" spans="1:30" ht="15.75" x14ac:dyDescent="0.25">
      <c r="A1563" s="230"/>
      <c r="B1563" s="234"/>
      <c r="C1563" s="234"/>
      <c r="D1563" s="234"/>
      <c r="E1563" s="230"/>
      <c r="F1563" s="230"/>
      <c r="G1563" s="230"/>
      <c r="H1563" s="230"/>
      <c r="I1563" s="230"/>
      <c r="J1563" s="230"/>
      <c r="K1563" s="230"/>
      <c r="L1563" s="230"/>
      <c r="M1563" s="230"/>
      <c r="N1563" s="230"/>
      <c r="O1563" s="230"/>
      <c r="P1563" s="230"/>
      <c r="Q1563" s="230"/>
      <c r="R1563" s="230"/>
      <c r="S1563" s="239"/>
      <c r="T1563" s="230"/>
      <c r="U1563" s="230"/>
      <c r="V1563" s="230"/>
      <c r="W1563" s="230"/>
      <c r="X1563" s="239"/>
      <c r="Y1563" s="239"/>
      <c r="Z1563" s="230"/>
      <c r="AA1563" s="230"/>
      <c r="AB1563" s="230"/>
      <c r="AC1563" s="230"/>
      <c r="AD1563" s="230"/>
    </row>
    <row r="1564" spans="1:30" ht="15.75" x14ac:dyDescent="0.25">
      <c r="A1564" s="230"/>
      <c r="B1564" s="234"/>
      <c r="C1564" s="234"/>
      <c r="D1564" s="234"/>
      <c r="E1564" s="230"/>
      <c r="F1564" s="230"/>
      <c r="G1564" s="230"/>
      <c r="H1564" s="230"/>
      <c r="I1564" s="230"/>
      <c r="J1564" s="230"/>
      <c r="K1564" s="230"/>
      <c r="L1564" s="230"/>
      <c r="M1564" s="230"/>
      <c r="N1564" s="230"/>
      <c r="O1564" s="230"/>
      <c r="P1564" s="230"/>
      <c r="Q1564" s="230"/>
      <c r="R1564" s="230"/>
      <c r="S1564" s="239"/>
      <c r="T1564" s="230"/>
      <c r="U1564" s="230"/>
      <c r="V1564" s="230"/>
      <c r="W1564" s="230"/>
      <c r="X1564" s="239"/>
      <c r="Y1564" s="239"/>
      <c r="Z1564" s="230"/>
      <c r="AA1564" s="230"/>
      <c r="AB1564" s="230"/>
      <c r="AC1564" s="230"/>
      <c r="AD1564" s="230"/>
    </row>
    <row r="1565" spans="1:30" ht="15.75" x14ac:dyDescent="0.25">
      <c r="A1565" s="230"/>
      <c r="B1565" s="234"/>
      <c r="C1565" s="234"/>
      <c r="D1565" s="234"/>
      <c r="E1565" s="230"/>
      <c r="F1565" s="230"/>
      <c r="G1565" s="230"/>
      <c r="H1565" s="230"/>
      <c r="I1565" s="230"/>
      <c r="J1565" s="230"/>
      <c r="K1565" s="230"/>
      <c r="L1565" s="230"/>
      <c r="M1565" s="230"/>
      <c r="N1565" s="230"/>
      <c r="O1565" s="230"/>
      <c r="P1565" s="230"/>
      <c r="Q1565" s="230"/>
      <c r="R1565" s="230"/>
      <c r="S1565" s="239"/>
      <c r="T1565" s="230"/>
      <c r="U1565" s="230"/>
      <c r="V1565" s="230"/>
      <c r="W1565" s="230"/>
      <c r="X1565" s="239"/>
      <c r="Y1565" s="239"/>
      <c r="Z1565" s="230"/>
      <c r="AA1565" s="230"/>
      <c r="AB1565" s="230"/>
      <c r="AC1565" s="230"/>
      <c r="AD1565" s="230"/>
    </row>
    <row r="1566" spans="1:30" ht="15.75" x14ac:dyDescent="0.25">
      <c r="A1566" s="230"/>
      <c r="B1566" s="234"/>
      <c r="C1566" s="234"/>
      <c r="D1566" s="234"/>
      <c r="E1566" s="230"/>
      <c r="F1566" s="230"/>
      <c r="G1566" s="230"/>
      <c r="H1566" s="230"/>
      <c r="I1566" s="230"/>
      <c r="J1566" s="230"/>
      <c r="K1566" s="230"/>
      <c r="L1566" s="230"/>
      <c r="M1566" s="230"/>
      <c r="N1566" s="230"/>
      <c r="O1566" s="230"/>
      <c r="P1566" s="230"/>
      <c r="Q1566" s="230"/>
      <c r="R1566" s="230"/>
      <c r="S1566" s="239"/>
      <c r="T1566" s="230"/>
      <c r="U1566" s="230"/>
      <c r="V1566" s="230"/>
      <c r="W1566" s="230"/>
      <c r="X1566" s="239"/>
      <c r="Y1566" s="239"/>
      <c r="Z1566" s="230"/>
      <c r="AA1566" s="230"/>
      <c r="AB1566" s="230"/>
      <c r="AC1566" s="230"/>
      <c r="AD1566" s="230"/>
    </row>
    <row r="1567" spans="1:30" ht="15.75" x14ac:dyDescent="0.25">
      <c r="A1567" s="230"/>
      <c r="B1567" s="234"/>
      <c r="C1567" s="234"/>
      <c r="D1567" s="234"/>
      <c r="E1567" s="230"/>
      <c r="F1567" s="230"/>
      <c r="G1567" s="230"/>
      <c r="H1567" s="230"/>
      <c r="I1567" s="230"/>
      <c r="J1567" s="230"/>
      <c r="K1567" s="230"/>
      <c r="L1567" s="230"/>
      <c r="M1567" s="230"/>
      <c r="N1567" s="230"/>
      <c r="O1567" s="230"/>
      <c r="P1567" s="230"/>
      <c r="Q1567" s="230"/>
      <c r="R1567" s="230"/>
      <c r="S1567" s="239"/>
      <c r="T1567" s="230"/>
      <c r="U1567" s="230"/>
      <c r="V1567" s="230"/>
      <c r="W1567" s="230"/>
      <c r="X1567" s="239"/>
      <c r="Y1567" s="239"/>
      <c r="Z1567" s="230"/>
      <c r="AA1567" s="230"/>
      <c r="AB1567" s="230"/>
      <c r="AC1567" s="230"/>
      <c r="AD1567" s="230"/>
    </row>
    <row r="1568" spans="1:30" ht="15.75" x14ac:dyDescent="0.25">
      <c r="A1568" s="230"/>
      <c r="B1568" s="234"/>
      <c r="C1568" s="234"/>
      <c r="D1568" s="234"/>
      <c r="E1568" s="230"/>
      <c r="F1568" s="230"/>
      <c r="G1568" s="230"/>
      <c r="H1568" s="230"/>
      <c r="I1568" s="230"/>
      <c r="J1568" s="230"/>
      <c r="K1568" s="230"/>
      <c r="L1568" s="230"/>
      <c r="M1568" s="230"/>
      <c r="N1568" s="230"/>
      <c r="O1568" s="230"/>
      <c r="P1568" s="230"/>
      <c r="Q1568" s="230"/>
      <c r="R1568" s="230"/>
      <c r="S1568" s="239"/>
      <c r="T1568" s="230"/>
      <c r="U1568" s="230"/>
      <c r="V1568" s="230"/>
      <c r="W1568" s="230"/>
      <c r="X1568" s="239"/>
      <c r="Y1568" s="239"/>
      <c r="Z1568" s="230"/>
      <c r="AA1568" s="230"/>
      <c r="AB1568" s="230"/>
      <c r="AC1568" s="230"/>
      <c r="AD1568" s="230"/>
    </row>
    <row r="1569" spans="1:30" ht="15.75" x14ac:dyDescent="0.25">
      <c r="A1569" s="230"/>
      <c r="B1569" s="234"/>
      <c r="C1569" s="234"/>
      <c r="D1569" s="234"/>
      <c r="E1569" s="230"/>
      <c r="F1569" s="230"/>
      <c r="G1569" s="230"/>
      <c r="H1569" s="230"/>
      <c r="I1569" s="230"/>
      <c r="J1569" s="230"/>
      <c r="K1569" s="230"/>
      <c r="L1569" s="230"/>
      <c r="M1569" s="230"/>
      <c r="N1569" s="230"/>
      <c r="O1569" s="230"/>
      <c r="P1569" s="230"/>
      <c r="Q1569" s="230"/>
      <c r="R1569" s="230"/>
      <c r="S1569" s="239"/>
      <c r="T1569" s="230"/>
      <c r="U1569" s="230"/>
      <c r="V1569" s="230"/>
      <c r="W1569" s="230"/>
      <c r="X1569" s="239"/>
      <c r="Y1569" s="239"/>
      <c r="Z1569" s="230"/>
      <c r="AA1569" s="230"/>
      <c r="AB1569" s="230"/>
      <c r="AC1569" s="230"/>
      <c r="AD1569" s="230"/>
    </row>
    <row r="1570" spans="1:30" ht="15.75" x14ac:dyDescent="0.25">
      <c r="A1570" s="230"/>
      <c r="B1570" s="234"/>
      <c r="C1570" s="234"/>
      <c r="D1570" s="234"/>
      <c r="E1570" s="230"/>
      <c r="F1570" s="230"/>
      <c r="G1570" s="230"/>
      <c r="H1570" s="230"/>
      <c r="I1570" s="230"/>
      <c r="J1570" s="230"/>
      <c r="K1570" s="230"/>
      <c r="L1570" s="230"/>
      <c r="M1570" s="230"/>
      <c r="N1570" s="230"/>
      <c r="O1570" s="230"/>
      <c r="P1570" s="230"/>
      <c r="Q1570" s="230"/>
      <c r="R1570" s="230"/>
      <c r="S1570" s="239"/>
      <c r="T1570" s="230"/>
      <c r="U1570" s="230"/>
      <c r="V1570" s="230"/>
      <c r="W1570" s="230"/>
      <c r="X1570" s="239"/>
      <c r="Y1570" s="239"/>
      <c r="Z1570" s="230"/>
      <c r="AA1570" s="230"/>
      <c r="AB1570" s="230"/>
      <c r="AC1570" s="230"/>
      <c r="AD1570" s="230"/>
    </row>
    <row r="1571" spans="1:30" ht="15.75" x14ac:dyDescent="0.25">
      <c r="A1571" s="230"/>
      <c r="B1571" s="234"/>
      <c r="C1571" s="234"/>
      <c r="D1571" s="234"/>
      <c r="E1571" s="230"/>
      <c r="F1571" s="230"/>
      <c r="G1571" s="230"/>
      <c r="H1571" s="230"/>
      <c r="I1571" s="230"/>
      <c r="J1571" s="230"/>
      <c r="K1571" s="230"/>
      <c r="L1571" s="230"/>
      <c r="M1571" s="230"/>
      <c r="N1571" s="230"/>
      <c r="O1571" s="230"/>
      <c r="P1571" s="230"/>
      <c r="Q1571" s="230"/>
      <c r="R1571" s="230"/>
      <c r="S1571" s="239"/>
      <c r="T1571" s="230"/>
      <c r="U1571" s="230"/>
      <c r="V1571" s="230"/>
      <c r="W1571" s="230"/>
      <c r="X1571" s="239"/>
      <c r="Y1571" s="239"/>
      <c r="Z1571" s="230"/>
      <c r="AA1571" s="230"/>
      <c r="AB1571" s="230"/>
      <c r="AC1571" s="230"/>
      <c r="AD1571" s="230"/>
    </row>
    <row r="1572" spans="1:30" ht="15.75" x14ac:dyDescent="0.25">
      <c r="A1572" s="230"/>
      <c r="B1572" s="234"/>
      <c r="C1572" s="234"/>
      <c r="D1572" s="234"/>
      <c r="E1572" s="230"/>
      <c r="F1572" s="230"/>
      <c r="G1572" s="230"/>
      <c r="H1572" s="230"/>
      <c r="I1572" s="230"/>
      <c r="J1572" s="230"/>
      <c r="K1572" s="230"/>
      <c r="L1572" s="230"/>
      <c r="M1572" s="230"/>
      <c r="N1572" s="230"/>
      <c r="O1572" s="230"/>
      <c r="P1572" s="230"/>
      <c r="Q1572" s="230"/>
      <c r="R1572" s="230"/>
      <c r="S1572" s="239"/>
      <c r="T1572" s="230"/>
      <c r="U1572" s="230"/>
      <c r="V1572" s="230"/>
      <c r="W1572" s="230"/>
      <c r="X1572" s="239"/>
      <c r="Y1572" s="239"/>
      <c r="Z1572" s="230"/>
      <c r="AA1572" s="230"/>
      <c r="AB1572" s="230"/>
      <c r="AC1572" s="230"/>
      <c r="AD1572" s="230"/>
    </row>
    <row r="1573" spans="1:30" ht="15.75" x14ac:dyDescent="0.25">
      <c r="A1573" s="230"/>
      <c r="B1573" s="234"/>
      <c r="C1573" s="234"/>
      <c r="D1573" s="234"/>
      <c r="E1573" s="230"/>
      <c r="F1573" s="230"/>
      <c r="G1573" s="230"/>
      <c r="H1573" s="230"/>
      <c r="I1573" s="230"/>
      <c r="J1573" s="230"/>
      <c r="K1573" s="230"/>
      <c r="L1573" s="230"/>
      <c r="M1573" s="230"/>
      <c r="N1573" s="230"/>
      <c r="O1573" s="230"/>
      <c r="P1573" s="230"/>
      <c r="Q1573" s="230"/>
      <c r="R1573" s="230"/>
      <c r="S1573" s="239"/>
      <c r="T1573" s="230"/>
      <c r="U1573" s="230"/>
      <c r="V1573" s="230"/>
      <c r="W1573" s="230"/>
      <c r="X1573" s="239"/>
      <c r="Y1573" s="239"/>
      <c r="Z1573" s="230"/>
      <c r="AA1573" s="230"/>
      <c r="AB1573" s="230"/>
      <c r="AC1573" s="230"/>
      <c r="AD1573" s="230"/>
    </row>
    <row r="1574" spans="1:30" ht="15.75" x14ac:dyDescent="0.25">
      <c r="A1574" s="230"/>
      <c r="B1574" s="234"/>
      <c r="C1574" s="234"/>
      <c r="D1574" s="234"/>
      <c r="E1574" s="230"/>
      <c r="F1574" s="230"/>
      <c r="G1574" s="230"/>
      <c r="H1574" s="230"/>
      <c r="I1574" s="230"/>
      <c r="J1574" s="230"/>
      <c r="K1574" s="230"/>
      <c r="L1574" s="230"/>
      <c r="M1574" s="230"/>
      <c r="N1574" s="230"/>
      <c r="O1574" s="230"/>
      <c r="P1574" s="230"/>
      <c r="Q1574" s="230"/>
      <c r="R1574" s="230"/>
      <c r="S1574" s="239"/>
      <c r="T1574" s="230"/>
      <c r="U1574" s="230"/>
      <c r="V1574" s="230"/>
      <c r="W1574" s="230"/>
      <c r="X1574" s="239"/>
      <c r="Y1574" s="239"/>
      <c r="Z1574" s="230"/>
      <c r="AA1574" s="230"/>
      <c r="AB1574" s="230"/>
      <c r="AC1574" s="230"/>
      <c r="AD1574" s="230"/>
    </row>
    <row r="1575" spans="1:30" ht="15.75" x14ac:dyDescent="0.25">
      <c r="A1575" s="230"/>
      <c r="B1575" s="234"/>
      <c r="C1575" s="234"/>
      <c r="D1575" s="234"/>
      <c r="E1575" s="230"/>
      <c r="F1575" s="230"/>
      <c r="G1575" s="230"/>
      <c r="H1575" s="230"/>
      <c r="I1575" s="230"/>
      <c r="J1575" s="230"/>
      <c r="K1575" s="230"/>
      <c r="L1575" s="230"/>
      <c r="M1575" s="230"/>
      <c r="N1575" s="230"/>
      <c r="O1575" s="230"/>
      <c r="P1575" s="230"/>
      <c r="Q1575" s="230"/>
      <c r="R1575" s="230"/>
      <c r="S1575" s="239"/>
      <c r="T1575" s="230"/>
      <c r="U1575" s="230"/>
      <c r="V1575" s="230"/>
      <c r="W1575" s="230"/>
      <c r="X1575" s="239"/>
      <c r="Y1575" s="239"/>
      <c r="Z1575" s="230"/>
      <c r="AA1575" s="230"/>
      <c r="AB1575" s="230"/>
      <c r="AC1575" s="230"/>
      <c r="AD1575" s="230"/>
    </row>
    <row r="1576" spans="1:30" ht="15.75" x14ac:dyDescent="0.25">
      <c r="A1576" s="230"/>
      <c r="B1576" s="234"/>
      <c r="C1576" s="234"/>
      <c r="D1576" s="234"/>
      <c r="E1576" s="230"/>
      <c r="F1576" s="230"/>
      <c r="G1576" s="230"/>
      <c r="H1576" s="230"/>
      <c r="I1576" s="230"/>
      <c r="J1576" s="230"/>
      <c r="K1576" s="230"/>
      <c r="L1576" s="230"/>
      <c r="M1576" s="230"/>
      <c r="N1576" s="230"/>
      <c r="O1576" s="230"/>
      <c r="P1576" s="230"/>
      <c r="Q1576" s="230"/>
      <c r="R1576" s="230"/>
      <c r="S1576" s="239"/>
      <c r="T1576" s="230"/>
      <c r="U1576" s="230"/>
      <c r="V1576" s="230"/>
      <c r="W1576" s="230"/>
      <c r="X1576" s="239"/>
      <c r="Y1576" s="239"/>
      <c r="Z1576" s="230"/>
      <c r="AA1576" s="230"/>
      <c r="AB1576" s="230"/>
      <c r="AC1576" s="230"/>
      <c r="AD1576" s="230"/>
    </row>
    <row r="1577" spans="1:30" ht="15.75" x14ac:dyDescent="0.25">
      <c r="A1577" s="230"/>
      <c r="B1577" s="234"/>
      <c r="C1577" s="234"/>
      <c r="D1577" s="234"/>
      <c r="E1577" s="230"/>
      <c r="F1577" s="230"/>
      <c r="G1577" s="230"/>
      <c r="H1577" s="230"/>
      <c r="I1577" s="230"/>
      <c r="J1577" s="230"/>
      <c r="K1577" s="230"/>
      <c r="L1577" s="230"/>
      <c r="M1577" s="230"/>
      <c r="N1577" s="230"/>
      <c r="O1577" s="230"/>
      <c r="P1577" s="230"/>
      <c r="Q1577" s="230"/>
      <c r="R1577" s="230"/>
      <c r="S1577" s="239"/>
      <c r="T1577" s="230"/>
      <c r="U1577" s="230"/>
      <c r="V1577" s="230"/>
      <c r="W1577" s="230"/>
      <c r="X1577" s="239"/>
      <c r="Y1577" s="239"/>
      <c r="Z1577" s="230"/>
      <c r="AA1577" s="230"/>
      <c r="AB1577" s="230"/>
      <c r="AC1577" s="230"/>
      <c r="AD1577" s="230"/>
    </row>
    <row r="1578" spans="1:30" ht="15.75" x14ac:dyDescent="0.25">
      <c r="A1578" s="230"/>
      <c r="B1578" s="234"/>
      <c r="C1578" s="234"/>
      <c r="D1578" s="234"/>
      <c r="E1578" s="230"/>
      <c r="F1578" s="230"/>
      <c r="G1578" s="230"/>
      <c r="H1578" s="230"/>
      <c r="I1578" s="230"/>
      <c r="J1578" s="230"/>
      <c r="K1578" s="230"/>
      <c r="L1578" s="230"/>
      <c r="M1578" s="230"/>
      <c r="N1578" s="230"/>
      <c r="O1578" s="230"/>
      <c r="P1578" s="230"/>
      <c r="Q1578" s="230"/>
      <c r="R1578" s="230"/>
      <c r="S1578" s="239"/>
      <c r="T1578" s="230"/>
      <c r="U1578" s="230"/>
      <c r="V1578" s="230"/>
      <c r="W1578" s="230"/>
      <c r="X1578" s="239"/>
      <c r="Y1578" s="239"/>
      <c r="Z1578" s="230"/>
      <c r="AA1578" s="230"/>
      <c r="AB1578" s="230"/>
      <c r="AC1578" s="230"/>
      <c r="AD1578" s="230"/>
    </row>
    <row r="1579" spans="1:30" ht="15.75" x14ac:dyDescent="0.25">
      <c r="A1579" s="230"/>
      <c r="B1579" s="234"/>
      <c r="C1579" s="234"/>
      <c r="D1579" s="234"/>
      <c r="E1579" s="230"/>
      <c r="F1579" s="230"/>
      <c r="G1579" s="230"/>
      <c r="H1579" s="230"/>
      <c r="I1579" s="230"/>
      <c r="J1579" s="230"/>
      <c r="K1579" s="230"/>
      <c r="L1579" s="230"/>
      <c r="M1579" s="230"/>
      <c r="N1579" s="230"/>
      <c r="O1579" s="230"/>
      <c r="P1579" s="230"/>
      <c r="Q1579" s="230"/>
      <c r="R1579" s="230"/>
      <c r="S1579" s="239"/>
      <c r="T1579" s="230"/>
      <c r="U1579" s="230"/>
      <c r="V1579" s="230"/>
      <c r="W1579" s="230"/>
      <c r="X1579" s="239"/>
      <c r="Y1579" s="239"/>
      <c r="Z1579" s="230"/>
      <c r="AA1579" s="230"/>
      <c r="AB1579" s="230"/>
      <c r="AC1579" s="230"/>
      <c r="AD1579" s="230"/>
    </row>
    <row r="1580" spans="1:30" ht="15.75" x14ac:dyDescent="0.25">
      <c r="A1580" s="230"/>
      <c r="B1580" s="234"/>
      <c r="C1580" s="234"/>
      <c r="D1580" s="234"/>
      <c r="E1580" s="230"/>
      <c r="F1580" s="230"/>
      <c r="G1580" s="230"/>
      <c r="H1580" s="230"/>
      <c r="I1580" s="230"/>
      <c r="J1580" s="230"/>
      <c r="K1580" s="230"/>
      <c r="L1580" s="230"/>
      <c r="M1580" s="230"/>
      <c r="N1580" s="230"/>
      <c r="O1580" s="230"/>
      <c r="P1580" s="230"/>
      <c r="Q1580" s="230"/>
      <c r="R1580" s="230"/>
      <c r="S1580" s="239"/>
      <c r="T1580" s="230"/>
      <c r="U1580" s="230"/>
      <c r="V1580" s="230"/>
      <c r="W1580" s="230"/>
      <c r="X1580" s="239"/>
      <c r="Y1580" s="239"/>
      <c r="Z1580" s="230"/>
      <c r="AA1580" s="230"/>
      <c r="AB1580" s="230"/>
      <c r="AC1580" s="230"/>
      <c r="AD1580" s="230"/>
    </row>
    <row r="1581" spans="1:30" ht="15.75" x14ac:dyDescent="0.25">
      <c r="A1581" s="230"/>
      <c r="B1581" s="234"/>
      <c r="C1581" s="234"/>
      <c r="D1581" s="234"/>
      <c r="E1581" s="230"/>
      <c r="F1581" s="230"/>
      <c r="G1581" s="230"/>
      <c r="H1581" s="230"/>
      <c r="I1581" s="230"/>
      <c r="J1581" s="230"/>
      <c r="K1581" s="230"/>
      <c r="L1581" s="230"/>
      <c r="M1581" s="230"/>
      <c r="N1581" s="230"/>
      <c r="O1581" s="230"/>
      <c r="P1581" s="230"/>
      <c r="Q1581" s="230"/>
      <c r="R1581" s="230"/>
      <c r="S1581" s="239"/>
      <c r="T1581" s="230"/>
      <c r="U1581" s="230"/>
      <c r="V1581" s="230"/>
      <c r="W1581" s="230"/>
      <c r="X1581" s="239"/>
      <c r="Y1581" s="239"/>
      <c r="Z1581" s="230"/>
      <c r="AA1581" s="230"/>
      <c r="AB1581" s="230"/>
      <c r="AC1581" s="230"/>
      <c r="AD1581" s="230"/>
    </row>
    <row r="1582" spans="1:30" ht="15.75" x14ac:dyDescent="0.25">
      <c r="A1582" s="230"/>
      <c r="B1582" s="234"/>
      <c r="C1582" s="234"/>
      <c r="D1582" s="234"/>
      <c r="E1582" s="230"/>
      <c r="F1582" s="230"/>
      <c r="G1582" s="230"/>
      <c r="H1582" s="230"/>
      <c r="I1582" s="230"/>
      <c r="J1582" s="230"/>
      <c r="K1582" s="230"/>
      <c r="L1582" s="230"/>
      <c r="M1582" s="230"/>
      <c r="N1582" s="230"/>
      <c r="O1582" s="230"/>
      <c r="P1582" s="230"/>
      <c r="Q1582" s="230"/>
      <c r="R1582" s="230"/>
      <c r="S1582" s="239"/>
      <c r="T1582" s="230"/>
      <c r="U1582" s="230"/>
      <c r="V1582" s="230"/>
      <c r="W1582" s="230"/>
      <c r="X1582" s="239"/>
      <c r="Y1582" s="239"/>
      <c r="Z1582" s="230"/>
      <c r="AA1582" s="230"/>
      <c r="AB1582" s="230"/>
      <c r="AC1582" s="230"/>
      <c r="AD1582" s="230"/>
    </row>
    <row r="1583" spans="1:30" ht="15.75" x14ac:dyDescent="0.25">
      <c r="A1583" s="230"/>
      <c r="B1583" s="234"/>
      <c r="C1583" s="234"/>
      <c r="D1583" s="234"/>
      <c r="E1583" s="230"/>
      <c r="F1583" s="230"/>
      <c r="G1583" s="230"/>
      <c r="H1583" s="230"/>
      <c r="I1583" s="230"/>
      <c r="J1583" s="230"/>
      <c r="K1583" s="230"/>
      <c r="L1583" s="230"/>
      <c r="M1583" s="230"/>
      <c r="N1583" s="230"/>
      <c r="O1583" s="230"/>
      <c r="P1583" s="230"/>
      <c r="Q1583" s="230"/>
      <c r="R1583" s="230"/>
      <c r="S1583" s="239"/>
      <c r="T1583" s="230"/>
      <c r="U1583" s="230"/>
      <c r="V1583" s="230"/>
      <c r="W1583" s="230"/>
      <c r="X1583" s="239"/>
      <c r="Y1583" s="239"/>
      <c r="Z1583" s="230"/>
      <c r="AA1583" s="230"/>
      <c r="AB1583" s="230"/>
      <c r="AC1583" s="230"/>
      <c r="AD1583" s="230"/>
    </row>
    <row r="1584" spans="1:30" ht="15.75" x14ac:dyDescent="0.25">
      <c r="A1584" s="230"/>
      <c r="B1584" s="234"/>
      <c r="C1584" s="234"/>
      <c r="D1584" s="234"/>
      <c r="E1584" s="230"/>
      <c r="F1584" s="230"/>
      <c r="G1584" s="230"/>
      <c r="H1584" s="230"/>
      <c r="I1584" s="230"/>
      <c r="J1584" s="230"/>
      <c r="K1584" s="230"/>
      <c r="L1584" s="230"/>
      <c r="M1584" s="230"/>
      <c r="N1584" s="230"/>
      <c r="O1584" s="230"/>
      <c r="P1584" s="230"/>
      <c r="Q1584" s="230"/>
      <c r="R1584" s="230"/>
      <c r="S1584" s="239"/>
      <c r="T1584" s="230"/>
      <c r="U1584" s="230"/>
      <c r="V1584" s="230"/>
      <c r="W1584" s="230"/>
      <c r="X1584" s="239"/>
      <c r="Y1584" s="239"/>
      <c r="Z1584" s="230"/>
      <c r="AA1584" s="230"/>
      <c r="AB1584" s="230"/>
      <c r="AC1584" s="230"/>
      <c r="AD1584" s="230"/>
    </row>
    <row r="1585" spans="1:30" ht="15.75" x14ac:dyDescent="0.25">
      <c r="A1585" s="230"/>
      <c r="B1585" s="234"/>
      <c r="C1585" s="234"/>
      <c r="D1585" s="234"/>
      <c r="E1585" s="230"/>
      <c r="F1585" s="230"/>
      <c r="G1585" s="230"/>
      <c r="H1585" s="230"/>
      <c r="I1585" s="230"/>
      <c r="J1585" s="230"/>
      <c r="K1585" s="230"/>
      <c r="L1585" s="230"/>
      <c r="M1585" s="230"/>
      <c r="N1585" s="230"/>
      <c r="O1585" s="230"/>
      <c r="P1585" s="230"/>
      <c r="Q1585" s="230"/>
      <c r="R1585" s="230"/>
      <c r="S1585" s="239"/>
      <c r="T1585" s="230"/>
      <c r="U1585" s="230"/>
      <c r="V1585" s="230"/>
      <c r="W1585" s="230"/>
      <c r="X1585" s="239"/>
      <c r="Y1585" s="239"/>
      <c r="Z1585" s="230"/>
      <c r="AA1585" s="230"/>
      <c r="AB1585" s="230"/>
      <c r="AC1585" s="230"/>
      <c r="AD1585" s="230"/>
    </row>
    <row r="1586" spans="1:30" ht="15.75" x14ac:dyDescent="0.25">
      <c r="A1586" s="230"/>
      <c r="B1586" s="234"/>
      <c r="C1586" s="234"/>
      <c r="D1586" s="234"/>
      <c r="E1586" s="230"/>
      <c r="F1586" s="230"/>
      <c r="G1586" s="230"/>
      <c r="H1586" s="230"/>
      <c r="I1586" s="230"/>
      <c r="J1586" s="230"/>
      <c r="K1586" s="230"/>
      <c r="L1586" s="230"/>
      <c r="M1586" s="230"/>
      <c r="N1586" s="230"/>
      <c r="O1586" s="230"/>
      <c r="P1586" s="230"/>
      <c r="Q1586" s="230"/>
      <c r="R1586" s="230"/>
      <c r="S1586" s="239"/>
      <c r="T1586" s="230"/>
      <c r="U1586" s="230"/>
      <c r="V1586" s="230"/>
      <c r="W1586" s="230"/>
      <c r="X1586" s="239"/>
      <c r="Y1586" s="239"/>
      <c r="Z1586" s="230"/>
      <c r="AA1586" s="230"/>
      <c r="AB1586" s="230"/>
      <c r="AC1586" s="230"/>
      <c r="AD1586" s="230"/>
    </row>
    <row r="1587" spans="1:30" ht="15.75" x14ac:dyDescent="0.25">
      <c r="A1587" s="230"/>
      <c r="B1587" s="234"/>
      <c r="C1587" s="234"/>
      <c r="D1587" s="234"/>
      <c r="E1587" s="230"/>
      <c r="F1587" s="230"/>
      <c r="G1587" s="230"/>
      <c r="H1587" s="230"/>
      <c r="I1587" s="230"/>
      <c r="J1587" s="230"/>
      <c r="K1587" s="230"/>
      <c r="L1587" s="230"/>
      <c r="M1587" s="230"/>
      <c r="N1587" s="230"/>
      <c r="O1587" s="230"/>
      <c r="P1587" s="230"/>
      <c r="Q1587" s="230"/>
      <c r="R1587" s="230"/>
      <c r="S1587" s="239"/>
      <c r="T1587" s="230"/>
      <c r="U1587" s="230"/>
      <c r="V1587" s="230"/>
      <c r="W1587" s="230"/>
      <c r="X1587" s="239"/>
      <c r="Y1587" s="239"/>
      <c r="Z1587" s="230"/>
      <c r="AA1587" s="230"/>
      <c r="AB1587" s="230"/>
      <c r="AC1587" s="230"/>
      <c r="AD1587" s="230"/>
    </row>
    <row r="1588" spans="1:30" ht="15.75" x14ac:dyDescent="0.25">
      <c r="A1588" s="230"/>
      <c r="B1588" s="234"/>
      <c r="C1588" s="234"/>
      <c r="D1588" s="234"/>
      <c r="E1588" s="230"/>
      <c r="F1588" s="230"/>
      <c r="G1588" s="230"/>
      <c r="H1588" s="230"/>
      <c r="I1588" s="230"/>
      <c r="J1588" s="230"/>
      <c r="K1588" s="230"/>
      <c r="L1588" s="230"/>
      <c r="M1588" s="230"/>
      <c r="N1588" s="230"/>
      <c r="O1588" s="230"/>
      <c r="P1588" s="230"/>
      <c r="Q1588" s="230"/>
      <c r="R1588" s="230"/>
      <c r="S1588" s="239"/>
      <c r="T1588" s="230"/>
      <c r="U1588" s="230"/>
      <c r="V1588" s="230"/>
      <c r="W1588" s="230"/>
      <c r="X1588" s="239"/>
      <c r="Y1588" s="239"/>
      <c r="Z1588" s="230"/>
      <c r="AA1588" s="230"/>
      <c r="AB1588" s="230"/>
      <c r="AC1588" s="230"/>
      <c r="AD1588" s="230"/>
    </row>
    <row r="1589" spans="1:30" ht="15.75" x14ac:dyDescent="0.25">
      <c r="A1589" s="230"/>
      <c r="B1589" s="234"/>
      <c r="C1589" s="234"/>
      <c r="D1589" s="234"/>
      <c r="E1589" s="230"/>
      <c r="F1589" s="230"/>
      <c r="G1589" s="230"/>
      <c r="H1589" s="230"/>
      <c r="I1589" s="230"/>
      <c r="J1589" s="230"/>
      <c r="K1589" s="230"/>
      <c r="L1589" s="230"/>
      <c r="M1589" s="230"/>
      <c r="N1589" s="230"/>
      <c r="O1589" s="230"/>
      <c r="P1589" s="230"/>
      <c r="Q1589" s="230"/>
      <c r="R1589" s="230"/>
      <c r="S1589" s="239"/>
      <c r="T1589" s="230"/>
      <c r="U1589" s="230"/>
      <c r="V1589" s="230"/>
      <c r="W1589" s="230"/>
      <c r="X1589" s="239"/>
      <c r="Y1589" s="239"/>
      <c r="Z1589" s="230"/>
      <c r="AA1589" s="230"/>
      <c r="AB1589" s="230"/>
      <c r="AC1589" s="230"/>
      <c r="AD1589" s="230"/>
    </row>
    <row r="1590" spans="1:30" ht="15.75" x14ac:dyDescent="0.25">
      <c r="A1590" s="230"/>
      <c r="B1590" s="234"/>
      <c r="C1590" s="234"/>
      <c r="D1590" s="234"/>
      <c r="E1590" s="230"/>
      <c r="F1590" s="230"/>
      <c r="G1590" s="230"/>
      <c r="H1590" s="230"/>
      <c r="I1590" s="230"/>
      <c r="J1590" s="230"/>
      <c r="K1590" s="230"/>
      <c r="L1590" s="230"/>
      <c r="M1590" s="230"/>
      <c r="N1590" s="230"/>
      <c r="O1590" s="230"/>
      <c r="P1590" s="230"/>
      <c r="Q1590" s="230"/>
      <c r="R1590" s="230"/>
      <c r="S1590" s="239"/>
      <c r="T1590" s="230"/>
      <c r="U1590" s="230"/>
      <c r="V1590" s="230"/>
      <c r="W1590" s="230"/>
      <c r="X1590" s="239"/>
      <c r="Y1590" s="239"/>
      <c r="Z1590" s="230"/>
      <c r="AA1590" s="230"/>
      <c r="AB1590" s="230"/>
      <c r="AC1590" s="230"/>
      <c r="AD1590" s="230"/>
    </row>
    <row r="1591" spans="1:30" ht="15.75" x14ac:dyDescent="0.25">
      <c r="A1591" s="230"/>
      <c r="B1591" s="234"/>
      <c r="C1591" s="234"/>
      <c r="D1591" s="234"/>
      <c r="E1591" s="230"/>
      <c r="F1591" s="230"/>
      <c r="G1591" s="230"/>
      <c r="H1591" s="230"/>
      <c r="I1591" s="230"/>
      <c r="J1591" s="230"/>
      <c r="K1591" s="230"/>
      <c r="L1591" s="230"/>
      <c r="M1591" s="230"/>
      <c r="N1591" s="230"/>
      <c r="O1591" s="230"/>
      <c r="P1591" s="230"/>
      <c r="Q1591" s="230"/>
      <c r="R1591" s="230"/>
      <c r="S1591" s="239"/>
      <c r="T1591" s="230"/>
      <c r="U1591" s="230"/>
      <c r="V1591" s="230"/>
      <c r="W1591" s="230"/>
      <c r="X1591" s="239"/>
      <c r="Y1591" s="239"/>
      <c r="Z1591" s="230"/>
      <c r="AA1591" s="230"/>
      <c r="AB1591" s="230"/>
      <c r="AC1591" s="230"/>
      <c r="AD1591" s="230"/>
    </row>
    <row r="1592" spans="1:30" ht="15.75" x14ac:dyDescent="0.25">
      <c r="A1592" s="230"/>
      <c r="B1592" s="234"/>
      <c r="C1592" s="234"/>
      <c r="D1592" s="234"/>
      <c r="E1592" s="230"/>
      <c r="F1592" s="230"/>
      <c r="G1592" s="230"/>
      <c r="H1592" s="230"/>
      <c r="I1592" s="230"/>
      <c r="J1592" s="230"/>
      <c r="K1592" s="230"/>
      <c r="L1592" s="230"/>
      <c r="M1592" s="230"/>
      <c r="N1592" s="230"/>
      <c r="O1592" s="230"/>
      <c r="P1592" s="230"/>
      <c r="Q1592" s="230"/>
      <c r="R1592" s="230"/>
      <c r="S1592" s="239"/>
      <c r="T1592" s="230"/>
      <c r="U1592" s="230"/>
      <c r="V1592" s="230"/>
      <c r="W1592" s="230"/>
      <c r="X1592" s="239"/>
      <c r="Y1592" s="239"/>
      <c r="Z1592" s="230"/>
      <c r="AA1592" s="230"/>
      <c r="AB1592" s="230"/>
      <c r="AC1592" s="230"/>
      <c r="AD1592" s="230"/>
    </row>
    <row r="1593" spans="1:30" ht="15.75" x14ac:dyDescent="0.25">
      <c r="A1593" s="230"/>
      <c r="B1593" s="234"/>
      <c r="C1593" s="234"/>
      <c r="D1593" s="234"/>
      <c r="E1593" s="230"/>
      <c r="F1593" s="230"/>
      <c r="G1593" s="230"/>
      <c r="H1593" s="230"/>
      <c r="I1593" s="230"/>
      <c r="J1593" s="230"/>
      <c r="K1593" s="230"/>
      <c r="L1593" s="230"/>
      <c r="M1593" s="230"/>
      <c r="N1593" s="230"/>
      <c r="O1593" s="230"/>
      <c r="P1593" s="230"/>
      <c r="Q1593" s="230"/>
      <c r="R1593" s="230"/>
      <c r="S1593" s="239"/>
      <c r="T1593" s="230"/>
      <c r="U1593" s="230"/>
      <c r="V1593" s="230"/>
      <c r="W1593" s="230"/>
      <c r="X1593" s="239"/>
      <c r="Y1593" s="239"/>
      <c r="Z1593" s="230"/>
      <c r="AA1593" s="230"/>
      <c r="AB1593" s="230"/>
      <c r="AC1593" s="230"/>
      <c r="AD1593" s="230"/>
    </row>
    <row r="1594" spans="1:30" ht="15.75" x14ac:dyDescent="0.25">
      <c r="A1594" s="230"/>
      <c r="B1594" s="234"/>
      <c r="C1594" s="234"/>
      <c r="D1594" s="234"/>
      <c r="E1594" s="230"/>
      <c r="F1594" s="230"/>
      <c r="G1594" s="230"/>
      <c r="H1594" s="230"/>
      <c r="I1594" s="230"/>
      <c r="J1594" s="230"/>
      <c r="K1594" s="230"/>
      <c r="L1594" s="230"/>
      <c r="M1594" s="230"/>
      <c r="N1594" s="230"/>
      <c r="O1594" s="230"/>
      <c r="P1594" s="230"/>
      <c r="Q1594" s="230"/>
      <c r="R1594" s="230"/>
      <c r="S1594" s="239"/>
      <c r="T1594" s="230"/>
      <c r="U1594" s="230"/>
      <c r="V1594" s="230"/>
      <c r="W1594" s="230"/>
      <c r="X1594" s="239"/>
      <c r="Y1594" s="239"/>
      <c r="Z1594" s="230"/>
      <c r="AA1594" s="230"/>
      <c r="AB1594" s="230"/>
      <c r="AC1594" s="230"/>
      <c r="AD1594" s="230"/>
    </row>
    <row r="1595" spans="1:30" ht="15.75" x14ac:dyDescent="0.25">
      <c r="A1595" s="230"/>
      <c r="B1595" s="234"/>
      <c r="C1595" s="234"/>
      <c r="D1595" s="234"/>
      <c r="E1595" s="230"/>
      <c r="F1595" s="230"/>
      <c r="G1595" s="230"/>
      <c r="H1595" s="230"/>
      <c r="I1595" s="230"/>
      <c r="J1595" s="230"/>
      <c r="K1595" s="230"/>
      <c r="L1595" s="230"/>
      <c r="M1595" s="230"/>
      <c r="N1595" s="230"/>
      <c r="O1595" s="230"/>
      <c r="P1595" s="230"/>
      <c r="Q1595" s="230"/>
      <c r="R1595" s="230"/>
      <c r="S1595" s="239"/>
      <c r="T1595" s="230"/>
      <c r="U1595" s="230"/>
      <c r="V1595" s="230"/>
      <c r="W1595" s="230"/>
      <c r="X1595" s="239"/>
      <c r="Y1595" s="239"/>
      <c r="Z1595" s="230"/>
      <c r="AA1595" s="230"/>
      <c r="AB1595" s="230"/>
      <c r="AC1595" s="230"/>
      <c r="AD1595" s="230"/>
    </row>
    <row r="1596" spans="1:30" ht="15.75" x14ac:dyDescent="0.25">
      <c r="A1596" s="230"/>
      <c r="B1596" s="234"/>
      <c r="C1596" s="234"/>
      <c r="D1596" s="234"/>
      <c r="E1596" s="230"/>
      <c r="F1596" s="230"/>
      <c r="G1596" s="230"/>
      <c r="H1596" s="230"/>
      <c r="I1596" s="230"/>
      <c r="J1596" s="230"/>
      <c r="K1596" s="230"/>
      <c r="L1596" s="230"/>
      <c r="M1596" s="230"/>
      <c r="N1596" s="230"/>
      <c r="O1596" s="230"/>
      <c r="P1596" s="230"/>
      <c r="Q1596" s="230"/>
      <c r="R1596" s="230"/>
      <c r="S1596" s="239"/>
      <c r="T1596" s="230"/>
      <c r="U1596" s="230"/>
      <c r="V1596" s="230"/>
      <c r="W1596" s="230"/>
      <c r="X1596" s="239"/>
      <c r="Y1596" s="239"/>
      <c r="Z1596" s="230"/>
      <c r="AA1596" s="230"/>
      <c r="AB1596" s="230"/>
      <c r="AC1596" s="230"/>
      <c r="AD1596" s="230"/>
    </row>
    <row r="1597" spans="1:30" ht="15.75" x14ac:dyDescent="0.25">
      <c r="A1597" s="230"/>
      <c r="B1597" s="234"/>
      <c r="C1597" s="234"/>
      <c r="D1597" s="234"/>
      <c r="E1597" s="230"/>
      <c r="F1597" s="230"/>
      <c r="G1597" s="230"/>
      <c r="H1597" s="230"/>
      <c r="I1597" s="230"/>
      <c r="J1597" s="230"/>
      <c r="K1597" s="230"/>
      <c r="L1597" s="230"/>
      <c r="M1597" s="230"/>
      <c r="N1597" s="230"/>
      <c r="O1597" s="230"/>
      <c r="P1597" s="230"/>
      <c r="Q1597" s="230"/>
      <c r="R1597" s="230"/>
      <c r="S1597" s="239"/>
      <c r="T1597" s="230"/>
      <c r="U1597" s="230"/>
      <c r="V1597" s="230"/>
      <c r="W1597" s="230"/>
      <c r="X1597" s="239"/>
      <c r="Y1597" s="239"/>
      <c r="Z1597" s="230"/>
      <c r="AA1597" s="230"/>
      <c r="AB1597" s="230"/>
      <c r="AC1597" s="230"/>
      <c r="AD1597" s="230"/>
    </row>
    <row r="1598" spans="1:30" ht="15.75" x14ac:dyDescent="0.25">
      <c r="A1598" s="230"/>
      <c r="B1598" s="234"/>
      <c r="C1598" s="234"/>
      <c r="D1598" s="234"/>
      <c r="E1598" s="230"/>
      <c r="F1598" s="230"/>
      <c r="G1598" s="230"/>
      <c r="H1598" s="230"/>
      <c r="I1598" s="230"/>
      <c r="J1598" s="230"/>
      <c r="K1598" s="230"/>
      <c r="L1598" s="230"/>
      <c r="M1598" s="230"/>
      <c r="N1598" s="230"/>
      <c r="O1598" s="230"/>
      <c r="P1598" s="230"/>
      <c r="Q1598" s="230"/>
      <c r="R1598" s="230"/>
      <c r="S1598" s="239"/>
      <c r="T1598" s="230"/>
      <c r="U1598" s="230"/>
      <c r="V1598" s="230"/>
      <c r="W1598" s="230"/>
      <c r="X1598" s="239"/>
      <c r="Y1598" s="239"/>
      <c r="Z1598" s="230"/>
      <c r="AA1598" s="230"/>
      <c r="AB1598" s="230"/>
      <c r="AC1598" s="230"/>
      <c r="AD1598" s="230"/>
    </row>
    <row r="1599" spans="1:30" ht="15.75" x14ac:dyDescent="0.25">
      <c r="A1599" s="230"/>
      <c r="B1599" s="234"/>
      <c r="C1599" s="234"/>
      <c r="D1599" s="234"/>
      <c r="E1599" s="230"/>
      <c r="F1599" s="230"/>
      <c r="G1599" s="230"/>
      <c r="H1599" s="230"/>
      <c r="I1599" s="230"/>
      <c r="J1599" s="230"/>
      <c r="K1599" s="230"/>
      <c r="L1599" s="230"/>
      <c r="M1599" s="230"/>
      <c r="N1599" s="230"/>
      <c r="O1599" s="230"/>
      <c r="P1599" s="230"/>
      <c r="Q1599" s="230"/>
      <c r="R1599" s="230"/>
      <c r="S1599" s="239"/>
      <c r="T1599" s="230"/>
      <c r="U1599" s="230"/>
      <c r="V1599" s="230"/>
      <c r="W1599" s="230"/>
      <c r="X1599" s="239"/>
      <c r="Y1599" s="239"/>
      <c r="Z1599" s="230"/>
      <c r="AA1599" s="230"/>
      <c r="AB1599" s="230"/>
      <c r="AC1599" s="230"/>
      <c r="AD1599" s="230"/>
    </row>
    <row r="1600" spans="1:30" ht="15.75" x14ac:dyDescent="0.25">
      <c r="A1600" s="230"/>
      <c r="B1600" s="234"/>
      <c r="C1600" s="234"/>
      <c r="D1600" s="234"/>
      <c r="E1600" s="230"/>
      <c r="F1600" s="230"/>
      <c r="G1600" s="230"/>
      <c r="H1600" s="230"/>
      <c r="I1600" s="230"/>
      <c r="J1600" s="230"/>
      <c r="K1600" s="230"/>
      <c r="L1600" s="230"/>
      <c r="M1600" s="230"/>
      <c r="N1600" s="230"/>
      <c r="O1600" s="230"/>
      <c r="P1600" s="230"/>
      <c r="Q1600" s="230"/>
      <c r="R1600" s="230"/>
      <c r="S1600" s="239"/>
      <c r="T1600" s="230"/>
      <c r="U1600" s="230"/>
      <c r="V1600" s="230"/>
      <c r="W1600" s="230"/>
      <c r="X1600" s="239"/>
      <c r="Y1600" s="239"/>
      <c r="Z1600" s="230"/>
      <c r="AA1600" s="230"/>
      <c r="AB1600" s="230"/>
      <c r="AC1600" s="230"/>
      <c r="AD1600" s="230"/>
    </row>
    <row r="1601" spans="1:30" ht="15.75" x14ac:dyDescent="0.25">
      <c r="A1601" s="230"/>
      <c r="B1601" s="234"/>
      <c r="C1601" s="234"/>
      <c r="D1601" s="234"/>
      <c r="E1601" s="230"/>
      <c r="F1601" s="230"/>
      <c r="G1601" s="230"/>
      <c r="H1601" s="230"/>
      <c r="I1601" s="230"/>
      <c r="J1601" s="230"/>
      <c r="K1601" s="230"/>
      <c r="L1601" s="230"/>
      <c r="M1601" s="230"/>
      <c r="N1601" s="230"/>
      <c r="O1601" s="230"/>
      <c r="P1601" s="230"/>
      <c r="Q1601" s="230"/>
      <c r="R1601" s="230"/>
      <c r="S1601" s="239"/>
      <c r="T1601" s="230"/>
      <c r="U1601" s="230"/>
      <c r="V1601" s="230"/>
      <c r="W1601" s="230"/>
      <c r="X1601" s="239"/>
      <c r="Y1601" s="239"/>
      <c r="Z1601" s="230"/>
      <c r="AA1601" s="230"/>
      <c r="AB1601" s="230"/>
      <c r="AC1601" s="230"/>
      <c r="AD1601" s="230"/>
    </row>
    <row r="1602" spans="1:30" ht="15.75" x14ac:dyDescent="0.25">
      <c r="A1602" s="230"/>
      <c r="B1602" s="234"/>
      <c r="C1602" s="234"/>
      <c r="D1602" s="234"/>
      <c r="E1602" s="230"/>
      <c r="F1602" s="230"/>
      <c r="G1602" s="230"/>
      <c r="H1602" s="230"/>
      <c r="I1602" s="230"/>
      <c r="J1602" s="230"/>
      <c r="K1602" s="230"/>
      <c r="L1602" s="230"/>
      <c r="M1602" s="230"/>
      <c r="N1602" s="230"/>
      <c r="O1602" s="230"/>
      <c r="P1602" s="230"/>
      <c r="Q1602" s="230"/>
      <c r="R1602" s="230"/>
      <c r="S1602" s="239"/>
      <c r="T1602" s="230"/>
      <c r="U1602" s="230"/>
      <c r="V1602" s="230"/>
      <c r="W1602" s="230"/>
      <c r="X1602" s="239"/>
      <c r="Y1602" s="239"/>
      <c r="Z1602" s="230"/>
      <c r="AA1602" s="230"/>
      <c r="AB1602" s="230"/>
      <c r="AC1602" s="230"/>
      <c r="AD1602" s="230"/>
    </row>
    <row r="1603" spans="1:30" ht="15.75" x14ac:dyDescent="0.25">
      <c r="A1603" s="230"/>
      <c r="B1603" s="234"/>
      <c r="C1603" s="234"/>
      <c r="D1603" s="234"/>
      <c r="E1603" s="230"/>
      <c r="F1603" s="230"/>
      <c r="G1603" s="230"/>
      <c r="H1603" s="230"/>
      <c r="I1603" s="230"/>
      <c r="J1603" s="230"/>
      <c r="K1603" s="230"/>
      <c r="L1603" s="230"/>
      <c r="M1603" s="230"/>
      <c r="N1603" s="230"/>
      <c r="O1603" s="230"/>
      <c r="P1603" s="230"/>
      <c r="Q1603" s="230"/>
      <c r="R1603" s="230"/>
      <c r="S1603" s="239"/>
      <c r="T1603" s="230"/>
      <c r="U1603" s="230"/>
      <c r="V1603" s="230"/>
      <c r="W1603" s="230"/>
      <c r="X1603" s="239"/>
      <c r="Y1603" s="239"/>
      <c r="Z1603" s="230"/>
      <c r="AA1603" s="230"/>
      <c r="AB1603" s="230"/>
      <c r="AC1603" s="230"/>
      <c r="AD1603" s="230"/>
    </row>
    <row r="1604" spans="1:30" ht="15.75" x14ac:dyDescent="0.25">
      <c r="A1604" s="230"/>
      <c r="B1604" s="234"/>
      <c r="C1604" s="234"/>
      <c r="D1604" s="234"/>
      <c r="E1604" s="230"/>
      <c r="F1604" s="230"/>
      <c r="G1604" s="230"/>
      <c r="H1604" s="230"/>
      <c r="I1604" s="230"/>
      <c r="J1604" s="230"/>
      <c r="K1604" s="230"/>
      <c r="L1604" s="230"/>
      <c r="M1604" s="230"/>
      <c r="N1604" s="230"/>
      <c r="O1604" s="230"/>
      <c r="P1604" s="230"/>
      <c r="Q1604" s="230"/>
      <c r="R1604" s="230"/>
      <c r="S1604" s="239"/>
      <c r="T1604" s="230"/>
      <c r="U1604" s="230"/>
      <c r="V1604" s="230"/>
      <c r="W1604" s="230"/>
      <c r="X1604" s="239"/>
      <c r="Y1604" s="239"/>
      <c r="Z1604" s="230"/>
      <c r="AA1604" s="230"/>
      <c r="AB1604" s="230"/>
      <c r="AC1604" s="230"/>
      <c r="AD1604" s="230"/>
    </row>
    <row r="1605" spans="1:30" ht="15.75" x14ac:dyDescent="0.25">
      <c r="A1605" s="230"/>
      <c r="B1605" s="234"/>
      <c r="C1605" s="234"/>
      <c r="D1605" s="234"/>
      <c r="E1605" s="230"/>
      <c r="F1605" s="230"/>
      <c r="G1605" s="230"/>
      <c r="H1605" s="230"/>
      <c r="I1605" s="230"/>
      <c r="J1605" s="230"/>
      <c r="K1605" s="230"/>
      <c r="L1605" s="230"/>
      <c r="M1605" s="230"/>
      <c r="N1605" s="230"/>
      <c r="O1605" s="230"/>
      <c r="P1605" s="230"/>
      <c r="Q1605" s="230"/>
      <c r="R1605" s="230"/>
      <c r="S1605" s="239"/>
      <c r="T1605" s="230"/>
      <c r="U1605" s="230"/>
      <c r="V1605" s="230"/>
      <c r="W1605" s="230"/>
      <c r="X1605" s="239"/>
      <c r="Y1605" s="239"/>
      <c r="Z1605" s="230"/>
      <c r="AA1605" s="230"/>
      <c r="AB1605" s="230"/>
      <c r="AC1605" s="230"/>
      <c r="AD1605" s="230"/>
    </row>
    <row r="1606" spans="1:30" ht="15.75" x14ac:dyDescent="0.25">
      <c r="A1606" s="230"/>
      <c r="B1606" s="234"/>
      <c r="C1606" s="234"/>
      <c r="D1606" s="234"/>
      <c r="E1606" s="230"/>
      <c r="F1606" s="230"/>
      <c r="G1606" s="230"/>
      <c r="H1606" s="230"/>
      <c r="I1606" s="230"/>
      <c r="J1606" s="230"/>
      <c r="K1606" s="230"/>
      <c r="L1606" s="230"/>
      <c r="M1606" s="230"/>
      <c r="N1606" s="230"/>
      <c r="O1606" s="230"/>
      <c r="P1606" s="230"/>
      <c r="Q1606" s="230"/>
      <c r="R1606" s="230"/>
      <c r="S1606" s="239"/>
      <c r="T1606" s="230"/>
      <c r="U1606" s="230"/>
      <c r="V1606" s="230"/>
      <c r="W1606" s="230"/>
      <c r="X1606" s="239"/>
      <c r="Y1606" s="239"/>
      <c r="Z1606" s="230"/>
      <c r="AA1606" s="230"/>
      <c r="AB1606" s="230"/>
      <c r="AC1606" s="230"/>
      <c r="AD1606" s="230"/>
    </row>
    <row r="1607" spans="1:30" ht="15.75" x14ac:dyDescent="0.25">
      <c r="A1607" s="230"/>
      <c r="B1607" s="234"/>
      <c r="C1607" s="234"/>
      <c r="D1607" s="234"/>
      <c r="E1607" s="230"/>
      <c r="F1607" s="230"/>
      <c r="G1607" s="230"/>
      <c r="H1607" s="230"/>
      <c r="I1607" s="230"/>
      <c r="J1607" s="230"/>
      <c r="K1607" s="230"/>
      <c r="L1607" s="230"/>
      <c r="M1607" s="230"/>
      <c r="N1607" s="230"/>
      <c r="O1607" s="230"/>
      <c r="P1607" s="230"/>
      <c r="Q1607" s="230"/>
      <c r="R1607" s="230"/>
      <c r="S1607" s="239"/>
      <c r="T1607" s="230"/>
      <c r="U1607" s="230"/>
      <c r="V1607" s="230"/>
      <c r="W1607" s="230"/>
      <c r="X1607" s="239"/>
      <c r="Y1607" s="239"/>
      <c r="Z1607" s="230"/>
      <c r="AA1607" s="230"/>
      <c r="AB1607" s="230"/>
      <c r="AC1607" s="230"/>
      <c r="AD1607" s="230"/>
    </row>
    <row r="1608" spans="1:30" ht="15.75" x14ac:dyDescent="0.25">
      <c r="A1608" s="230"/>
      <c r="B1608" s="234"/>
      <c r="C1608" s="234"/>
      <c r="D1608" s="234"/>
      <c r="E1608" s="230"/>
      <c r="F1608" s="230"/>
      <c r="G1608" s="230"/>
      <c r="H1608" s="230"/>
      <c r="I1608" s="230"/>
      <c r="J1608" s="230"/>
      <c r="K1608" s="230"/>
      <c r="L1608" s="230"/>
      <c r="M1608" s="230"/>
      <c r="N1608" s="230"/>
      <c r="O1608" s="230"/>
      <c r="P1608" s="230"/>
      <c r="Q1608" s="230"/>
      <c r="R1608" s="230"/>
      <c r="S1608" s="239"/>
      <c r="T1608" s="230"/>
      <c r="U1608" s="230"/>
      <c r="V1608" s="230"/>
      <c r="W1608" s="230"/>
      <c r="X1608" s="230"/>
      <c r="Y1608" s="230"/>
      <c r="Z1608" s="230"/>
      <c r="AA1608" s="230"/>
      <c r="AB1608" s="230"/>
      <c r="AC1608" s="230"/>
      <c r="AD1608" s="230"/>
    </row>
    <row r="1609" spans="1:30" ht="15.75" x14ac:dyDescent="0.25">
      <c r="A1609" s="230"/>
      <c r="B1609" s="234"/>
      <c r="C1609" s="234"/>
      <c r="D1609" s="234"/>
      <c r="E1609" s="230"/>
      <c r="F1609" s="230"/>
      <c r="G1609" s="230"/>
      <c r="H1609" s="230"/>
      <c r="I1609" s="230"/>
      <c r="J1609" s="230"/>
      <c r="K1609" s="230"/>
      <c r="L1609" s="230"/>
      <c r="M1609" s="230"/>
      <c r="N1609" s="230"/>
      <c r="O1609" s="230"/>
      <c r="P1609" s="230"/>
      <c r="Q1609" s="230"/>
      <c r="R1609" s="230"/>
      <c r="S1609" s="239"/>
      <c r="T1609" s="230"/>
      <c r="U1609" s="230"/>
      <c r="V1609" s="230"/>
      <c r="W1609" s="230"/>
      <c r="X1609" s="230"/>
      <c r="Y1609" s="230"/>
      <c r="Z1609" s="230"/>
      <c r="AA1609" s="230"/>
      <c r="AB1609" s="230"/>
      <c r="AC1609" s="230"/>
      <c r="AD1609" s="230"/>
    </row>
    <row r="1610" spans="1:30" ht="15.75" x14ac:dyDescent="0.25">
      <c r="A1610" s="230"/>
      <c r="B1610" s="234"/>
      <c r="C1610" s="234"/>
      <c r="D1610" s="234"/>
      <c r="E1610" s="230"/>
      <c r="F1610" s="230"/>
      <c r="G1610" s="230"/>
      <c r="H1610" s="230"/>
      <c r="I1610" s="230"/>
      <c r="J1610" s="230"/>
      <c r="K1610" s="230"/>
      <c r="L1610" s="230"/>
      <c r="M1610" s="230"/>
      <c r="N1610" s="230"/>
      <c r="O1610" s="230"/>
      <c r="P1610" s="230"/>
      <c r="Q1610" s="230"/>
      <c r="R1610" s="230"/>
      <c r="S1610" s="239"/>
      <c r="T1610" s="230"/>
      <c r="U1610" s="230"/>
      <c r="V1610" s="230"/>
      <c r="W1610" s="230"/>
      <c r="X1610" s="230"/>
      <c r="Y1610" s="230"/>
      <c r="Z1610" s="230"/>
      <c r="AA1610" s="230"/>
      <c r="AB1610" s="230"/>
      <c r="AC1610" s="230"/>
      <c r="AD1610" s="230"/>
    </row>
    <row r="1611" spans="1:30" ht="15.75" x14ac:dyDescent="0.25">
      <c r="A1611" s="230"/>
      <c r="B1611" s="234"/>
      <c r="C1611" s="234"/>
      <c r="D1611" s="234"/>
      <c r="E1611" s="230"/>
      <c r="F1611" s="230"/>
      <c r="G1611" s="230"/>
      <c r="H1611" s="230"/>
      <c r="I1611" s="230"/>
      <c r="J1611" s="230"/>
      <c r="K1611" s="230"/>
      <c r="L1611" s="230"/>
      <c r="M1611" s="230"/>
      <c r="N1611" s="230"/>
      <c r="O1611" s="230"/>
      <c r="P1611" s="230"/>
      <c r="Q1611" s="230"/>
      <c r="R1611" s="230"/>
      <c r="S1611" s="239"/>
      <c r="T1611" s="230"/>
      <c r="U1611" s="230"/>
      <c r="V1611" s="230"/>
      <c r="W1611" s="230"/>
      <c r="X1611" s="230"/>
      <c r="Y1611" s="230"/>
      <c r="Z1611" s="230"/>
      <c r="AA1611" s="230"/>
      <c r="AB1611" s="230"/>
      <c r="AC1611" s="230"/>
      <c r="AD1611" s="230"/>
    </row>
    <row r="1612" spans="1:30" ht="15.75" x14ac:dyDescent="0.25">
      <c r="A1612" s="230"/>
      <c r="B1612" s="234"/>
      <c r="C1612" s="234"/>
      <c r="D1612" s="234"/>
      <c r="E1612" s="230"/>
      <c r="F1612" s="230"/>
      <c r="G1612" s="230"/>
      <c r="H1612" s="230"/>
      <c r="I1612" s="230"/>
      <c r="J1612" s="230"/>
      <c r="K1612" s="230"/>
      <c r="L1612" s="230"/>
      <c r="M1612" s="230"/>
      <c r="N1612" s="230"/>
      <c r="O1612" s="230"/>
      <c r="P1612" s="230"/>
      <c r="Q1612" s="230"/>
      <c r="R1612" s="230"/>
      <c r="S1612" s="239"/>
      <c r="T1612" s="230"/>
      <c r="U1612" s="230"/>
      <c r="V1612" s="230"/>
      <c r="W1612" s="230"/>
      <c r="X1612" s="230"/>
      <c r="Y1612" s="230"/>
      <c r="Z1612" s="230"/>
      <c r="AA1612" s="230"/>
      <c r="AB1612" s="230"/>
      <c r="AC1612" s="230"/>
      <c r="AD1612" s="230"/>
    </row>
    <row r="1613" spans="1:30" ht="15.75" x14ac:dyDescent="0.25">
      <c r="A1613" s="230"/>
      <c r="B1613" s="234"/>
      <c r="C1613" s="234"/>
      <c r="D1613" s="234"/>
      <c r="E1613" s="230"/>
      <c r="F1613" s="230"/>
      <c r="G1613" s="230"/>
      <c r="H1613" s="230"/>
      <c r="I1613" s="230"/>
      <c r="J1613" s="230"/>
      <c r="K1613" s="230"/>
      <c r="L1613" s="230"/>
      <c r="M1613" s="230"/>
      <c r="N1613" s="230"/>
      <c r="O1613" s="230"/>
      <c r="P1613" s="230"/>
      <c r="Q1613" s="230"/>
      <c r="R1613" s="230"/>
      <c r="S1613" s="239"/>
      <c r="T1613" s="230"/>
      <c r="U1613" s="230"/>
      <c r="V1613" s="230"/>
      <c r="W1613" s="230"/>
      <c r="X1613" s="230"/>
      <c r="Y1613" s="230"/>
      <c r="Z1613" s="230"/>
      <c r="AA1613" s="230"/>
      <c r="AB1613" s="230"/>
      <c r="AC1613" s="230"/>
      <c r="AD1613" s="230"/>
    </row>
    <row r="1614" spans="1:30" ht="15.75" x14ac:dyDescent="0.25">
      <c r="A1614" s="230"/>
      <c r="B1614" s="234"/>
      <c r="C1614" s="234"/>
      <c r="D1614" s="234"/>
      <c r="E1614" s="230"/>
      <c r="F1614" s="230"/>
      <c r="G1614" s="230"/>
      <c r="H1614" s="230"/>
      <c r="I1614" s="230"/>
      <c r="J1614" s="230"/>
      <c r="K1614" s="230"/>
      <c r="L1614" s="230"/>
      <c r="M1614" s="230"/>
      <c r="N1614" s="230"/>
      <c r="O1614" s="230"/>
      <c r="P1614" s="230"/>
      <c r="Q1614" s="230"/>
      <c r="R1614" s="230"/>
      <c r="S1614" s="239"/>
      <c r="T1614" s="230"/>
      <c r="U1614" s="230"/>
      <c r="V1614" s="230"/>
      <c r="W1614" s="230"/>
      <c r="X1614" s="230"/>
      <c r="Y1614" s="230"/>
      <c r="Z1614" s="230"/>
      <c r="AA1614" s="230"/>
      <c r="AB1614" s="230"/>
      <c r="AC1614" s="230"/>
      <c r="AD1614" s="230"/>
    </row>
    <row r="1615" spans="1:30" ht="15.75" x14ac:dyDescent="0.25">
      <c r="A1615" s="230"/>
      <c r="B1615" s="234"/>
      <c r="C1615" s="234"/>
      <c r="D1615" s="234"/>
      <c r="E1615" s="230"/>
      <c r="F1615" s="230"/>
      <c r="G1615" s="230"/>
      <c r="H1615" s="230"/>
      <c r="I1615" s="230"/>
      <c r="J1615" s="230"/>
      <c r="K1615" s="230"/>
      <c r="L1615" s="230"/>
      <c r="M1615" s="230"/>
      <c r="N1615" s="230"/>
      <c r="O1615" s="230"/>
      <c r="P1615" s="230"/>
      <c r="Q1615" s="230"/>
      <c r="R1615" s="230"/>
      <c r="S1615" s="239"/>
      <c r="T1615" s="230"/>
      <c r="U1615" s="230"/>
      <c r="V1615" s="230"/>
      <c r="W1615" s="230"/>
      <c r="X1615" s="230"/>
      <c r="Y1615" s="230"/>
      <c r="Z1615" s="230"/>
      <c r="AA1615" s="230"/>
      <c r="AB1615" s="230"/>
      <c r="AC1615" s="230"/>
      <c r="AD1615" s="230"/>
    </row>
    <row r="1616" spans="1:30" ht="15.75" x14ac:dyDescent="0.25">
      <c r="A1616" s="230"/>
      <c r="B1616" s="234"/>
      <c r="C1616" s="234"/>
      <c r="D1616" s="234"/>
      <c r="E1616" s="230"/>
      <c r="F1616" s="230"/>
      <c r="G1616" s="230"/>
      <c r="H1616" s="230"/>
      <c r="I1616" s="230"/>
      <c r="J1616" s="230"/>
      <c r="K1616" s="230"/>
      <c r="L1616" s="230"/>
      <c r="M1616" s="230"/>
      <c r="N1616" s="230"/>
      <c r="O1616" s="230"/>
      <c r="P1616" s="230"/>
      <c r="Q1616" s="230"/>
      <c r="R1616" s="230"/>
      <c r="S1616" s="239"/>
      <c r="T1616" s="230"/>
      <c r="U1616" s="230"/>
      <c r="V1616" s="230"/>
      <c r="W1616" s="230"/>
      <c r="X1616" s="230"/>
      <c r="Y1616" s="230"/>
      <c r="Z1616" s="230"/>
      <c r="AA1616" s="230"/>
      <c r="AB1616" s="230"/>
      <c r="AC1616" s="230"/>
      <c r="AD1616" s="230"/>
    </row>
    <row r="1617" spans="1:30" ht="15.75" x14ac:dyDescent="0.25">
      <c r="A1617" s="230"/>
      <c r="B1617" s="234"/>
      <c r="C1617" s="234"/>
      <c r="D1617" s="234"/>
      <c r="E1617" s="230"/>
      <c r="F1617" s="230"/>
      <c r="G1617" s="230"/>
      <c r="H1617" s="230"/>
      <c r="I1617" s="230"/>
      <c r="J1617" s="230"/>
      <c r="K1617" s="230"/>
      <c r="L1617" s="230"/>
      <c r="M1617" s="230"/>
      <c r="N1617" s="230"/>
      <c r="O1617" s="230"/>
      <c r="P1617" s="230"/>
      <c r="Q1617" s="230"/>
      <c r="R1617" s="230"/>
      <c r="S1617" s="239"/>
      <c r="T1617" s="230"/>
      <c r="U1617" s="230"/>
      <c r="V1617" s="230"/>
      <c r="W1617" s="230"/>
      <c r="X1617" s="230"/>
      <c r="Y1617" s="230"/>
      <c r="Z1617" s="230"/>
      <c r="AA1617" s="230"/>
      <c r="AB1617" s="230"/>
      <c r="AC1617" s="230"/>
      <c r="AD1617" s="230"/>
    </row>
    <row r="1618" spans="1:30" ht="15.75" x14ac:dyDescent="0.25">
      <c r="A1618" s="230"/>
      <c r="B1618" s="234"/>
      <c r="C1618" s="234"/>
      <c r="D1618" s="234"/>
      <c r="E1618" s="230"/>
      <c r="F1618" s="230"/>
      <c r="G1618" s="230"/>
      <c r="H1618" s="230"/>
      <c r="I1618" s="230"/>
      <c r="J1618" s="230"/>
      <c r="K1618" s="230"/>
      <c r="L1618" s="230"/>
      <c r="M1618" s="230"/>
      <c r="N1618" s="230"/>
      <c r="O1618" s="230"/>
      <c r="P1618" s="230"/>
      <c r="Q1618" s="230"/>
      <c r="R1618" s="230"/>
      <c r="S1618" s="239"/>
      <c r="T1618" s="230"/>
      <c r="U1618" s="230"/>
      <c r="V1618" s="230"/>
      <c r="W1618" s="230"/>
      <c r="X1618" s="230"/>
      <c r="Y1618" s="230"/>
      <c r="Z1618" s="230"/>
      <c r="AA1618" s="230"/>
      <c r="AB1618" s="230"/>
      <c r="AC1618" s="230"/>
      <c r="AD1618" s="230"/>
    </row>
    <row r="1619" spans="1:30" ht="15.75" x14ac:dyDescent="0.25">
      <c r="A1619" s="230"/>
      <c r="B1619" s="234"/>
      <c r="C1619" s="234"/>
      <c r="D1619" s="234"/>
      <c r="E1619" s="230"/>
      <c r="F1619" s="230"/>
      <c r="G1619" s="230"/>
      <c r="H1619" s="230"/>
      <c r="I1619" s="230"/>
      <c r="J1619" s="230"/>
      <c r="K1619" s="230"/>
      <c r="L1619" s="230"/>
      <c r="M1619" s="230"/>
      <c r="N1619" s="230"/>
      <c r="O1619" s="230"/>
      <c r="P1619" s="230"/>
      <c r="Q1619" s="230"/>
      <c r="R1619" s="230"/>
      <c r="S1619" s="239"/>
      <c r="T1619" s="230"/>
      <c r="U1619" s="230"/>
      <c r="V1619" s="230"/>
      <c r="W1619" s="230"/>
      <c r="X1619" s="230"/>
      <c r="Y1619" s="230"/>
      <c r="Z1619" s="230"/>
      <c r="AA1619" s="230"/>
      <c r="AB1619" s="230"/>
      <c r="AC1619" s="230"/>
      <c r="AD1619" s="230"/>
    </row>
    <row r="1620" spans="1:30" ht="15.75" x14ac:dyDescent="0.25">
      <c r="A1620" s="230"/>
      <c r="B1620" s="234"/>
      <c r="C1620" s="234"/>
      <c r="D1620" s="234"/>
      <c r="E1620" s="230"/>
      <c r="F1620" s="230"/>
      <c r="G1620" s="230"/>
      <c r="H1620" s="230"/>
      <c r="I1620" s="230"/>
      <c r="J1620" s="230"/>
      <c r="K1620" s="230"/>
      <c r="L1620" s="230"/>
      <c r="M1620" s="230"/>
      <c r="N1620" s="230"/>
      <c r="O1620" s="230"/>
      <c r="P1620" s="230"/>
      <c r="Q1620" s="230"/>
      <c r="R1620" s="230"/>
      <c r="S1620" s="239"/>
      <c r="T1620" s="230"/>
      <c r="U1620" s="230"/>
      <c r="V1620" s="230"/>
      <c r="W1620" s="230"/>
      <c r="X1620" s="230"/>
      <c r="Y1620" s="230"/>
      <c r="Z1620" s="230"/>
      <c r="AA1620" s="230"/>
      <c r="AB1620" s="230"/>
      <c r="AC1620" s="230"/>
      <c r="AD1620" s="230"/>
    </row>
    <row r="1621" spans="1:30" ht="15.75" x14ac:dyDescent="0.25">
      <c r="A1621" s="230"/>
      <c r="B1621" s="234"/>
      <c r="C1621" s="234"/>
      <c r="D1621" s="234"/>
      <c r="E1621" s="230"/>
      <c r="F1621" s="230"/>
      <c r="G1621" s="230"/>
      <c r="H1621" s="230"/>
      <c r="I1621" s="230"/>
      <c r="J1621" s="230"/>
      <c r="K1621" s="230"/>
      <c r="L1621" s="230"/>
      <c r="M1621" s="230"/>
      <c r="N1621" s="230"/>
      <c r="O1621" s="230"/>
      <c r="P1621" s="230"/>
      <c r="Q1621" s="230"/>
      <c r="R1621" s="230"/>
      <c r="S1621" s="239"/>
      <c r="T1621" s="230"/>
      <c r="U1621" s="230"/>
      <c r="V1621" s="230"/>
      <c r="W1621" s="230"/>
      <c r="X1621" s="230"/>
      <c r="Y1621" s="230"/>
      <c r="Z1621" s="230"/>
      <c r="AA1621" s="230"/>
      <c r="AB1621" s="230"/>
      <c r="AC1621" s="230"/>
      <c r="AD1621" s="230"/>
    </row>
    <row r="1622" spans="1:30" ht="15.75" x14ac:dyDescent="0.25">
      <c r="A1622" s="230"/>
      <c r="B1622" s="234"/>
      <c r="C1622" s="234"/>
      <c r="D1622" s="234"/>
      <c r="E1622" s="230"/>
      <c r="F1622" s="230"/>
      <c r="G1622" s="230"/>
      <c r="H1622" s="230"/>
      <c r="I1622" s="230"/>
      <c r="J1622" s="230"/>
      <c r="K1622" s="230"/>
      <c r="L1622" s="230"/>
      <c r="M1622" s="230"/>
      <c r="N1622" s="230"/>
      <c r="O1622" s="230"/>
      <c r="P1622" s="230"/>
      <c r="Q1622" s="230"/>
      <c r="R1622" s="230"/>
      <c r="S1622" s="239"/>
      <c r="T1622" s="230"/>
      <c r="U1622" s="230"/>
      <c r="V1622" s="230"/>
      <c r="W1622" s="230"/>
      <c r="X1622" s="230"/>
      <c r="Y1622" s="230"/>
      <c r="Z1622" s="230"/>
      <c r="AA1622" s="230"/>
      <c r="AB1622" s="230"/>
      <c r="AC1622" s="230"/>
      <c r="AD1622" s="230"/>
    </row>
    <row r="1623" spans="1:30" ht="15.75" x14ac:dyDescent="0.25">
      <c r="A1623" s="230"/>
      <c r="B1623" s="234"/>
      <c r="C1623" s="234"/>
      <c r="D1623" s="234"/>
      <c r="E1623" s="230"/>
      <c r="F1623" s="230"/>
      <c r="G1623" s="230"/>
      <c r="H1623" s="230"/>
      <c r="I1623" s="230"/>
      <c r="J1623" s="230"/>
      <c r="K1623" s="230"/>
      <c r="L1623" s="230"/>
      <c r="M1623" s="230"/>
      <c r="N1623" s="230"/>
      <c r="O1623" s="230"/>
      <c r="P1623" s="230"/>
      <c r="Q1623" s="230"/>
      <c r="R1623" s="230"/>
      <c r="S1623" s="239"/>
      <c r="T1623" s="230"/>
      <c r="U1623" s="230"/>
      <c r="V1623" s="230"/>
      <c r="W1623" s="230"/>
      <c r="X1623" s="230"/>
      <c r="Y1623" s="230"/>
      <c r="Z1623" s="230"/>
      <c r="AA1623" s="230"/>
      <c r="AB1623" s="230"/>
      <c r="AC1623" s="230"/>
      <c r="AD1623" s="230"/>
    </row>
    <row r="1624" spans="1:30" ht="15.75" x14ac:dyDescent="0.25">
      <c r="A1624" s="230"/>
      <c r="B1624" s="234"/>
      <c r="C1624" s="234"/>
      <c r="D1624" s="234"/>
      <c r="E1624" s="230"/>
      <c r="F1624" s="230"/>
      <c r="G1624" s="230"/>
      <c r="H1624" s="230"/>
      <c r="I1624" s="230"/>
      <c r="J1624" s="230"/>
      <c r="K1624" s="230"/>
      <c r="L1624" s="230"/>
      <c r="M1624" s="230"/>
      <c r="N1624" s="230"/>
      <c r="O1624" s="230"/>
      <c r="P1624" s="230"/>
      <c r="Q1624" s="230"/>
      <c r="R1624" s="230"/>
      <c r="S1624" s="239"/>
      <c r="T1624" s="230"/>
      <c r="U1624" s="230"/>
      <c r="V1624" s="230"/>
      <c r="W1624" s="230"/>
      <c r="X1624" s="230"/>
      <c r="Y1624" s="230"/>
      <c r="Z1624" s="230"/>
      <c r="AA1624" s="230"/>
      <c r="AB1624" s="230"/>
      <c r="AC1624" s="230"/>
      <c r="AD1624" s="230"/>
    </row>
    <row r="1625" spans="1:30" ht="15.75" x14ac:dyDescent="0.25">
      <c r="A1625" s="230"/>
      <c r="B1625" s="234"/>
      <c r="C1625" s="234"/>
      <c r="D1625" s="234"/>
      <c r="E1625" s="230"/>
      <c r="F1625" s="230"/>
      <c r="G1625" s="230"/>
      <c r="H1625" s="230"/>
      <c r="I1625" s="230"/>
      <c r="J1625" s="230"/>
      <c r="K1625" s="230"/>
      <c r="L1625" s="230"/>
      <c r="M1625" s="230"/>
      <c r="N1625" s="230"/>
      <c r="O1625" s="230"/>
      <c r="P1625" s="230"/>
      <c r="Q1625" s="230"/>
      <c r="R1625" s="230"/>
      <c r="S1625" s="239"/>
      <c r="T1625" s="230"/>
      <c r="U1625" s="230"/>
      <c r="V1625" s="230"/>
      <c r="W1625" s="230"/>
      <c r="X1625" s="230"/>
      <c r="Y1625" s="230"/>
      <c r="Z1625" s="230"/>
      <c r="AA1625" s="230"/>
      <c r="AB1625" s="230"/>
      <c r="AC1625" s="230"/>
      <c r="AD1625" s="230"/>
    </row>
    <row r="1626" spans="1:30" ht="15.75" x14ac:dyDescent="0.25">
      <c r="A1626" s="230"/>
      <c r="B1626" s="234"/>
      <c r="C1626" s="234"/>
      <c r="D1626" s="234"/>
      <c r="E1626" s="230"/>
      <c r="F1626" s="230"/>
      <c r="G1626" s="230"/>
      <c r="H1626" s="230"/>
      <c r="I1626" s="230"/>
      <c r="J1626" s="230"/>
      <c r="K1626" s="230"/>
      <c r="L1626" s="230"/>
      <c r="M1626" s="230"/>
      <c r="N1626" s="230"/>
      <c r="O1626" s="230"/>
      <c r="P1626" s="230"/>
      <c r="Q1626" s="230"/>
      <c r="R1626" s="230"/>
      <c r="S1626" s="239"/>
      <c r="T1626" s="230"/>
      <c r="U1626" s="230"/>
      <c r="V1626" s="230"/>
      <c r="W1626" s="230"/>
      <c r="X1626" s="230"/>
      <c r="Y1626" s="230"/>
      <c r="Z1626" s="230"/>
      <c r="AA1626" s="230"/>
      <c r="AB1626" s="230"/>
      <c r="AC1626" s="230"/>
      <c r="AD1626" s="230"/>
    </row>
    <row r="1627" spans="1:30" ht="15.75" x14ac:dyDescent="0.25">
      <c r="A1627" s="230"/>
      <c r="B1627" s="234"/>
      <c r="C1627" s="234"/>
      <c r="D1627" s="234"/>
      <c r="E1627" s="230"/>
      <c r="F1627" s="230"/>
      <c r="G1627" s="230"/>
      <c r="H1627" s="230"/>
      <c r="I1627" s="230"/>
      <c r="J1627" s="230"/>
      <c r="K1627" s="230"/>
      <c r="L1627" s="230"/>
      <c r="M1627" s="230"/>
      <c r="N1627" s="230"/>
      <c r="O1627" s="230"/>
      <c r="P1627" s="230"/>
      <c r="Q1627" s="230"/>
      <c r="R1627" s="230"/>
      <c r="S1627" s="239"/>
      <c r="T1627" s="230"/>
      <c r="U1627" s="230"/>
      <c r="V1627" s="230"/>
      <c r="W1627" s="230"/>
      <c r="X1627" s="230"/>
      <c r="Y1627" s="230"/>
      <c r="Z1627" s="230"/>
      <c r="AA1627" s="230"/>
      <c r="AB1627" s="230"/>
      <c r="AC1627" s="230"/>
      <c r="AD1627" s="230"/>
    </row>
    <row r="1628" spans="1:30" ht="15.75" x14ac:dyDescent="0.25">
      <c r="A1628" s="230"/>
      <c r="B1628" s="234"/>
      <c r="C1628" s="234"/>
      <c r="D1628" s="234"/>
      <c r="E1628" s="230"/>
      <c r="F1628" s="230"/>
      <c r="G1628" s="230"/>
      <c r="H1628" s="230"/>
      <c r="I1628" s="230"/>
      <c r="J1628" s="230"/>
      <c r="K1628" s="230"/>
      <c r="L1628" s="230"/>
      <c r="M1628" s="230"/>
      <c r="N1628" s="230"/>
      <c r="O1628" s="230"/>
      <c r="P1628" s="230"/>
      <c r="Q1628" s="230"/>
      <c r="R1628" s="230"/>
      <c r="S1628" s="239"/>
      <c r="T1628" s="230"/>
      <c r="U1628" s="230"/>
      <c r="V1628" s="230"/>
      <c r="W1628" s="230"/>
      <c r="X1628" s="230"/>
      <c r="Y1628" s="230"/>
      <c r="Z1628" s="230"/>
      <c r="AA1628" s="230"/>
      <c r="AB1628" s="230"/>
      <c r="AC1628" s="230"/>
      <c r="AD1628" s="230"/>
    </row>
    <row r="1629" spans="1:30" ht="15.75" x14ac:dyDescent="0.25">
      <c r="A1629" s="230"/>
      <c r="B1629" s="234"/>
      <c r="C1629" s="234"/>
      <c r="D1629" s="234"/>
      <c r="E1629" s="230"/>
      <c r="F1629" s="230"/>
      <c r="G1629" s="230"/>
      <c r="H1629" s="230"/>
      <c r="I1629" s="230"/>
      <c r="J1629" s="230"/>
      <c r="K1629" s="230"/>
      <c r="L1629" s="230"/>
      <c r="M1629" s="230"/>
      <c r="N1629" s="230"/>
      <c r="O1629" s="230"/>
      <c r="P1629" s="230"/>
      <c r="Q1629" s="230"/>
      <c r="R1629" s="230"/>
      <c r="S1629" s="239"/>
      <c r="T1629" s="230"/>
      <c r="U1629" s="230"/>
      <c r="V1629" s="230"/>
      <c r="W1629" s="230"/>
      <c r="X1629" s="230"/>
      <c r="Y1629" s="230"/>
      <c r="Z1629" s="230"/>
      <c r="AA1629" s="230"/>
      <c r="AB1629" s="230"/>
      <c r="AC1629" s="230"/>
      <c r="AD1629" s="230"/>
    </row>
    <row r="1630" spans="1:30" ht="15.75" x14ac:dyDescent="0.25">
      <c r="A1630" s="230"/>
      <c r="B1630" s="234"/>
      <c r="C1630" s="234"/>
      <c r="D1630" s="234"/>
      <c r="E1630" s="230"/>
      <c r="F1630" s="230"/>
      <c r="G1630" s="230"/>
      <c r="H1630" s="230"/>
      <c r="I1630" s="230"/>
      <c r="J1630" s="230"/>
      <c r="K1630" s="230"/>
      <c r="L1630" s="230"/>
      <c r="M1630" s="230"/>
      <c r="N1630" s="230"/>
      <c r="O1630" s="230"/>
      <c r="P1630" s="230"/>
      <c r="Q1630" s="230"/>
      <c r="R1630" s="230"/>
      <c r="S1630" s="239"/>
      <c r="T1630" s="230"/>
      <c r="U1630" s="230"/>
      <c r="V1630" s="230"/>
      <c r="W1630" s="230"/>
      <c r="X1630" s="230"/>
      <c r="Y1630" s="230"/>
      <c r="Z1630" s="230"/>
      <c r="AA1630" s="230"/>
      <c r="AB1630" s="230"/>
      <c r="AC1630" s="230"/>
      <c r="AD1630" s="230"/>
    </row>
    <row r="1631" spans="1:30" ht="15.75" x14ac:dyDescent="0.25">
      <c r="A1631" s="230"/>
      <c r="B1631" s="234"/>
      <c r="C1631" s="234"/>
      <c r="D1631" s="234"/>
      <c r="E1631" s="230"/>
      <c r="F1631" s="230"/>
      <c r="G1631" s="230"/>
      <c r="H1631" s="230"/>
      <c r="I1631" s="230"/>
      <c r="J1631" s="230"/>
      <c r="K1631" s="230"/>
      <c r="L1631" s="230"/>
      <c r="M1631" s="230"/>
      <c r="N1631" s="230"/>
      <c r="O1631" s="230"/>
      <c r="P1631" s="230"/>
      <c r="Q1631" s="230"/>
      <c r="R1631" s="230"/>
      <c r="S1631" s="239"/>
      <c r="T1631" s="230"/>
      <c r="U1631" s="230"/>
      <c r="V1631" s="230"/>
      <c r="W1631" s="230"/>
      <c r="X1631" s="230"/>
      <c r="Y1631" s="230"/>
      <c r="Z1631" s="230"/>
      <c r="AA1631" s="230"/>
      <c r="AB1631" s="230"/>
      <c r="AC1631" s="230"/>
      <c r="AD1631" s="230"/>
    </row>
    <row r="1632" spans="1:30" ht="15.75" x14ac:dyDescent="0.25">
      <c r="A1632" s="230"/>
      <c r="B1632" s="234"/>
      <c r="C1632" s="234"/>
      <c r="D1632" s="234"/>
      <c r="E1632" s="230"/>
      <c r="F1632" s="230"/>
      <c r="G1632" s="230"/>
      <c r="H1632" s="230"/>
      <c r="I1632" s="230"/>
      <c r="J1632" s="230"/>
      <c r="K1632" s="230"/>
      <c r="L1632" s="230"/>
      <c r="M1632" s="230"/>
      <c r="N1632" s="230"/>
      <c r="O1632" s="230"/>
      <c r="P1632" s="230"/>
      <c r="Q1632" s="230"/>
      <c r="R1632" s="230"/>
      <c r="S1632" s="239"/>
      <c r="T1632" s="230"/>
      <c r="U1632" s="230"/>
      <c r="V1632" s="230"/>
      <c r="W1632" s="230"/>
      <c r="X1632" s="230"/>
      <c r="Y1632" s="230"/>
      <c r="Z1632" s="230"/>
      <c r="AA1632" s="230"/>
      <c r="AB1632" s="230"/>
      <c r="AC1632" s="230"/>
      <c r="AD1632" s="230"/>
    </row>
    <row r="1633" spans="1:30" ht="15.75" x14ac:dyDescent="0.25">
      <c r="A1633" s="230"/>
      <c r="B1633" s="234"/>
      <c r="C1633" s="234"/>
      <c r="D1633" s="234"/>
      <c r="E1633" s="230"/>
      <c r="F1633" s="230"/>
      <c r="G1633" s="230"/>
      <c r="H1633" s="230"/>
      <c r="I1633" s="230"/>
      <c r="J1633" s="230"/>
      <c r="K1633" s="230"/>
      <c r="L1633" s="230"/>
      <c r="M1633" s="230"/>
      <c r="N1633" s="230"/>
      <c r="O1633" s="230"/>
      <c r="P1633" s="230"/>
      <c r="Q1633" s="230"/>
      <c r="R1633" s="230"/>
      <c r="S1633" s="239"/>
      <c r="T1633" s="230"/>
      <c r="U1633" s="230"/>
      <c r="V1633" s="230"/>
      <c r="W1633" s="230"/>
      <c r="X1633" s="230"/>
      <c r="Y1633" s="230"/>
      <c r="Z1633" s="230"/>
      <c r="AA1633" s="230"/>
      <c r="AB1633" s="230"/>
      <c r="AC1633" s="230"/>
      <c r="AD1633" s="230"/>
    </row>
    <row r="1634" spans="1:30" ht="15.75" x14ac:dyDescent="0.25">
      <c r="A1634" s="230"/>
      <c r="B1634" s="234"/>
      <c r="C1634" s="234"/>
      <c r="D1634" s="234"/>
      <c r="E1634" s="230"/>
      <c r="F1634" s="230"/>
      <c r="G1634" s="230"/>
      <c r="H1634" s="230"/>
      <c r="I1634" s="230"/>
      <c r="J1634" s="230"/>
      <c r="K1634" s="230"/>
      <c r="L1634" s="230"/>
      <c r="M1634" s="230"/>
      <c r="N1634" s="230"/>
      <c r="O1634" s="230"/>
      <c r="P1634" s="230"/>
      <c r="Q1634" s="230"/>
      <c r="R1634" s="230"/>
      <c r="S1634" s="239"/>
      <c r="T1634" s="230"/>
      <c r="U1634" s="230"/>
      <c r="V1634" s="230"/>
      <c r="W1634" s="230"/>
      <c r="X1634" s="230"/>
      <c r="Y1634" s="230"/>
      <c r="Z1634" s="230"/>
      <c r="AA1634" s="230"/>
      <c r="AB1634" s="230"/>
      <c r="AC1634" s="230"/>
      <c r="AD1634" s="230"/>
    </row>
    <row r="1635" spans="1:30" ht="15.75" x14ac:dyDescent="0.25">
      <c r="A1635" s="230"/>
      <c r="B1635" s="234"/>
      <c r="C1635" s="234"/>
      <c r="D1635" s="234"/>
      <c r="E1635" s="230"/>
      <c r="F1635" s="230"/>
      <c r="G1635" s="230"/>
      <c r="H1635" s="230"/>
      <c r="I1635" s="230"/>
      <c r="J1635" s="230"/>
      <c r="K1635" s="230"/>
      <c r="L1635" s="230"/>
      <c r="M1635" s="230"/>
      <c r="N1635" s="230"/>
      <c r="O1635" s="230"/>
      <c r="P1635" s="230"/>
      <c r="Q1635" s="230"/>
      <c r="R1635" s="230"/>
      <c r="S1635" s="239"/>
      <c r="T1635" s="230"/>
      <c r="U1635" s="230"/>
      <c r="V1635" s="230"/>
      <c r="W1635" s="230"/>
      <c r="X1635" s="230"/>
      <c r="Y1635" s="230"/>
      <c r="Z1635" s="230"/>
      <c r="AA1635" s="230"/>
      <c r="AB1635" s="230"/>
      <c r="AC1635" s="230"/>
      <c r="AD1635" s="230"/>
    </row>
    <row r="1636" spans="1:30" ht="15.75" x14ac:dyDescent="0.25">
      <c r="A1636" s="230"/>
      <c r="B1636" s="234"/>
      <c r="C1636" s="234"/>
      <c r="D1636" s="234"/>
      <c r="E1636" s="230"/>
      <c r="F1636" s="230"/>
      <c r="G1636" s="230"/>
      <c r="H1636" s="230"/>
      <c r="I1636" s="230"/>
      <c r="J1636" s="230"/>
      <c r="K1636" s="230"/>
      <c r="L1636" s="230"/>
      <c r="M1636" s="230"/>
      <c r="N1636" s="230"/>
      <c r="O1636" s="230"/>
      <c r="P1636" s="230"/>
      <c r="Q1636" s="230"/>
      <c r="R1636" s="230"/>
      <c r="S1636" s="239"/>
      <c r="T1636" s="230"/>
      <c r="U1636" s="230"/>
      <c r="V1636" s="230"/>
      <c r="W1636" s="230"/>
      <c r="X1636" s="230"/>
      <c r="Y1636" s="230"/>
      <c r="Z1636" s="230"/>
      <c r="AA1636" s="230"/>
      <c r="AB1636" s="230"/>
      <c r="AC1636" s="230"/>
      <c r="AD1636" s="230"/>
    </row>
    <row r="1637" spans="1:30" ht="15.75" x14ac:dyDescent="0.25">
      <c r="A1637" s="230"/>
      <c r="B1637" s="234"/>
      <c r="C1637" s="234"/>
      <c r="D1637" s="234"/>
      <c r="E1637" s="230"/>
      <c r="F1637" s="230"/>
      <c r="G1637" s="230"/>
      <c r="H1637" s="230"/>
      <c r="I1637" s="230"/>
      <c r="J1637" s="230"/>
      <c r="K1637" s="230"/>
      <c r="L1637" s="230"/>
      <c r="M1637" s="230"/>
      <c r="N1637" s="230"/>
      <c r="O1637" s="230"/>
      <c r="P1637" s="230"/>
      <c r="Q1637" s="230"/>
      <c r="R1637" s="230"/>
      <c r="S1637" s="239"/>
      <c r="T1637" s="230"/>
      <c r="U1637" s="230"/>
      <c r="V1637" s="230"/>
      <c r="W1637" s="230"/>
      <c r="X1637" s="230"/>
      <c r="Y1637" s="230"/>
      <c r="Z1637" s="230"/>
      <c r="AA1637" s="230"/>
      <c r="AB1637" s="230"/>
      <c r="AC1637" s="230"/>
      <c r="AD1637" s="230"/>
    </row>
    <row r="1638" spans="1:30" ht="15.75" x14ac:dyDescent="0.25">
      <c r="A1638" s="230"/>
      <c r="B1638" s="234"/>
      <c r="C1638" s="234"/>
      <c r="D1638" s="234"/>
      <c r="E1638" s="230"/>
      <c r="F1638" s="230"/>
      <c r="G1638" s="230"/>
      <c r="H1638" s="230"/>
      <c r="I1638" s="230"/>
      <c r="J1638" s="230"/>
      <c r="K1638" s="230"/>
      <c r="L1638" s="230"/>
      <c r="M1638" s="230"/>
      <c r="N1638" s="230"/>
      <c r="O1638" s="230"/>
      <c r="P1638" s="230"/>
      <c r="Q1638" s="230"/>
      <c r="R1638" s="230"/>
      <c r="S1638" s="239"/>
      <c r="T1638" s="230"/>
      <c r="U1638" s="230"/>
      <c r="V1638" s="230"/>
      <c r="W1638" s="230"/>
      <c r="X1638" s="230"/>
      <c r="Y1638" s="230"/>
      <c r="Z1638" s="230"/>
      <c r="AA1638" s="230"/>
      <c r="AB1638" s="230"/>
      <c r="AC1638" s="230"/>
      <c r="AD1638" s="230"/>
    </row>
    <row r="1639" spans="1:30" ht="15.75" x14ac:dyDescent="0.25">
      <c r="A1639" s="230"/>
      <c r="B1639" s="234"/>
      <c r="C1639" s="234"/>
      <c r="D1639" s="234"/>
      <c r="E1639" s="230"/>
      <c r="F1639" s="230"/>
      <c r="G1639" s="230"/>
      <c r="H1639" s="230"/>
      <c r="I1639" s="230"/>
      <c r="J1639" s="230"/>
      <c r="K1639" s="230"/>
      <c r="L1639" s="230"/>
      <c r="M1639" s="230"/>
      <c r="N1639" s="230"/>
      <c r="O1639" s="230"/>
      <c r="P1639" s="230"/>
      <c r="Q1639" s="230"/>
      <c r="R1639" s="230"/>
      <c r="S1639" s="239"/>
      <c r="T1639" s="230"/>
      <c r="U1639" s="230"/>
      <c r="V1639" s="230"/>
      <c r="W1639" s="230"/>
      <c r="X1639" s="230"/>
      <c r="Y1639" s="230"/>
      <c r="Z1639" s="230"/>
      <c r="AA1639" s="230"/>
      <c r="AB1639" s="230"/>
      <c r="AC1639" s="230"/>
      <c r="AD1639" s="230"/>
    </row>
    <row r="1640" spans="1:30" ht="15.75" x14ac:dyDescent="0.25">
      <c r="A1640" s="230"/>
      <c r="B1640" s="234"/>
      <c r="C1640" s="234"/>
      <c r="D1640" s="234"/>
      <c r="E1640" s="230"/>
      <c r="F1640" s="230"/>
      <c r="G1640" s="230"/>
      <c r="H1640" s="230"/>
      <c r="I1640" s="230"/>
      <c r="J1640" s="230"/>
      <c r="K1640" s="230"/>
      <c r="L1640" s="230"/>
      <c r="M1640" s="230"/>
      <c r="N1640" s="230"/>
      <c r="O1640" s="230"/>
      <c r="P1640" s="230"/>
      <c r="Q1640" s="230"/>
      <c r="R1640" s="230"/>
      <c r="S1640" s="239"/>
      <c r="T1640" s="230"/>
      <c r="U1640" s="230"/>
      <c r="V1640" s="230"/>
      <c r="W1640" s="230"/>
      <c r="X1640" s="230"/>
      <c r="Y1640" s="230"/>
      <c r="Z1640" s="230"/>
      <c r="AA1640" s="230"/>
      <c r="AB1640" s="230"/>
      <c r="AC1640" s="230"/>
      <c r="AD1640" s="230"/>
    </row>
    <row r="1641" spans="1:30" ht="15.75" x14ac:dyDescent="0.25">
      <c r="A1641" s="230"/>
      <c r="B1641" s="234"/>
      <c r="C1641" s="234"/>
      <c r="D1641" s="234"/>
      <c r="E1641" s="230"/>
      <c r="F1641" s="230"/>
      <c r="G1641" s="230"/>
      <c r="H1641" s="230"/>
      <c r="I1641" s="230"/>
      <c r="J1641" s="230"/>
      <c r="K1641" s="230"/>
      <c r="L1641" s="230"/>
      <c r="M1641" s="230"/>
      <c r="N1641" s="230"/>
      <c r="O1641" s="230"/>
      <c r="P1641" s="230"/>
      <c r="Q1641" s="230"/>
      <c r="R1641" s="230"/>
      <c r="S1641" s="239"/>
      <c r="T1641" s="230"/>
      <c r="U1641" s="230"/>
      <c r="V1641" s="230"/>
      <c r="W1641" s="230"/>
      <c r="X1641" s="230"/>
      <c r="Y1641" s="230"/>
      <c r="Z1641" s="230"/>
      <c r="AA1641" s="230"/>
      <c r="AB1641" s="230"/>
      <c r="AC1641" s="230"/>
      <c r="AD1641" s="230"/>
    </row>
    <row r="1642" spans="1:30" ht="15.75" x14ac:dyDescent="0.25">
      <c r="A1642" s="230"/>
      <c r="B1642" s="234"/>
      <c r="C1642" s="234"/>
      <c r="D1642" s="234"/>
      <c r="E1642" s="230"/>
      <c r="F1642" s="230"/>
      <c r="G1642" s="230"/>
      <c r="H1642" s="230"/>
      <c r="I1642" s="230"/>
      <c r="J1642" s="230"/>
      <c r="K1642" s="230"/>
      <c r="L1642" s="230"/>
      <c r="M1642" s="230"/>
      <c r="N1642" s="230"/>
      <c r="O1642" s="230"/>
      <c r="P1642" s="230"/>
      <c r="Q1642" s="230"/>
      <c r="R1642" s="230"/>
      <c r="S1642" s="239"/>
      <c r="T1642" s="230"/>
      <c r="U1642" s="230"/>
      <c r="V1642" s="230"/>
      <c r="W1642" s="230"/>
      <c r="X1642" s="230"/>
      <c r="Y1642" s="230"/>
      <c r="Z1642" s="230"/>
      <c r="AA1642" s="230"/>
      <c r="AB1642" s="230"/>
      <c r="AC1642" s="230"/>
      <c r="AD1642" s="230"/>
    </row>
    <row r="1643" spans="1:30" ht="15.75" x14ac:dyDescent="0.25">
      <c r="A1643" s="230"/>
      <c r="B1643" s="234"/>
      <c r="C1643" s="234"/>
      <c r="D1643" s="234"/>
      <c r="E1643" s="230"/>
      <c r="F1643" s="230"/>
      <c r="G1643" s="230"/>
      <c r="H1643" s="230"/>
      <c r="I1643" s="230"/>
      <c r="J1643" s="230"/>
      <c r="K1643" s="230"/>
      <c r="L1643" s="230"/>
      <c r="M1643" s="230"/>
      <c r="N1643" s="230"/>
      <c r="O1643" s="230"/>
      <c r="P1643" s="230"/>
      <c r="Q1643" s="230"/>
      <c r="R1643" s="230"/>
      <c r="S1643" s="239"/>
      <c r="T1643" s="230"/>
      <c r="U1643" s="230"/>
      <c r="V1643" s="230"/>
      <c r="W1643" s="230"/>
      <c r="X1643" s="230"/>
      <c r="Y1643" s="230"/>
      <c r="Z1643" s="230"/>
      <c r="AA1643" s="230"/>
      <c r="AB1643" s="230"/>
      <c r="AC1643" s="230"/>
      <c r="AD1643" s="230"/>
    </row>
    <row r="1644" spans="1:30" ht="15.75" x14ac:dyDescent="0.25">
      <c r="A1644" s="230"/>
      <c r="B1644" s="234"/>
      <c r="C1644" s="234"/>
      <c r="D1644" s="234"/>
      <c r="E1644" s="230"/>
      <c r="F1644" s="230"/>
      <c r="G1644" s="230"/>
      <c r="H1644" s="230"/>
      <c r="I1644" s="230"/>
      <c r="J1644" s="230"/>
      <c r="K1644" s="230"/>
      <c r="L1644" s="230"/>
      <c r="M1644" s="230"/>
      <c r="N1644" s="230"/>
      <c r="O1644" s="230"/>
      <c r="P1644" s="230"/>
      <c r="Q1644" s="230"/>
      <c r="R1644" s="230"/>
      <c r="S1644" s="239"/>
      <c r="T1644" s="230"/>
      <c r="U1644" s="230"/>
      <c r="V1644" s="230"/>
      <c r="W1644" s="230"/>
      <c r="X1644" s="230"/>
      <c r="Y1644" s="230"/>
      <c r="Z1644" s="230"/>
      <c r="AA1644" s="230"/>
      <c r="AB1644" s="230"/>
      <c r="AC1644" s="230"/>
      <c r="AD1644" s="230"/>
    </row>
    <row r="1645" spans="1:30" ht="15.75" x14ac:dyDescent="0.25">
      <c r="A1645" s="230"/>
      <c r="B1645" s="234"/>
      <c r="C1645" s="234"/>
      <c r="D1645" s="234"/>
      <c r="E1645" s="230"/>
      <c r="F1645" s="230"/>
      <c r="G1645" s="230"/>
      <c r="H1645" s="230"/>
      <c r="I1645" s="230"/>
      <c r="J1645" s="230"/>
      <c r="K1645" s="230"/>
      <c r="L1645" s="230"/>
      <c r="M1645" s="230"/>
      <c r="N1645" s="230"/>
      <c r="O1645" s="230"/>
      <c r="P1645" s="230"/>
      <c r="Q1645" s="230"/>
      <c r="R1645" s="230"/>
      <c r="S1645" s="239"/>
      <c r="T1645" s="230"/>
      <c r="U1645" s="230"/>
      <c r="V1645" s="230"/>
      <c r="W1645" s="230"/>
      <c r="X1645" s="230"/>
      <c r="Y1645" s="230"/>
      <c r="Z1645" s="230"/>
      <c r="AA1645" s="230"/>
      <c r="AB1645" s="230"/>
      <c r="AC1645" s="230"/>
      <c r="AD1645" s="230"/>
    </row>
    <row r="1646" spans="1:30" ht="15.75" x14ac:dyDescent="0.25">
      <c r="A1646" s="230"/>
      <c r="B1646" s="234"/>
      <c r="C1646" s="234"/>
      <c r="D1646" s="234"/>
      <c r="E1646" s="230"/>
      <c r="F1646" s="230"/>
      <c r="G1646" s="230"/>
      <c r="H1646" s="230"/>
      <c r="I1646" s="230"/>
      <c r="J1646" s="230"/>
      <c r="K1646" s="230"/>
      <c r="L1646" s="230"/>
      <c r="M1646" s="230"/>
      <c r="N1646" s="230"/>
      <c r="O1646" s="230"/>
      <c r="P1646" s="230"/>
      <c r="Q1646" s="230"/>
      <c r="R1646" s="230"/>
      <c r="S1646" s="239"/>
      <c r="T1646" s="230"/>
      <c r="U1646" s="230"/>
      <c r="V1646" s="230"/>
      <c r="W1646" s="230"/>
      <c r="X1646" s="230"/>
      <c r="Y1646" s="230"/>
      <c r="Z1646" s="230"/>
      <c r="AA1646" s="230"/>
      <c r="AB1646" s="230"/>
      <c r="AC1646" s="230"/>
      <c r="AD1646" s="230"/>
    </row>
    <row r="1647" spans="1:30" ht="15.75" x14ac:dyDescent="0.25">
      <c r="A1647" s="230"/>
      <c r="B1647" s="234"/>
      <c r="C1647" s="234"/>
      <c r="D1647" s="234"/>
      <c r="E1647" s="230"/>
      <c r="F1647" s="230"/>
      <c r="G1647" s="230"/>
      <c r="H1647" s="230"/>
      <c r="I1647" s="230"/>
      <c r="J1647" s="230"/>
      <c r="K1647" s="230"/>
      <c r="L1647" s="230"/>
      <c r="M1647" s="230"/>
      <c r="N1647" s="230"/>
      <c r="O1647" s="230"/>
      <c r="P1647" s="230"/>
      <c r="Q1647" s="230"/>
      <c r="R1647" s="230"/>
      <c r="S1647" s="239"/>
      <c r="T1647" s="230"/>
      <c r="U1647" s="230"/>
      <c r="V1647" s="230"/>
      <c r="W1647" s="230"/>
      <c r="X1647" s="230"/>
      <c r="Y1647" s="230"/>
      <c r="Z1647" s="230"/>
      <c r="AA1647" s="230"/>
      <c r="AB1647" s="230"/>
      <c r="AC1647" s="230"/>
      <c r="AD1647" s="230"/>
    </row>
    <row r="1648" spans="1:30" ht="15.75" x14ac:dyDescent="0.25">
      <c r="A1648" s="230"/>
      <c r="B1648" s="234"/>
      <c r="C1648" s="234"/>
      <c r="D1648" s="234"/>
      <c r="E1648" s="230"/>
      <c r="F1648" s="230"/>
      <c r="G1648" s="230"/>
      <c r="H1648" s="230"/>
      <c r="I1648" s="230"/>
      <c r="J1648" s="230"/>
      <c r="K1648" s="230"/>
      <c r="L1648" s="230"/>
      <c r="M1648" s="230"/>
      <c r="N1648" s="230"/>
      <c r="O1648" s="230"/>
      <c r="P1648" s="230"/>
      <c r="Q1648" s="230"/>
      <c r="R1648" s="230"/>
      <c r="S1648" s="239"/>
      <c r="T1648" s="230"/>
      <c r="U1648" s="230"/>
      <c r="V1648" s="230"/>
      <c r="W1648" s="230"/>
      <c r="X1648" s="230"/>
      <c r="Y1648" s="230"/>
      <c r="Z1648" s="230"/>
      <c r="AA1648" s="230"/>
      <c r="AB1648" s="230"/>
      <c r="AC1648" s="230"/>
      <c r="AD1648" s="230"/>
    </row>
    <row r="1649" spans="1:30" ht="15.75" x14ac:dyDescent="0.25">
      <c r="A1649" s="230"/>
      <c r="B1649" s="234"/>
      <c r="C1649" s="234"/>
      <c r="D1649" s="234"/>
      <c r="E1649" s="230"/>
      <c r="F1649" s="230"/>
      <c r="G1649" s="230"/>
      <c r="H1649" s="230"/>
      <c r="I1649" s="230"/>
      <c r="J1649" s="230"/>
      <c r="K1649" s="230"/>
      <c r="L1649" s="230"/>
      <c r="M1649" s="230"/>
      <c r="N1649" s="230"/>
      <c r="O1649" s="230"/>
      <c r="P1649" s="230"/>
      <c r="Q1649" s="230"/>
      <c r="R1649" s="230"/>
      <c r="S1649" s="239"/>
      <c r="T1649" s="230"/>
      <c r="U1649" s="230"/>
      <c r="V1649" s="230"/>
      <c r="W1649" s="230"/>
      <c r="X1649" s="230"/>
      <c r="Y1649" s="230"/>
      <c r="Z1649" s="230"/>
      <c r="AA1649" s="230"/>
      <c r="AB1649" s="230"/>
      <c r="AC1649" s="230"/>
      <c r="AD1649" s="230"/>
    </row>
    <row r="1650" spans="1:30" ht="15.75" x14ac:dyDescent="0.25">
      <c r="A1650" s="230"/>
      <c r="B1650" s="234"/>
      <c r="C1650" s="234"/>
      <c r="D1650" s="234"/>
      <c r="E1650" s="230"/>
      <c r="F1650" s="230"/>
      <c r="G1650" s="230"/>
      <c r="H1650" s="230"/>
      <c r="I1650" s="230"/>
      <c r="J1650" s="230"/>
      <c r="K1650" s="230"/>
      <c r="L1650" s="230"/>
      <c r="M1650" s="230"/>
      <c r="N1650" s="230"/>
      <c r="O1650" s="230"/>
      <c r="P1650" s="230"/>
      <c r="Q1650" s="230"/>
      <c r="R1650" s="230"/>
      <c r="S1650" s="239"/>
      <c r="T1650" s="230"/>
      <c r="U1650" s="230"/>
      <c r="V1650" s="230"/>
      <c r="W1650" s="230"/>
      <c r="X1650" s="230"/>
      <c r="Y1650" s="230"/>
      <c r="Z1650" s="230"/>
      <c r="AA1650" s="230"/>
      <c r="AB1650" s="230"/>
      <c r="AC1650" s="230"/>
      <c r="AD1650" s="230"/>
    </row>
    <row r="1651" spans="1:30" ht="15.75" x14ac:dyDescent="0.25">
      <c r="A1651" s="230"/>
      <c r="B1651" s="234"/>
      <c r="C1651" s="234"/>
      <c r="D1651" s="234"/>
      <c r="E1651" s="230"/>
      <c r="F1651" s="230"/>
      <c r="G1651" s="230"/>
      <c r="H1651" s="230"/>
      <c r="I1651" s="230"/>
      <c r="J1651" s="230"/>
      <c r="K1651" s="230"/>
      <c r="L1651" s="230"/>
      <c r="M1651" s="230"/>
      <c r="N1651" s="230"/>
      <c r="O1651" s="230"/>
      <c r="P1651" s="230"/>
      <c r="Q1651" s="230"/>
      <c r="R1651" s="230"/>
      <c r="S1651" s="239"/>
      <c r="T1651" s="230"/>
      <c r="U1651" s="230"/>
      <c r="V1651" s="230"/>
      <c r="W1651" s="230"/>
      <c r="X1651" s="230"/>
      <c r="Y1651" s="230"/>
      <c r="Z1651" s="230"/>
      <c r="AA1651" s="230"/>
      <c r="AB1651" s="230"/>
      <c r="AC1651" s="230"/>
      <c r="AD1651" s="230"/>
    </row>
    <row r="1652" spans="1:30" ht="15.75" x14ac:dyDescent="0.25">
      <c r="A1652" s="230"/>
      <c r="B1652" s="234"/>
      <c r="C1652" s="234"/>
      <c r="D1652" s="234"/>
      <c r="E1652" s="230"/>
      <c r="F1652" s="230"/>
      <c r="G1652" s="230"/>
      <c r="H1652" s="230"/>
      <c r="I1652" s="230"/>
      <c r="J1652" s="230"/>
      <c r="K1652" s="230"/>
      <c r="L1652" s="230"/>
      <c r="M1652" s="230"/>
      <c r="N1652" s="230"/>
      <c r="O1652" s="230"/>
      <c r="P1652" s="230"/>
      <c r="Q1652" s="230"/>
      <c r="R1652" s="230"/>
      <c r="S1652" s="239"/>
      <c r="T1652" s="230"/>
      <c r="U1652" s="230"/>
      <c r="V1652" s="230"/>
      <c r="W1652" s="230"/>
      <c r="X1652" s="230"/>
      <c r="Y1652" s="230"/>
      <c r="Z1652" s="230"/>
      <c r="AA1652" s="230"/>
      <c r="AB1652" s="230"/>
      <c r="AC1652" s="230"/>
      <c r="AD1652" s="230"/>
    </row>
    <row r="1653" spans="1:30" ht="15.75" x14ac:dyDescent="0.25">
      <c r="A1653" s="230"/>
      <c r="B1653" s="234"/>
      <c r="C1653" s="234"/>
      <c r="D1653" s="234"/>
      <c r="E1653" s="230"/>
      <c r="F1653" s="230"/>
      <c r="G1653" s="230"/>
      <c r="H1653" s="230"/>
      <c r="I1653" s="230"/>
      <c r="J1653" s="230"/>
      <c r="K1653" s="230"/>
      <c r="L1653" s="230"/>
      <c r="M1653" s="230"/>
      <c r="N1653" s="230"/>
      <c r="O1653" s="230"/>
      <c r="P1653" s="230"/>
      <c r="Q1653" s="230"/>
      <c r="R1653" s="230"/>
      <c r="S1653" s="239"/>
      <c r="T1653" s="230"/>
      <c r="U1653" s="230"/>
      <c r="V1653" s="230"/>
      <c r="W1653" s="230"/>
      <c r="X1653" s="230"/>
      <c r="Y1653" s="230"/>
      <c r="Z1653" s="230"/>
      <c r="AA1653" s="230"/>
      <c r="AB1653" s="230"/>
      <c r="AC1653" s="230"/>
      <c r="AD1653" s="230"/>
    </row>
    <row r="1654" spans="1:30" ht="15.75" x14ac:dyDescent="0.25">
      <c r="A1654" s="230"/>
      <c r="B1654" s="234"/>
      <c r="C1654" s="234"/>
      <c r="D1654" s="234"/>
      <c r="E1654" s="230"/>
      <c r="F1654" s="230"/>
      <c r="G1654" s="230"/>
      <c r="H1654" s="230"/>
      <c r="I1654" s="230"/>
      <c r="J1654" s="230"/>
      <c r="K1654" s="230"/>
      <c r="L1654" s="230"/>
      <c r="M1654" s="230"/>
      <c r="N1654" s="230"/>
      <c r="O1654" s="230"/>
      <c r="P1654" s="230"/>
      <c r="Q1654" s="230"/>
      <c r="R1654" s="230"/>
      <c r="S1654" s="239"/>
      <c r="T1654" s="230"/>
      <c r="U1654" s="230"/>
      <c r="V1654" s="230"/>
      <c r="W1654" s="230"/>
      <c r="X1654" s="230"/>
      <c r="Y1654" s="230"/>
      <c r="Z1654" s="230"/>
      <c r="AA1654" s="230"/>
      <c r="AB1654" s="230"/>
      <c r="AC1654" s="230"/>
      <c r="AD1654" s="230"/>
    </row>
    <row r="1655" spans="1:30" ht="15.75" x14ac:dyDescent="0.25">
      <c r="A1655" s="230"/>
      <c r="B1655" s="234"/>
      <c r="C1655" s="234"/>
      <c r="D1655" s="234"/>
      <c r="E1655" s="230"/>
      <c r="F1655" s="230"/>
      <c r="G1655" s="230"/>
      <c r="H1655" s="230"/>
      <c r="I1655" s="230"/>
      <c r="J1655" s="230"/>
      <c r="K1655" s="230"/>
      <c r="L1655" s="230"/>
      <c r="M1655" s="230"/>
      <c r="N1655" s="230"/>
      <c r="O1655" s="230"/>
      <c r="P1655" s="230"/>
      <c r="Q1655" s="230"/>
      <c r="R1655" s="230"/>
      <c r="S1655" s="239"/>
      <c r="T1655" s="230"/>
      <c r="U1655" s="230"/>
      <c r="V1655" s="230"/>
      <c r="W1655" s="230"/>
      <c r="X1655" s="230"/>
      <c r="Y1655" s="230"/>
      <c r="Z1655" s="230"/>
      <c r="AA1655" s="230"/>
      <c r="AB1655" s="230"/>
      <c r="AC1655" s="230"/>
      <c r="AD1655" s="230"/>
    </row>
    <row r="1656" spans="1:30" ht="15.75" x14ac:dyDescent="0.25">
      <c r="A1656" s="230"/>
      <c r="B1656" s="234"/>
      <c r="C1656" s="234"/>
      <c r="D1656" s="234"/>
      <c r="E1656" s="230"/>
      <c r="F1656" s="230"/>
      <c r="G1656" s="230"/>
      <c r="H1656" s="230"/>
      <c r="I1656" s="230"/>
      <c r="J1656" s="230"/>
      <c r="K1656" s="230"/>
      <c r="L1656" s="230"/>
      <c r="M1656" s="230"/>
      <c r="N1656" s="230"/>
      <c r="O1656" s="230"/>
      <c r="P1656" s="230"/>
      <c r="Q1656" s="230"/>
      <c r="R1656" s="230"/>
      <c r="S1656" s="239"/>
      <c r="T1656" s="230"/>
      <c r="U1656" s="230"/>
      <c r="V1656" s="230"/>
      <c r="W1656" s="230"/>
      <c r="X1656" s="230"/>
      <c r="Y1656" s="230"/>
      <c r="Z1656" s="230"/>
      <c r="AA1656" s="230"/>
      <c r="AB1656" s="230"/>
      <c r="AC1656" s="230"/>
      <c r="AD1656" s="230"/>
    </row>
    <row r="1657" spans="1:30" ht="15.75" x14ac:dyDescent="0.25">
      <c r="A1657" s="230"/>
      <c r="B1657" s="234"/>
      <c r="C1657" s="234"/>
      <c r="D1657" s="234"/>
      <c r="E1657" s="230"/>
      <c r="F1657" s="230"/>
      <c r="G1657" s="230"/>
      <c r="H1657" s="230"/>
      <c r="I1657" s="230"/>
      <c r="J1657" s="230"/>
      <c r="K1657" s="230"/>
      <c r="L1657" s="230"/>
      <c r="M1657" s="230"/>
      <c r="N1657" s="230"/>
      <c r="O1657" s="230"/>
      <c r="P1657" s="230"/>
      <c r="Q1657" s="230"/>
      <c r="R1657" s="230"/>
      <c r="S1657" s="239"/>
      <c r="T1657" s="230"/>
      <c r="U1657" s="230"/>
      <c r="V1657" s="230"/>
      <c r="W1657" s="230"/>
      <c r="X1657" s="230"/>
      <c r="Y1657" s="230"/>
      <c r="Z1657" s="230"/>
      <c r="AA1657" s="230"/>
      <c r="AB1657" s="230"/>
      <c r="AC1657" s="230"/>
      <c r="AD1657" s="230"/>
    </row>
    <row r="1658" spans="1:30" ht="15.75" x14ac:dyDescent="0.25">
      <c r="A1658" s="230"/>
      <c r="B1658" s="234"/>
      <c r="C1658" s="234"/>
      <c r="D1658" s="234"/>
      <c r="E1658" s="230"/>
      <c r="F1658" s="230"/>
      <c r="G1658" s="230"/>
      <c r="H1658" s="230"/>
      <c r="I1658" s="230"/>
      <c r="J1658" s="230"/>
      <c r="K1658" s="230"/>
      <c r="L1658" s="230"/>
      <c r="M1658" s="230"/>
      <c r="N1658" s="230"/>
      <c r="O1658" s="230"/>
      <c r="P1658" s="230"/>
      <c r="Q1658" s="230"/>
      <c r="R1658" s="230"/>
      <c r="S1658" s="239"/>
      <c r="T1658" s="230"/>
      <c r="U1658" s="230"/>
      <c r="V1658" s="230"/>
      <c r="W1658" s="230"/>
      <c r="X1658" s="230"/>
      <c r="Y1658" s="230"/>
      <c r="Z1658" s="230"/>
      <c r="AA1658" s="230"/>
      <c r="AB1658" s="230"/>
      <c r="AC1658" s="230"/>
      <c r="AD1658" s="230"/>
    </row>
    <row r="1659" spans="1:30" ht="15.75" x14ac:dyDescent="0.25">
      <c r="A1659" s="230"/>
      <c r="B1659" s="234"/>
      <c r="C1659" s="234"/>
      <c r="D1659" s="234"/>
      <c r="E1659" s="230"/>
      <c r="F1659" s="230"/>
      <c r="G1659" s="230"/>
      <c r="H1659" s="230"/>
      <c r="I1659" s="230"/>
      <c r="J1659" s="230"/>
      <c r="K1659" s="230"/>
      <c r="L1659" s="230"/>
      <c r="M1659" s="230"/>
      <c r="N1659" s="230"/>
      <c r="O1659" s="230"/>
      <c r="P1659" s="230"/>
      <c r="Q1659" s="230"/>
      <c r="R1659" s="230"/>
      <c r="S1659" s="239"/>
      <c r="T1659" s="230"/>
      <c r="U1659" s="230"/>
      <c r="V1659" s="230"/>
      <c r="W1659" s="230"/>
      <c r="X1659" s="230"/>
      <c r="Y1659" s="230"/>
      <c r="Z1659" s="230"/>
      <c r="AA1659" s="230"/>
      <c r="AB1659" s="230"/>
      <c r="AC1659" s="230"/>
      <c r="AD1659" s="230"/>
    </row>
    <row r="1660" spans="1:30" ht="15.75" x14ac:dyDescent="0.25">
      <c r="A1660" s="230"/>
      <c r="B1660" s="234"/>
      <c r="C1660" s="234"/>
      <c r="D1660" s="234"/>
      <c r="E1660" s="230"/>
      <c r="F1660" s="230"/>
      <c r="G1660" s="230"/>
      <c r="H1660" s="230"/>
      <c r="I1660" s="230"/>
      <c r="J1660" s="230"/>
      <c r="K1660" s="230"/>
      <c r="L1660" s="230"/>
      <c r="M1660" s="230"/>
      <c r="N1660" s="230"/>
      <c r="O1660" s="230"/>
      <c r="P1660" s="230"/>
      <c r="Q1660" s="230"/>
      <c r="R1660" s="230"/>
      <c r="S1660" s="239"/>
      <c r="T1660" s="230"/>
      <c r="U1660" s="230"/>
      <c r="V1660" s="230"/>
      <c r="W1660" s="230"/>
      <c r="X1660" s="230"/>
      <c r="Y1660" s="230"/>
      <c r="Z1660" s="230"/>
      <c r="AA1660" s="230"/>
      <c r="AB1660" s="230"/>
      <c r="AC1660" s="230"/>
      <c r="AD1660" s="230"/>
    </row>
    <row r="1661" spans="1:30" ht="15.75" x14ac:dyDescent="0.25">
      <c r="A1661" s="230"/>
      <c r="B1661" s="234"/>
      <c r="C1661" s="234"/>
      <c r="D1661" s="234"/>
      <c r="E1661" s="230"/>
      <c r="F1661" s="230"/>
      <c r="G1661" s="230"/>
      <c r="H1661" s="230"/>
      <c r="I1661" s="230"/>
      <c r="J1661" s="230"/>
      <c r="K1661" s="230"/>
      <c r="L1661" s="230"/>
      <c r="M1661" s="230"/>
      <c r="N1661" s="230"/>
      <c r="O1661" s="230"/>
      <c r="P1661" s="230"/>
      <c r="Q1661" s="230"/>
      <c r="R1661" s="230"/>
      <c r="S1661" s="239"/>
      <c r="T1661" s="230"/>
      <c r="U1661" s="230"/>
      <c r="V1661" s="230"/>
      <c r="W1661" s="230"/>
      <c r="X1661" s="230"/>
      <c r="Y1661" s="230"/>
      <c r="Z1661" s="230"/>
      <c r="AA1661" s="230"/>
      <c r="AB1661" s="230"/>
      <c r="AC1661" s="230"/>
      <c r="AD1661" s="230"/>
    </row>
    <row r="1662" spans="1:30" ht="15.75" x14ac:dyDescent="0.25">
      <c r="A1662" s="230"/>
      <c r="B1662" s="234"/>
      <c r="C1662" s="234"/>
      <c r="D1662" s="234"/>
      <c r="E1662" s="230"/>
      <c r="F1662" s="230"/>
      <c r="G1662" s="230"/>
      <c r="H1662" s="230"/>
      <c r="I1662" s="230"/>
      <c r="J1662" s="230"/>
      <c r="K1662" s="230"/>
      <c r="L1662" s="230"/>
      <c r="M1662" s="230"/>
      <c r="N1662" s="230"/>
      <c r="O1662" s="230"/>
      <c r="P1662" s="230"/>
      <c r="Q1662" s="230"/>
      <c r="R1662" s="230"/>
      <c r="S1662" s="239"/>
      <c r="T1662" s="230"/>
      <c r="U1662" s="230"/>
      <c r="V1662" s="230"/>
      <c r="W1662" s="230"/>
      <c r="X1662" s="230"/>
      <c r="Y1662" s="230"/>
      <c r="Z1662" s="230"/>
      <c r="AA1662" s="230"/>
      <c r="AB1662" s="230"/>
      <c r="AC1662" s="230"/>
      <c r="AD1662" s="230"/>
    </row>
    <row r="1663" spans="1:30" ht="15.75" x14ac:dyDescent="0.25">
      <c r="A1663" s="230"/>
      <c r="B1663" s="234"/>
      <c r="C1663" s="234"/>
      <c r="D1663" s="234"/>
      <c r="E1663" s="230"/>
      <c r="F1663" s="230"/>
      <c r="G1663" s="230"/>
      <c r="H1663" s="230"/>
      <c r="I1663" s="230"/>
      <c r="J1663" s="230"/>
      <c r="K1663" s="230"/>
      <c r="L1663" s="230"/>
      <c r="M1663" s="230"/>
      <c r="N1663" s="230"/>
      <c r="O1663" s="230"/>
      <c r="P1663" s="230"/>
      <c r="Q1663" s="230"/>
      <c r="R1663" s="230"/>
      <c r="S1663" s="239"/>
      <c r="T1663" s="230"/>
      <c r="U1663" s="230"/>
      <c r="V1663" s="230"/>
      <c r="W1663" s="230"/>
      <c r="X1663" s="230"/>
      <c r="Y1663" s="230"/>
      <c r="Z1663" s="230"/>
      <c r="AA1663" s="230"/>
      <c r="AB1663" s="230"/>
      <c r="AC1663" s="230"/>
      <c r="AD1663" s="230"/>
    </row>
    <row r="1664" spans="1:30" ht="15.75" x14ac:dyDescent="0.25">
      <c r="A1664" s="230"/>
      <c r="B1664" s="234"/>
      <c r="C1664" s="234"/>
      <c r="D1664" s="234"/>
      <c r="E1664" s="230"/>
      <c r="F1664" s="230"/>
      <c r="G1664" s="230"/>
      <c r="H1664" s="230"/>
      <c r="I1664" s="230"/>
      <c r="J1664" s="230"/>
      <c r="K1664" s="230"/>
      <c r="L1664" s="230"/>
      <c r="M1664" s="230"/>
      <c r="N1664" s="230"/>
      <c r="O1664" s="230"/>
      <c r="P1664" s="230"/>
      <c r="Q1664" s="230"/>
      <c r="R1664" s="230"/>
      <c r="S1664" s="239"/>
      <c r="T1664" s="230"/>
      <c r="U1664" s="230"/>
      <c r="V1664" s="230"/>
      <c r="W1664" s="230"/>
      <c r="X1664" s="230"/>
      <c r="Y1664" s="230"/>
      <c r="Z1664" s="230"/>
      <c r="AA1664" s="230"/>
      <c r="AB1664" s="230"/>
      <c r="AC1664" s="230"/>
      <c r="AD1664" s="230"/>
    </row>
    <row r="1665" spans="1:30" ht="15.75" x14ac:dyDescent="0.25">
      <c r="A1665" s="230"/>
      <c r="B1665" s="234"/>
      <c r="C1665" s="234"/>
      <c r="D1665" s="234"/>
      <c r="E1665" s="230"/>
      <c r="F1665" s="230"/>
      <c r="G1665" s="230"/>
      <c r="H1665" s="230"/>
      <c r="I1665" s="230"/>
      <c r="J1665" s="230"/>
      <c r="K1665" s="230"/>
      <c r="L1665" s="230"/>
      <c r="M1665" s="230"/>
      <c r="N1665" s="230"/>
      <c r="O1665" s="230"/>
      <c r="P1665" s="230"/>
      <c r="Q1665" s="230"/>
      <c r="R1665" s="230"/>
      <c r="S1665" s="239"/>
      <c r="T1665" s="230"/>
      <c r="U1665" s="230"/>
      <c r="V1665" s="230"/>
      <c r="W1665" s="230"/>
      <c r="X1665" s="230"/>
      <c r="Y1665" s="230"/>
      <c r="Z1665" s="230"/>
      <c r="AA1665" s="230"/>
      <c r="AB1665" s="230"/>
      <c r="AC1665" s="230"/>
      <c r="AD1665" s="230"/>
    </row>
    <row r="1666" spans="1:30" ht="15.75" x14ac:dyDescent="0.25">
      <c r="A1666" s="230"/>
      <c r="B1666" s="234"/>
      <c r="C1666" s="234"/>
      <c r="D1666" s="234"/>
      <c r="E1666" s="230"/>
      <c r="F1666" s="230"/>
      <c r="G1666" s="230"/>
      <c r="H1666" s="230"/>
      <c r="I1666" s="230"/>
      <c r="J1666" s="230"/>
      <c r="K1666" s="230"/>
      <c r="L1666" s="230"/>
      <c r="M1666" s="230"/>
      <c r="N1666" s="230"/>
      <c r="O1666" s="230"/>
      <c r="P1666" s="230"/>
      <c r="Q1666" s="230"/>
      <c r="R1666" s="230"/>
      <c r="S1666" s="239"/>
      <c r="T1666" s="230"/>
      <c r="U1666" s="230"/>
      <c r="V1666" s="230"/>
      <c r="W1666" s="230"/>
      <c r="X1666" s="230"/>
      <c r="Y1666" s="230"/>
      <c r="Z1666" s="230"/>
      <c r="AA1666" s="230"/>
      <c r="AB1666" s="230"/>
      <c r="AC1666" s="230"/>
      <c r="AD1666" s="230"/>
    </row>
    <row r="1667" spans="1:30" ht="15.75" x14ac:dyDescent="0.25">
      <c r="A1667" s="230"/>
      <c r="B1667" s="234"/>
      <c r="C1667" s="234"/>
      <c r="D1667" s="234"/>
      <c r="E1667" s="230"/>
      <c r="F1667" s="230"/>
      <c r="G1667" s="230"/>
      <c r="H1667" s="230"/>
      <c r="I1667" s="230"/>
      <c r="J1667" s="230"/>
      <c r="K1667" s="230"/>
      <c r="L1667" s="230"/>
      <c r="M1667" s="230"/>
      <c r="N1667" s="230"/>
      <c r="O1667" s="230"/>
      <c r="P1667" s="230"/>
      <c r="Q1667" s="230"/>
      <c r="R1667" s="230"/>
      <c r="S1667" s="239"/>
      <c r="T1667" s="230"/>
      <c r="U1667" s="230"/>
      <c r="V1667" s="230"/>
      <c r="W1667" s="230"/>
      <c r="X1667" s="230"/>
      <c r="Y1667" s="230"/>
      <c r="Z1667" s="230"/>
      <c r="AA1667" s="230"/>
      <c r="AB1667" s="230"/>
      <c r="AC1667" s="230"/>
      <c r="AD1667" s="230"/>
    </row>
    <row r="1668" spans="1:30" ht="15.75" x14ac:dyDescent="0.25">
      <c r="A1668" s="230"/>
      <c r="B1668" s="234"/>
      <c r="C1668" s="234"/>
      <c r="D1668" s="234"/>
      <c r="E1668" s="230"/>
      <c r="F1668" s="230"/>
      <c r="G1668" s="230"/>
      <c r="H1668" s="230"/>
      <c r="I1668" s="230"/>
      <c r="J1668" s="230"/>
      <c r="K1668" s="230"/>
      <c r="L1668" s="230"/>
      <c r="M1668" s="230"/>
      <c r="N1668" s="230"/>
      <c r="O1668" s="230"/>
      <c r="P1668" s="230"/>
      <c r="Q1668" s="230"/>
      <c r="R1668" s="230"/>
      <c r="S1668" s="239"/>
      <c r="T1668" s="230"/>
      <c r="U1668" s="230"/>
      <c r="V1668" s="230"/>
      <c r="W1668" s="230"/>
      <c r="X1668" s="230"/>
      <c r="Y1668" s="230"/>
      <c r="Z1668" s="230"/>
      <c r="AA1668" s="230"/>
      <c r="AB1668" s="230"/>
      <c r="AC1668" s="230"/>
      <c r="AD1668" s="230"/>
    </row>
    <row r="1669" spans="1:30" ht="15.75" x14ac:dyDescent="0.25">
      <c r="A1669" s="230"/>
      <c r="B1669" s="234"/>
      <c r="C1669" s="234"/>
      <c r="D1669" s="234"/>
      <c r="E1669" s="230"/>
      <c r="F1669" s="230"/>
      <c r="G1669" s="230"/>
      <c r="H1669" s="230"/>
      <c r="I1669" s="230"/>
      <c r="J1669" s="230"/>
      <c r="K1669" s="230"/>
      <c r="L1669" s="230"/>
      <c r="M1669" s="230"/>
      <c r="N1669" s="230"/>
      <c r="O1669" s="230"/>
      <c r="P1669" s="230"/>
      <c r="Q1669" s="230"/>
      <c r="R1669" s="230"/>
      <c r="S1669" s="239"/>
      <c r="T1669" s="230"/>
      <c r="U1669" s="230"/>
      <c r="V1669" s="230"/>
      <c r="W1669" s="230"/>
      <c r="X1669" s="230"/>
      <c r="Y1669" s="230"/>
      <c r="Z1669" s="230"/>
      <c r="AA1669" s="230"/>
      <c r="AB1669" s="230"/>
      <c r="AC1669" s="230"/>
      <c r="AD1669" s="230"/>
    </row>
    <row r="1670" spans="1:30" ht="15.75" x14ac:dyDescent="0.25">
      <c r="A1670" s="230"/>
      <c r="B1670" s="234"/>
      <c r="C1670" s="234"/>
      <c r="D1670" s="234"/>
      <c r="E1670" s="230"/>
      <c r="F1670" s="230"/>
      <c r="G1670" s="230"/>
      <c r="H1670" s="230"/>
      <c r="I1670" s="230"/>
      <c r="J1670" s="230"/>
      <c r="K1670" s="230"/>
      <c r="L1670" s="230"/>
      <c r="M1670" s="230"/>
      <c r="N1670" s="230"/>
      <c r="O1670" s="230"/>
      <c r="P1670" s="230"/>
      <c r="Q1670" s="230"/>
      <c r="R1670" s="230"/>
      <c r="S1670" s="239"/>
      <c r="T1670" s="230"/>
      <c r="U1670" s="230"/>
      <c r="V1670" s="230"/>
      <c r="W1670" s="230"/>
      <c r="X1670" s="230"/>
      <c r="Y1670" s="230"/>
      <c r="Z1670" s="230"/>
      <c r="AA1670" s="230"/>
      <c r="AB1670" s="230"/>
      <c r="AC1670" s="230"/>
      <c r="AD1670" s="230"/>
    </row>
    <row r="1671" spans="1:30" ht="15.75" x14ac:dyDescent="0.25">
      <c r="A1671" s="230"/>
      <c r="B1671" s="234"/>
      <c r="C1671" s="234"/>
      <c r="D1671" s="234"/>
      <c r="E1671" s="230"/>
      <c r="F1671" s="230"/>
      <c r="G1671" s="230"/>
      <c r="H1671" s="230"/>
      <c r="I1671" s="230"/>
      <c r="J1671" s="230"/>
      <c r="K1671" s="230"/>
      <c r="L1671" s="230"/>
      <c r="M1671" s="230"/>
      <c r="N1671" s="230"/>
      <c r="O1671" s="230"/>
      <c r="P1671" s="230"/>
      <c r="Q1671" s="230"/>
      <c r="R1671" s="230"/>
      <c r="S1671" s="239"/>
      <c r="T1671" s="230"/>
      <c r="U1671" s="230"/>
      <c r="V1671" s="230"/>
      <c r="W1671" s="230"/>
      <c r="X1671" s="230"/>
      <c r="Y1671" s="230"/>
      <c r="Z1671" s="230"/>
      <c r="AA1671" s="230"/>
      <c r="AB1671" s="230"/>
      <c r="AC1671" s="230"/>
      <c r="AD1671" s="230"/>
    </row>
    <row r="1672" spans="1:30" ht="15.75" x14ac:dyDescent="0.25">
      <c r="A1672" s="230"/>
      <c r="B1672" s="234"/>
      <c r="C1672" s="234"/>
      <c r="D1672" s="234"/>
      <c r="E1672" s="230"/>
      <c r="F1672" s="230"/>
      <c r="G1672" s="230"/>
      <c r="H1672" s="230"/>
      <c r="I1672" s="230"/>
      <c r="J1672" s="230"/>
      <c r="K1672" s="230"/>
      <c r="L1672" s="230"/>
      <c r="M1672" s="230"/>
      <c r="N1672" s="230"/>
      <c r="O1672" s="230"/>
      <c r="P1672" s="230"/>
      <c r="Q1672" s="230"/>
      <c r="R1672" s="230"/>
      <c r="S1672" s="239"/>
      <c r="T1672" s="230"/>
      <c r="U1672" s="230"/>
      <c r="V1672" s="230"/>
      <c r="W1672" s="230"/>
      <c r="X1672" s="230"/>
      <c r="Y1672" s="230"/>
      <c r="Z1672" s="230"/>
      <c r="AA1672" s="230"/>
      <c r="AB1672" s="230"/>
      <c r="AC1672" s="230"/>
      <c r="AD1672" s="230"/>
    </row>
    <row r="1673" spans="1:30" ht="15.75" x14ac:dyDescent="0.25">
      <c r="A1673" s="230"/>
      <c r="B1673" s="234"/>
      <c r="C1673" s="234"/>
      <c r="D1673" s="234"/>
      <c r="E1673" s="230"/>
      <c r="F1673" s="230"/>
      <c r="G1673" s="230"/>
      <c r="H1673" s="230"/>
      <c r="I1673" s="230"/>
      <c r="J1673" s="230"/>
      <c r="K1673" s="230"/>
      <c r="L1673" s="230"/>
      <c r="M1673" s="230"/>
      <c r="N1673" s="230"/>
      <c r="O1673" s="230"/>
      <c r="P1673" s="230"/>
      <c r="Q1673" s="230"/>
      <c r="R1673" s="230"/>
      <c r="S1673" s="239"/>
      <c r="T1673" s="230"/>
      <c r="U1673" s="230"/>
      <c r="V1673" s="230"/>
      <c r="W1673" s="230"/>
      <c r="X1673" s="230"/>
      <c r="Y1673" s="230"/>
      <c r="Z1673" s="230"/>
      <c r="AA1673" s="230"/>
      <c r="AB1673" s="230"/>
      <c r="AC1673" s="230"/>
      <c r="AD1673" s="230"/>
    </row>
    <row r="1674" spans="1:30" ht="15.75" x14ac:dyDescent="0.25">
      <c r="A1674" s="230"/>
      <c r="B1674" s="234"/>
      <c r="C1674" s="234"/>
      <c r="D1674" s="234"/>
      <c r="E1674" s="230"/>
      <c r="F1674" s="230"/>
      <c r="G1674" s="230"/>
      <c r="H1674" s="230"/>
      <c r="I1674" s="230"/>
      <c r="J1674" s="230"/>
      <c r="K1674" s="230"/>
      <c r="L1674" s="230"/>
      <c r="M1674" s="230"/>
      <c r="N1674" s="230"/>
      <c r="O1674" s="230"/>
      <c r="P1674" s="230"/>
      <c r="Q1674" s="230"/>
      <c r="R1674" s="230"/>
      <c r="S1674" s="239"/>
      <c r="T1674" s="230"/>
      <c r="U1674" s="230"/>
      <c r="V1674" s="230"/>
      <c r="W1674" s="230"/>
      <c r="X1674" s="230"/>
      <c r="Y1674" s="230"/>
      <c r="Z1674" s="230"/>
      <c r="AA1674" s="230"/>
      <c r="AB1674" s="230"/>
      <c r="AC1674" s="230"/>
      <c r="AD1674" s="230"/>
    </row>
    <row r="1675" spans="1:30" ht="15.75" x14ac:dyDescent="0.25">
      <c r="A1675" s="230"/>
      <c r="B1675" s="234"/>
      <c r="C1675" s="234"/>
      <c r="D1675" s="234"/>
      <c r="E1675" s="230"/>
      <c r="F1675" s="230"/>
      <c r="G1675" s="230"/>
      <c r="H1675" s="230"/>
      <c r="I1675" s="230"/>
      <c r="J1675" s="230"/>
      <c r="K1675" s="230"/>
      <c r="L1675" s="230"/>
      <c r="M1675" s="230"/>
      <c r="N1675" s="230"/>
      <c r="O1675" s="230"/>
      <c r="P1675" s="230"/>
      <c r="Q1675" s="230"/>
      <c r="R1675" s="230"/>
      <c r="S1675" s="239"/>
      <c r="T1675" s="230"/>
      <c r="U1675" s="230"/>
      <c r="V1675" s="230"/>
      <c r="W1675" s="230"/>
      <c r="X1675" s="230"/>
      <c r="Y1675" s="230"/>
      <c r="Z1675" s="230"/>
      <c r="AA1675" s="230"/>
      <c r="AB1675" s="230"/>
      <c r="AC1675" s="230"/>
      <c r="AD1675" s="230"/>
    </row>
    <row r="1676" spans="1:30" ht="15.75" x14ac:dyDescent="0.25">
      <c r="A1676" s="230"/>
      <c r="B1676" s="234"/>
      <c r="C1676" s="234"/>
      <c r="D1676" s="234"/>
      <c r="E1676" s="230"/>
      <c r="F1676" s="230"/>
      <c r="G1676" s="230"/>
      <c r="H1676" s="230"/>
      <c r="I1676" s="230"/>
      <c r="J1676" s="230"/>
      <c r="K1676" s="230"/>
      <c r="L1676" s="230"/>
      <c r="M1676" s="230"/>
      <c r="N1676" s="230"/>
      <c r="O1676" s="230"/>
      <c r="P1676" s="230"/>
      <c r="Q1676" s="230"/>
      <c r="R1676" s="230"/>
      <c r="S1676" s="239"/>
      <c r="T1676" s="230"/>
      <c r="U1676" s="230"/>
      <c r="V1676" s="230"/>
      <c r="W1676" s="230"/>
      <c r="X1676" s="230"/>
      <c r="Y1676" s="230"/>
      <c r="Z1676" s="230"/>
      <c r="AA1676" s="230"/>
      <c r="AB1676" s="230"/>
      <c r="AC1676" s="230"/>
      <c r="AD1676" s="230"/>
    </row>
    <row r="1677" spans="1:30" ht="15.75" x14ac:dyDescent="0.25">
      <c r="A1677" s="230"/>
      <c r="B1677" s="234"/>
      <c r="C1677" s="234"/>
      <c r="D1677" s="234"/>
      <c r="E1677" s="230"/>
      <c r="F1677" s="230"/>
      <c r="G1677" s="230"/>
      <c r="H1677" s="230"/>
      <c r="I1677" s="230"/>
      <c r="J1677" s="230"/>
      <c r="K1677" s="230"/>
      <c r="L1677" s="230"/>
      <c r="M1677" s="230"/>
      <c r="N1677" s="230"/>
      <c r="O1677" s="230"/>
      <c r="P1677" s="230"/>
      <c r="Q1677" s="230"/>
      <c r="R1677" s="230"/>
      <c r="S1677" s="239"/>
      <c r="T1677" s="230"/>
      <c r="U1677" s="230"/>
      <c r="V1677" s="230"/>
      <c r="W1677" s="230"/>
      <c r="X1677" s="230"/>
      <c r="Y1677" s="230"/>
      <c r="Z1677" s="230"/>
      <c r="AA1677" s="230"/>
      <c r="AB1677" s="230"/>
      <c r="AC1677" s="230"/>
      <c r="AD1677" s="230"/>
    </row>
    <row r="1678" spans="1:30" ht="15.75" x14ac:dyDescent="0.25">
      <c r="A1678" s="230"/>
      <c r="B1678" s="234"/>
      <c r="C1678" s="234"/>
      <c r="D1678" s="234"/>
      <c r="E1678" s="230"/>
      <c r="F1678" s="230"/>
      <c r="G1678" s="230"/>
      <c r="H1678" s="230"/>
      <c r="I1678" s="230"/>
      <c r="J1678" s="230"/>
      <c r="K1678" s="230"/>
      <c r="L1678" s="230"/>
      <c r="M1678" s="230"/>
      <c r="N1678" s="230"/>
      <c r="O1678" s="230"/>
      <c r="P1678" s="230"/>
      <c r="Q1678" s="230"/>
      <c r="R1678" s="230"/>
      <c r="S1678" s="239"/>
      <c r="T1678" s="230"/>
      <c r="U1678" s="230"/>
      <c r="V1678" s="230"/>
      <c r="W1678" s="230"/>
      <c r="X1678" s="230"/>
      <c r="Y1678" s="230"/>
      <c r="Z1678" s="230"/>
      <c r="AA1678" s="230"/>
      <c r="AB1678" s="230"/>
      <c r="AC1678" s="230"/>
      <c r="AD1678" s="230"/>
    </row>
    <row r="1679" spans="1:30" ht="15.75" x14ac:dyDescent="0.25">
      <c r="A1679" s="230"/>
      <c r="B1679" s="234"/>
      <c r="C1679" s="234"/>
      <c r="D1679" s="234"/>
      <c r="E1679" s="230"/>
      <c r="F1679" s="230"/>
      <c r="G1679" s="230"/>
      <c r="H1679" s="230"/>
      <c r="I1679" s="230"/>
      <c r="J1679" s="230"/>
      <c r="K1679" s="230"/>
      <c r="L1679" s="230"/>
      <c r="M1679" s="230"/>
      <c r="N1679" s="230"/>
      <c r="O1679" s="230"/>
      <c r="P1679" s="230"/>
      <c r="Q1679" s="230"/>
      <c r="R1679" s="230"/>
      <c r="S1679" s="239"/>
      <c r="T1679" s="230"/>
      <c r="U1679" s="230"/>
      <c r="V1679" s="230"/>
      <c r="W1679" s="230"/>
      <c r="X1679" s="230"/>
      <c r="Y1679" s="230"/>
      <c r="Z1679" s="230"/>
      <c r="AA1679" s="230"/>
      <c r="AB1679" s="230"/>
      <c r="AC1679" s="230"/>
      <c r="AD1679" s="230"/>
    </row>
    <row r="1680" spans="1:30" ht="15.75" x14ac:dyDescent="0.25">
      <c r="A1680" s="230"/>
      <c r="B1680" s="234"/>
      <c r="C1680" s="234"/>
      <c r="D1680" s="234"/>
      <c r="E1680" s="230"/>
      <c r="F1680" s="230"/>
      <c r="G1680" s="230"/>
      <c r="H1680" s="230"/>
      <c r="I1680" s="230"/>
      <c r="J1680" s="230"/>
      <c r="K1680" s="230"/>
      <c r="L1680" s="230"/>
      <c r="M1680" s="230"/>
      <c r="N1680" s="230"/>
      <c r="O1680" s="230"/>
      <c r="P1680" s="230"/>
      <c r="Q1680" s="230"/>
      <c r="R1680" s="230"/>
      <c r="S1680" s="239"/>
      <c r="T1680" s="230"/>
      <c r="U1680" s="230"/>
      <c r="V1680" s="230"/>
      <c r="W1680" s="230"/>
      <c r="X1680" s="230"/>
      <c r="Y1680" s="230"/>
      <c r="Z1680" s="230"/>
      <c r="AA1680" s="230"/>
      <c r="AB1680" s="230"/>
      <c r="AC1680" s="230"/>
      <c r="AD1680" s="230"/>
    </row>
    <row r="1681" spans="1:30" ht="15.75" x14ac:dyDescent="0.25">
      <c r="A1681" s="230"/>
      <c r="B1681" s="234"/>
      <c r="C1681" s="234"/>
      <c r="D1681" s="234"/>
      <c r="E1681" s="230"/>
      <c r="F1681" s="230"/>
      <c r="G1681" s="230"/>
      <c r="H1681" s="230"/>
      <c r="I1681" s="230"/>
      <c r="J1681" s="230"/>
      <c r="K1681" s="230"/>
      <c r="L1681" s="230"/>
      <c r="M1681" s="230"/>
      <c r="N1681" s="230"/>
      <c r="O1681" s="230"/>
      <c r="P1681" s="230"/>
      <c r="Q1681" s="230"/>
      <c r="R1681" s="230"/>
      <c r="S1681" s="239"/>
      <c r="T1681" s="230"/>
      <c r="U1681" s="230"/>
      <c r="V1681" s="230"/>
      <c r="W1681" s="230"/>
      <c r="X1681" s="230"/>
      <c r="Y1681" s="230"/>
      <c r="Z1681" s="230"/>
      <c r="AA1681" s="230"/>
      <c r="AB1681" s="230"/>
      <c r="AC1681" s="230"/>
      <c r="AD1681" s="230"/>
    </row>
    <row r="1682" spans="1:30" ht="15.75" x14ac:dyDescent="0.25">
      <c r="A1682" s="230"/>
      <c r="B1682" s="234"/>
      <c r="C1682" s="234"/>
      <c r="D1682" s="234"/>
      <c r="E1682" s="230"/>
      <c r="F1682" s="230"/>
      <c r="G1682" s="230"/>
      <c r="H1682" s="230"/>
      <c r="I1682" s="230"/>
      <c r="J1682" s="230"/>
      <c r="K1682" s="230"/>
      <c r="L1682" s="230"/>
      <c r="M1682" s="230"/>
      <c r="N1682" s="230"/>
      <c r="O1682" s="230"/>
      <c r="P1682" s="230"/>
      <c r="Q1682" s="230"/>
      <c r="R1682" s="230"/>
      <c r="S1682" s="239"/>
      <c r="T1682" s="230"/>
      <c r="U1682" s="230"/>
      <c r="V1682" s="230"/>
      <c r="W1682" s="230"/>
      <c r="X1682" s="230"/>
      <c r="Y1682" s="230"/>
      <c r="Z1682" s="230"/>
      <c r="AA1682" s="230"/>
      <c r="AB1682" s="230"/>
      <c r="AC1682" s="230"/>
      <c r="AD1682" s="230"/>
    </row>
    <row r="1683" spans="1:30" ht="15.75" x14ac:dyDescent="0.25">
      <c r="A1683" s="230"/>
      <c r="B1683" s="234"/>
      <c r="C1683" s="234"/>
      <c r="D1683" s="234"/>
      <c r="E1683" s="230"/>
      <c r="F1683" s="230"/>
      <c r="G1683" s="230"/>
      <c r="H1683" s="230"/>
      <c r="I1683" s="230"/>
      <c r="J1683" s="230"/>
      <c r="K1683" s="230"/>
      <c r="L1683" s="230"/>
      <c r="M1683" s="230"/>
      <c r="N1683" s="230"/>
      <c r="O1683" s="230"/>
      <c r="P1683" s="230"/>
      <c r="Q1683" s="230"/>
      <c r="R1683" s="230"/>
      <c r="S1683" s="239"/>
      <c r="T1683" s="230"/>
      <c r="U1683" s="230"/>
      <c r="V1683" s="230"/>
      <c r="W1683" s="230"/>
      <c r="X1683" s="230"/>
      <c r="Y1683" s="230"/>
      <c r="Z1683" s="230"/>
      <c r="AA1683" s="230"/>
      <c r="AB1683" s="230"/>
      <c r="AC1683" s="230"/>
      <c r="AD1683" s="230"/>
    </row>
    <row r="1684" spans="1:30" ht="15.75" x14ac:dyDescent="0.25">
      <c r="A1684" s="230"/>
      <c r="B1684" s="234"/>
      <c r="C1684" s="234"/>
      <c r="D1684" s="234"/>
      <c r="E1684" s="230"/>
      <c r="F1684" s="230"/>
      <c r="G1684" s="230"/>
      <c r="H1684" s="230"/>
      <c r="I1684" s="230"/>
      <c r="J1684" s="230"/>
      <c r="K1684" s="230"/>
      <c r="L1684" s="230"/>
      <c r="M1684" s="230"/>
      <c r="N1684" s="230"/>
      <c r="O1684" s="230"/>
      <c r="P1684" s="230"/>
      <c r="Q1684" s="230"/>
      <c r="R1684" s="230"/>
      <c r="S1684" s="239"/>
      <c r="T1684" s="230"/>
      <c r="U1684" s="230"/>
      <c r="V1684" s="230"/>
      <c r="W1684" s="230"/>
      <c r="X1684" s="230"/>
      <c r="Y1684" s="230"/>
      <c r="Z1684" s="230"/>
      <c r="AA1684" s="230"/>
      <c r="AB1684" s="230"/>
      <c r="AC1684" s="230"/>
      <c r="AD1684" s="230"/>
    </row>
    <row r="1685" spans="1:30" ht="15.75" x14ac:dyDescent="0.25">
      <c r="A1685" s="230"/>
      <c r="B1685" s="234"/>
      <c r="C1685" s="234"/>
      <c r="D1685" s="234"/>
      <c r="E1685" s="230"/>
      <c r="F1685" s="230"/>
      <c r="G1685" s="230"/>
      <c r="H1685" s="230"/>
      <c r="I1685" s="230"/>
      <c r="J1685" s="230"/>
      <c r="K1685" s="230"/>
      <c r="L1685" s="230"/>
      <c r="M1685" s="230"/>
      <c r="N1685" s="230"/>
      <c r="O1685" s="230"/>
      <c r="P1685" s="230"/>
      <c r="Q1685" s="230"/>
      <c r="R1685" s="230"/>
      <c r="S1685" s="239"/>
      <c r="T1685" s="230"/>
      <c r="U1685" s="230"/>
      <c r="V1685" s="230"/>
      <c r="W1685" s="230"/>
      <c r="X1685" s="230"/>
      <c r="Y1685" s="230"/>
      <c r="Z1685" s="230"/>
      <c r="AA1685" s="230"/>
      <c r="AB1685" s="230"/>
      <c r="AC1685" s="230"/>
      <c r="AD1685" s="230"/>
    </row>
    <row r="1686" spans="1:30" ht="15.75" x14ac:dyDescent="0.25">
      <c r="A1686" s="230"/>
      <c r="B1686" s="234"/>
      <c r="C1686" s="234"/>
      <c r="D1686" s="234"/>
      <c r="E1686" s="230"/>
      <c r="F1686" s="230"/>
      <c r="G1686" s="230"/>
      <c r="H1686" s="230"/>
      <c r="I1686" s="230"/>
      <c r="J1686" s="230"/>
      <c r="K1686" s="230"/>
      <c r="L1686" s="230"/>
      <c r="M1686" s="230"/>
      <c r="N1686" s="230"/>
      <c r="O1686" s="230"/>
      <c r="P1686" s="230"/>
      <c r="Q1686" s="230"/>
      <c r="R1686" s="230"/>
      <c r="S1686" s="239"/>
      <c r="T1686" s="230"/>
      <c r="U1686" s="230"/>
      <c r="V1686" s="230"/>
      <c r="W1686" s="230"/>
      <c r="X1686" s="230"/>
      <c r="Y1686" s="230"/>
      <c r="Z1686" s="230"/>
      <c r="AA1686" s="230"/>
      <c r="AB1686" s="230"/>
      <c r="AC1686" s="230"/>
      <c r="AD1686" s="230"/>
    </row>
    <row r="1687" spans="1:30" ht="15.75" x14ac:dyDescent="0.25">
      <c r="A1687" s="230"/>
      <c r="B1687" s="234"/>
      <c r="C1687" s="234"/>
      <c r="D1687" s="234"/>
      <c r="E1687" s="230"/>
      <c r="F1687" s="230"/>
      <c r="G1687" s="230"/>
      <c r="H1687" s="230"/>
      <c r="I1687" s="230"/>
      <c r="J1687" s="230"/>
      <c r="K1687" s="230"/>
      <c r="L1687" s="230"/>
      <c r="M1687" s="230"/>
      <c r="N1687" s="230"/>
      <c r="O1687" s="230"/>
      <c r="P1687" s="230"/>
      <c r="Q1687" s="230"/>
      <c r="R1687" s="230"/>
      <c r="S1687" s="239"/>
      <c r="T1687" s="230"/>
      <c r="U1687" s="230"/>
      <c r="V1687" s="230"/>
      <c r="W1687" s="230"/>
      <c r="X1687" s="230"/>
      <c r="Y1687" s="230"/>
      <c r="Z1687" s="230"/>
      <c r="AA1687" s="230"/>
      <c r="AB1687" s="230"/>
      <c r="AC1687" s="230"/>
      <c r="AD1687" s="230"/>
    </row>
    <row r="1688" spans="1:30" ht="15.75" x14ac:dyDescent="0.25">
      <c r="A1688" s="230"/>
      <c r="B1688" s="234"/>
      <c r="C1688" s="234"/>
      <c r="D1688" s="234"/>
      <c r="E1688" s="230"/>
      <c r="F1688" s="230"/>
      <c r="G1688" s="230"/>
      <c r="H1688" s="230"/>
      <c r="I1688" s="230"/>
      <c r="J1688" s="230"/>
      <c r="K1688" s="230"/>
      <c r="L1688" s="230"/>
      <c r="M1688" s="230"/>
      <c r="N1688" s="230"/>
      <c r="O1688" s="230"/>
      <c r="P1688" s="230"/>
      <c r="Q1688" s="230"/>
      <c r="R1688" s="230"/>
      <c r="S1688" s="239"/>
      <c r="T1688" s="230"/>
      <c r="U1688" s="230"/>
      <c r="V1688" s="230"/>
      <c r="W1688" s="230"/>
      <c r="X1688" s="230"/>
      <c r="Y1688" s="230"/>
      <c r="Z1688" s="230"/>
      <c r="AA1688" s="230"/>
      <c r="AB1688" s="230"/>
      <c r="AC1688" s="230"/>
      <c r="AD1688" s="230"/>
    </row>
    <row r="1689" spans="1:30" ht="15.75" x14ac:dyDescent="0.25">
      <c r="A1689" s="230"/>
      <c r="B1689" s="234"/>
      <c r="C1689" s="234"/>
      <c r="D1689" s="234"/>
      <c r="E1689" s="230"/>
      <c r="F1689" s="230"/>
      <c r="G1689" s="230"/>
      <c r="H1689" s="230"/>
      <c r="I1689" s="230"/>
      <c r="J1689" s="230"/>
      <c r="K1689" s="230"/>
      <c r="L1689" s="230"/>
      <c r="M1689" s="230"/>
      <c r="N1689" s="230"/>
      <c r="O1689" s="230"/>
      <c r="P1689" s="230"/>
      <c r="Q1689" s="230"/>
      <c r="R1689" s="230"/>
      <c r="S1689" s="239"/>
      <c r="T1689" s="230"/>
      <c r="U1689" s="230"/>
      <c r="V1689" s="230"/>
      <c r="W1689" s="230"/>
      <c r="X1689" s="230"/>
      <c r="Y1689" s="230"/>
      <c r="Z1689" s="230"/>
      <c r="AA1689" s="230"/>
      <c r="AB1689" s="230"/>
      <c r="AC1689" s="230"/>
      <c r="AD1689" s="230"/>
    </row>
    <row r="1690" spans="1:30" ht="15.75" x14ac:dyDescent="0.25">
      <c r="A1690" s="230"/>
      <c r="B1690" s="234"/>
      <c r="C1690" s="234"/>
      <c r="D1690" s="234"/>
      <c r="E1690" s="230"/>
      <c r="F1690" s="230"/>
      <c r="G1690" s="230"/>
      <c r="H1690" s="230"/>
      <c r="I1690" s="230"/>
      <c r="J1690" s="230"/>
      <c r="K1690" s="230"/>
      <c r="L1690" s="230"/>
      <c r="M1690" s="230"/>
      <c r="N1690" s="230"/>
      <c r="O1690" s="230"/>
      <c r="P1690" s="230"/>
      <c r="Q1690" s="230"/>
      <c r="R1690" s="230"/>
      <c r="S1690" s="239"/>
      <c r="T1690" s="230"/>
      <c r="U1690" s="230"/>
      <c r="V1690" s="230"/>
      <c r="W1690" s="230"/>
      <c r="X1690" s="230"/>
      <c r="Y1690" s="230"/>
      <c r="Z1690" s="230"/>
      <c r="AA1690" s="230"/>
      <c r="AB1690" s="230"/>
      <c r="AC1690" s="230"/>
      <c r="AD1690" s="230"/>
    </row>
    <row r="1691" spans="1:30" ht="15.75" x14ac:dyDescent="0.25">
      <c r="A1691" s="230"/>
      <c r="B1691" s="234"/>
      <c r="C1691" s="234"/>
      <c r="D1691" s="234"/>
      <c r="E1691" s="230"/>
      <c r="F1691" s="230"/>
      <c r="G1691" s="230"/>
      <c r="H1691" s="230"/>
      <c r="I1691" s="230"/>
      <c r="J1691" s="230"/>
      <c r="K1691" s="230"/>
      <c r="L1691" s="230"/>
      <c r="M1691" s="230"/>
      <c r="N1691" s="230"/>
      <c r="O1691" s="230"/>
      <c r="P1691" s="230"/>
      <c r="Q1691" s="230"/>
      <c r="R1691" s="230"/>
      <c r="S1691" s="239"/>
      <c r="T1691" s="230"/>
      <c r="U1691" s="230"/>
      <c r="V1691" s="230"/>
      <c r="W1691" s="230"/>
      <c r="X1691" s="230"/>
      <c r="Y1691" s="230"/>
      <c r="Z1691" s="230"/>
      <c r="AA1691" s="230"/>
      <c r="AB1691" s="230"/>
      <c r="AC1691" s="230"/>
      <c r="AD1691" s="230"/>
    </row>
    <row r="1692" spans="1:30" ht="15.75" x14ac:dyDescent="0.25">
      <c r="A1692" s="230"/>
      <c r="B1692" s="234"/>
      <c r="C1692" s="234"/>
      <c r="D1692" s="234"/>
      <c r="E1692" s="230"/>
      <c r="F1692" s="230"/>
      <c r="G1692" s="230"/>
      <c r="H1692" s="230"/>
      <c r="I1692" s="230"/>
      <c r="J1692" s="230"/>
      <c r="K1692" s="230"/>
      <c r="L1692" s="230"/>
      <c r="M1692" s="230"/>
      <c r="N1692" s="230"/>
      <c r="O1692" s="230"/>
      <c r="P1692" s="230"/>
      <c r="Q1692" s="230"/>
      <c r="R1692" s="230"/>
      <c r="S1692" s="239"/>
      <c r="T1692" s="230"/>
      <c r="U1692" s="230"/>
      <c r="V1692" s="230"/>
      <c r="W1692" s="230"/>
      <c r="X1692" s="230"/>
      <c r="Y1692" s="230"/>
      <c r="Z1692" s="230"/>
      <c r="AA1692" s="230"/>
      <c r="AB1692" s="230"/>
      <c r="AC1692" s="230"/>
      <c r="AD1692" s="230"/>
    </row>
    <row r="1693" spans="1:30" ht="15.75" x14ac:dyDescent="0.25">
      <c r="A1693" s="230"/>
      <c r="B1693" s="234"/>
      <c r="C1693" s="234"/>
      <c r="D1693" s="234"/>
      <c r="E1693" s="230"/>
      <c r="F1693" s="230"/>
      <c r="G1693" s="230"/>
      <c r="H1693" s="230"/>
      <c r="I1693" s="230"/>
      <c r="J1693" s="230"/>
      <c r="K1693" s="230"/>
      <c r="L1693" s="230"/>
      <c r="M1693" s="230"/>
      <c r="N1693" s="230"/>
      <c r="O1693" s="230"/>
      <c r="P1693" s="230"/>
      <c r="Q1693" s="230"/>
      <c r="R1693" s="230"/>
      <c r="S1693" s="239"/>
      <c r="T1693" s="230"/>
      <c r="U1693" s="230"/>
      <c r="V1693" s="230"/>
      <c r="W1693" s="230"/>
      <c r="X1693" s="230"/>
      <c r="Y1693" s="230"/>
      <c r="Z1693" s="230"/>
      <c r="AA1693" s="230"/>
      <c r="AB1693" s="230"/>
      <c r="AC1693" s="230"/>
      <c r="AD1693" s="230"/>
    </row>
    <row r="1694" spans="1:30" ht="15.75" x14ac:dyDescent="0.25">
      <c r="A1694" s="230"/>
      <c r="B1694" s="234"/>
      <c r="C1694" s="234"/>
      <c r="D1694" s="234"/>
      <c r="E1694" s="230"/>
      <c r="F1694" s="230"/>
      <c r="G1694" s="230"/>
      <c r="H1694" s="230"/>
      <c r="I1694" s="230"/>
      <c r="J1694" s="230"/>
      <c r="K1694" s="230"/>
      <c r="L1694" s="230"/>
      <c r="M1694" s="230"/>
      <c r="N1694" s="230"/>
      <c r="O1694" s="230"/>
      <c r="P1694" s="230"/>
      <c r="Q1694" s="230"/>
      <c r="R1694" s="230"/>
      <c r="S1694" s="239"/>
      <c r="T1694" s="230"/>
      <c r="U1694" s="230"/>
      <c r="V1694" s="230"/>
      <c r="W1694" s="230"/>
      <c r="X1694" s="230"/>
      <c r="Y1694" s="230"/>
      <c r="Z1694" s="230"/>
      <c r="AA1694" s="230"/>
      <c r="AB1694" s="230"/>
      <c r="AC1694" s="230"/>
      <c r="AD1694" s="230"/>
    </row>
    <row r="1695" spans="1:30" ht="15.75" x14ac:dyDescent="0.25">
      <c r="A1695" s="230"/>
      <c r="B1695" s="234"/>
      <c r="C1695" s="234"/>
      <c r="D1695" s="234"/>
      <c r="E1695" s="230"/>
      <c r="F1695" s="230"/>
      <c r="G1695" s="230"/>
      <c r="H1695" s="230"/>
      <c r="I1695" s="230"/>
      <c r="J1695" s="230"/>
      <c r="K1695" s="230"/>
      <c r="L1695" s="230"/>
      <c r="M1695" s="230"/>
      <c r="N1695" s="230"/>
      <c r="O1695" s="230"/>
      <c r="P1695" s="230"/>
      <c r="Q1695" s="230"/>
      <c r="R1695" s="230"/>
      <c r="S1695" s="239"/>
      <c r="T1695" s="230"/>
      <c r="U1695" s="230"/>
      <c r="V1695" s="230"/>
      <c r="W1695" s="230"/>
      <c r="X1695" s="230"/>
      <c r="Y1695" s="230"/>
      <c r="Z1695" s="230"/>
      <c r="AA1695" s="230"/>
      <c r="AB1695" s="230"/>
      <c r="AC1695" s="230"/>
      <c r="AD1695" s="230"/>
    </row>
    <row r="1696" spans="1:30" ht="15.75" x14ac:dyDescent="0.25">
      <c r="A1696" s="230"/>
      <c r="B1696" s="234"/>
      <c r="C1696" s="234"/>
      <c r="D1696" s="234"/>
      <c r="E1696" s="230"/>
      <c r="F1696" s="230"/>
      <c r="G1696" s="230"/>
      <c r="H1696" s="230"/>
      <c r="I1696" s="230"/>
      <c r="J1696" s="230"/>
      <c r="K1696" s="230"/>
      <c r="L1696" s="230"/>
      <c r="M1696" s="230"/>
      <c r="N1696" s="230"/>
      <c r="O1696" s="230"/>
      <c r="P1696" s="230"/>
      <c r="Q1696" s="230"/>
      <c r="R1696" s="230"/>
      <c r="S1696" s="239"/>
      <c r="T1696" s="230"/>
      <c r="U1696" s="230"/>
      <c r="V1696" s="230"/>
      <c r="W1696" s="230"/>
      <c r="X1696" s="230"/>
      <c r="Y1696" s="230"/>
      <c r="Z1696" s="230"/>
      <c r="AA1696" s="230"/>
      <c r="AB1696" s="230"/>
      <c r="AC1696" s="230"/>
      <c r="AD1696" s="230"/>
    </row>
    <row r="1697" spans="1:30" ht="15.75" x14ac:dyDescent="0.25">
      <c r="A1697" s="230"/>
      <c r="B1697" s="234"/>
      <c r="C1697" s="234"/>
      <c r="D1697" s="234"/>
      <c r="E1697" s="230"/>
      <c r="F1697" s="230"/>
      <c r="G1697" s="230"/>
      <c r="H1697" s="230"/>
      <c r="I1697" s="230"/>
      <c r="J1697" s="230"/>
      <c r="K1697" s="230"/>
      <c r="L1697" s="230"/>
      <c r="M1697" s="230"/>
      <c r="N1697" s="230"/>
      <c r="O1697" s="230"/>
      <c r="P1697" s="230"/>
      <c r="Q1697" s="230"/>
      <c r="R1697" s="230"/>
      <c r="S1697" s="239"/>
      <c r="T1697" s="230"/>
      <c r="U1697" s="230"/>
      <c r="V1697" s="230"/>
      <c r="W1697" s="230"/>
      <c r="X1697" s="230"/>
      <c r="Y1697" s="230"/>
      <c r="Z1697" s="230"/>
      <c r="AA1697" s="230"/>
      <c r="AB1697" s="230"/>
      <c r="AC1697" s="230"/>
      <c r="AD1697" s="230"/>
    </row>
    <row r="1698" spans="1:30" ht="15.75" x14ac:dyDescent="0.25">
      <c r="A1698" s="230"/>
      <c r="B1698" s="234"/>
      <c r="C1698" s="234"/>
      <c r="D1698" s="234"/>
      <c r="E1698" s="230"/>
      <c r="F1698" s="230"/>
      <c r="G1698" s="230"/>
      <c r="H1698" s="230"/>
      <c r="I1698" s="230"/>
      <c r="J1698" s="230"/>
      <c r="K1698" s="230"/>
      <c r="L1698" s="230"/>
      <c r="M1698" s="230"/>
      <c r="N1698" s="230"/>
      <c r="O1698" s="230"/>
      <c r="P1698" s="230"/>
      <c r="Q1698" s="230"/>
      <c r="R1698" s="230"/>
      <c r="S1698" s="239"/>
      <c r="T1698" s="230"/>
      <c r="U1698" s="230"/>
      <c r="V1698" s="230"/>
      <c r="W1698" s="230"/>
      <c r="X1698" s="230"/>
      <c r="Y1698" s="230"/>
      <c r="Z1698" s="230"/>
      <c r="AA1698" s="230"/>
      <c r="AB1698" s="230"/>
      <c r="AC1698" s="230"/>
      <c r="AD1698" s="230"/>
    </row>
    <row r="1699" spans="1:30" ht="15.75" x14ac:dyDescent="0.25">
      <c r="A1699" s="230"/>
      <c r="B1699" s="234"/>
      <c r="C1699" s="234"/>
      <c r="D1699" s="234"/>
      <c r="E1699" s="230"/>
      <c r="F1699" s="230"/>
      <c r="G1699" s="230"/>
      <c r="H1699" s="230"/>
      <c r="I1699" s="230"/>
      <c r="J1699" s="230"/>
      <c r="K1699" s="230"/>
      <c r="L1699" s="230"/>
      <c r="M1699" s="230"/>
      <c r="N1699" s="230"/>
      <c r="O1699" s="230"/>
      <c r="P1699" s="230"/>
      <c r="Q1699" s="230"/>
      <c r="R1699" s="230"/>
      <c r="S1699" s="239"/>
      <c r="T1699" s="230"/>
      <c r="U1699" s="230"/>
      <c r="V1699" s="230"/>
      <c r="W1699" s="230"/>
      <c r="X1699" s="230"/>
      <c r="Y1699" s="230"/>
      <c r="Z1699" s="230"/>
      <c r="AA1699" s="230"/>
      <c r="AB1699" s="230"/>
      <c r="AC1699" s="230"/>
      <c r="AD1699" s="230"/>
    </row>
    <row r="1700" spans="1:30" ht="15.75" x14ac:dyDescent="0.25">
      <c r="A1700" s="230"/>
      <c r="B1700" s="234"/>
      <c r="C1700" s="234"/>
      <c r="D1700" s="234"/>
      <c r="E1700" s="230"/>
      <c r="F1700" s="230"/>
      <c r="G1700" s="230"/>
      <c r="H1700" s="230"/>
      <c r="I1700" s="230"/>
      <c r="J1700" s="230"/>
      <c r="K1700" s="230"/>
      <c r="L1700" s="230"/>
      <c r="M1700" s="230"/>
      <c r="N1700" s="230"/>
      <c r="O1700" s="230"/>
      <c r="P1700" s="230"/>
      <c r="Q1700" s="230"/>
      <c r="R1700" s="230"/>
      <c r="S1700" s="239"/>
      <c r="T1700" s="230"/>
      <c r="U1700" s="230"/>
      <c r="V1700" s="230"/>
      <c r="W1700" s="230"/>
      <c r="X1700" s="230"/>
      <c r="Y1700" s="230"/>
      <c r="Z1700" s="230"/>
      <c r="AA1700" s="230"/>
      <c r="AB1700" s="230"/>
      <c r="AC1700" s="230"/>
      <c r="AD1700" s="230"/>
    </row>
    <row r="1701" spans="1:30" ht="15.75" x14ac:dyDescent="0.25">
      <c r="A1701" s="230"/>
      <c r="B1701" s="234"/>
      <c r="C1701" s="234"/>
      <c r="D1701" s="234"/>
      <c r="E1701" s="230"/>
      <c r="F1701" s="230"/>
      <c r="G1701" s="230"/>
      <c r="H1701" s="230"/>
      <c r="I1701" s="230"/>
      <c r="J1701" s="230"/>
      <c r="K1701" s="230"/>
      <c r="L1701" s="230"/>
      <c r="M1701" s="230"/>
      <c r="N1701" s="230"/>
      <c r="O1701" s="230"/>
      <c r="P1701" s="230"/>
      <c r="Q1701" s="230"/>
      <c r="R1701" s="230"/>
      <c r="S1701" s="239"/>
      <c r="T1701" s="230"/>
      <c r="U1701" s="230"/>
      <c r="V1701" s="230"/>
      <c r="W1701" s="230"/>
      <c r="X1701" s="230"/>
      <c r="Y1701" s="230"/>
      <c r="Z1701" s="230"/>
      <c r="AA1701" s="230"/>
      <c r="AB1701" s="230"/>
      <c r="AC1701" s="230"/>
      <c r="AD1701" s="230"/>
    </row>
    <row r="1702" spans="1:30" ht="15.75" x14ac:dyDescent="0.25">
      <c r="A1702" s="230"/>
      <c r="B1702" s="234"/>
      <c r="C1702" s="234"/>
      <c r="D1702" s="234"/>
      <c r="E1702" s="230"/>
      <c r="F1702" s="230"/>
      <c r="G1702" s="230"/>
      <c r="H1702" s="230"/>
      <c r="I1702" s="230"/>
      <c r="J1702" s="230"/>
      <c r="K1702" s="230"/>
      <c r="L1702" s="230"/>
      <c r="M1702" s="230"/>
      <c r="N1702" s="230"/>
      <c r="O1702" s="230"/>
      <c r="P1702" s="230"/>
      <c r="Q1702" s="230"/>
      <c r="R1702" s="230"/>
      <c r="S1702" s="239"/>
      <c r="T1702" s="230"/>
      <c r="U1702" s="230"/>
      <c r="V1702" s="230"/>
      <c r="W1702" s="230"/>
      <c r="X1702" s="230"/>
      <c r="Y1702" s="230"/>
      <c r="Z1702" s="230"/>
      <c r="AA1702" s="230"/>
      <c r="AB1702" s="230"/>
      <c r="AC1702" s="230"/>
      <c r="AD1702" s="230"/>
    </row>
    <row r="1703" spans="1:30" ht="15.75" x14ac:dyDescent="0.25">
      <c r="A1703" s="230"/>
      <c r="B1703" s="234"/>
      <c r="C1703" s="234"/>
      <c r="D1703" s="234"/>
      <c r="E1703" s="230"/>
      <c r="F1703" s="230"/>
      <c r="G1703" s="230"/>
      <c r="H1703" s="230"/>
      <c r="I1703" s="230"/>
      <c r="J1703" s="230"/>
      <c r="K1703" s="230"/>
      <c r="L1703" s="230"/>
      <c r="M1703" s="230"/>
      <c r="N1703" s="230"/>
      <c r="O1703" s="230"/>
      <c r="P1703" s="230"/>
      <c r="Q1703" s="230"/>
      <c r="R1703" s="230"/>
      <c r="S1703" s="239"/>
      <c r="T1703" s="230"/>
      <c r="U1703" s="230"/>
      <c r="V1703" s="230"/>
      <c r="W1703" s="230"/>
      <c r="X1703" s="230"/>
      <c r="Y1703" s="230"/>
      <c r="Z1703" s="230"/>
      <c r="AA1703" s="230"/>
      <c r="AB1703" s="230"/>
      <c r="AC1703" s="230"/>
      <c r="AD1703" s="230"/>
    </row>
    <row r="1704" spans="1:30" ht="15.75" x14ac:dyDescent="0.25">
      <c r="A1704" s="230"/>
      <c r="B1704" s="234"/>
      <c r="C1704" s="234"/>
      <c r="D1704" s="234"/>
      <c r="E1704" s="230"/>
      <c r="F1704" s="230"/>
      <c r="G1704" s="230"/>
      <c r="H1704" s="230"/>
      <c r="I1704" s="230"/>
      <c r="J1704" s="230"/>
      <c r="K1704" s="230"/>
      <c r="L1704" s="230"/>
      <c r="M1704" s="230"/>
      <c r="N1704" s="230"/>
      <c r="O1704" s="230"/>
      <c r="P1704" s="230"/>
      <c r="Q1704" s="230"/>
      <c r="R1704" s="230"/>
      <c r="S1704" s="239"/>
      <c r="T1704" s="230"/>
      <c r="U1704" s="230"/>
      <c r="V1704" s="230"/>
      <c r="W1704" s="230"/>
      <c r="X1704" s="230"/>
      <c r="Y1704" s="230"/>
      <c r="Z1704" s="230"/>
      <c r="AA1704" s="230"/>
      <c r="AB1704" s="230"/>
      <c r="AC1704" s="230"/>
      <c r="AD1704" s="230"/>
    </row>
    <row r="1705" spans="1:30" ht="15.75" x14ac:dyDescent="0.25">
      <c r="A1705" s="230"/>
      <c r="B1705" s="234"/>
      <c r="C1705" s="234"/>
      <c r="D1705" s="234"/>
      <c r="E1705" s="230"/>
      <c r="F1705" s="230"/>
      <c r="G1705" s="230"/>
      <c r="H1705" s="230"/>
      <c r="I1705" s="230"/>
      <c r="J1705" s="230"/>
      <c r="K1705" s="230"/>
      <c r="L1705" s="230"/>
      <c r="M1705" s="230"/>
      <c r="N1705" s="230"/>
      <c r="O1705" s="230"/>
      <c r="P1705" s="230"/>
      <c r="Q1705" s="230"/>
      <c r="R1705" s="230"/>
      <c r="S1705" s="239"/>
      <c r="T1705" s="230"/>
      <c r="U1705" s="230"/>
      <c r="V1705" s="230"/>
      <c r="W1705" s="230"/>
      <c r="X1705" s="230"/>
      <c r="Y1705" s="230"/>
      <c r="Z1705" s="230"/>
      <c r="AA1705" s="230"/>
      <c r="AB1705" s="230"/>
      <c r="AC1705" s="230"/>
      <c r="AD1705" s="230"/>
    </row>
    <row r="1706" spans="1:30" ht="15.75" x14ac:dyDescent="0.25">
      <c r="A1706" s="230"/>
      <c r="B1706" s="234"/>
      <c r="C1706" s="234"/>
      <c r="D1706" s="234"/>
      <c r="E1706" s="230"/>
      <c r="F1706" s="230"/>
      <c r="G1706" s="230"/>
      <c r="H1706" s="230"/>
      <c r="I1706" s="230"/>
      <c r="J1706" s="230"/>
      <c r="K1706" s="230"/>
      <c r="L1706" s="230"/>
      <c r="M1706" s="230"/>
      <c r="N1706" s="230"/>
      <c r="O1706" s="230"/>
      <c r="P1706" s="230"/>
      <c r="Q1706" s="230"/>
      <c r="R1706" s="230"/>
      <c r="S1706" s="239"/>
      <c r="T1706" s="230"/>
      <c r="U1706" s="230"/>
      <c r="V1706" s="230"/>
      <c r="W1706" s="230"/>
      <c r="X1706" s="230"/>
      <c r="Y1706" s="230"/>
      <c r="Z1706" s="230"/>
      <c r="AA1706" s="230"/>
      <c r="AB1706" s="230"/>
      <c r="AC1706" s="230"/>
      <c r="AD1706" s="230"/>
    </row>
    <row r="1707" spans="1:30" ht="15.75" x14ac:dyDescent="0.25">
      <c r="A1707" s="230"/>
      <c r="B1707" s="234"/>
      <c r="C1707" s="234"/>
      <c r="D1707" s="234"/>
      <c r="E1707" s="230"/>
      <c r="F1707" s="230"/>
      <c r="G1707" s="230"/>
      <c r="H1707" s="230"/>
      <c r="I1707" s="230"/>
      <c r="J1707" s="230"/>
      <c r="K1707" s="230"/>
      <c r="L1707" s="230"/>
      <c r="M1707" s="230"/>
      <c r="N1707" s="230"/>
      <c r="O1707" s="230"/>
      <c r="P1707" s="230"/>
      <c r="Q1707" s="230"/>
      <c r="R1707" s="230"/>
      <c r="S1707" s="239"/>
      <c r="T1707" s="230"/>
      <c r="U1707" s="230"/>
      <c r="V1707" s="230"/>
      <c r="W1707" s="230"/>
      <c r="X1707" s="230"/>
      <c r="Y1707" s="230"/>
      <c r="Z1707" s="230"/>
      <c r="AA1707" s="230"/>
      <c r="AB1707" s="230"/>
      <c r="AC1707" s="230"/>
      <c r="AD1707" s="230"/>
    </row>
    <row r="1708" spans="1:30" ht="15.75" x14ac:dyDescent="0.25">
      <c r="A1708" s="230"/>
      <c r="B1708" s="234"/>
      <c r="C1708" s="234"/>
      <c r="D1708" s="234"/>
      <c r="E1708" s="230"/>
      <c r="F1708" s="230"/>
      <c r="G1708" s="230"/>
      <c r="H1708" s="230"/>
      <c r="I1708" s="230"/>
      <c r="J1708" s="230"/>
      <c r="K1708" s="230"/>
      <c r="L1708" s="230"/>
      <c r="M1708" s="230"/>
      <c r="N1708" s="230"/>
      <c r="O1708" s="230"/>
      <c r="P1708" s="230"/>
      <c r="Q1708" s="230"/>
      <c r="R1708" s="230"/>
      <c r="S1708" s="239"/>
      <c r="T1708" s="230"/>
      <c r="U1708" s="230"/>
      <c r="V1708" s="230"/>
      <c r="W1708" s="230"/>
      <c r="X1708" s="230"/>
      <c r="Y1708" s="230"/>
      <c r="Z1708" s="230"/>
      <c r="AA1708" s="230"/>
      <c r="AB1708" s="230"/>
      <c r="AC1708" s="230"/>
      <c r="AD1708" s="230"/>
    </row>
    <row r="1709" spans="1:30" ht="15.75" x14ac:dyDescent="0.25">
      <c r="A1709" s="230"/>
      <c r="B1709" s="234"/>
      <c r="C1709" s="234"/>
      <c r="D1709" s="234"/>
      <c r="E1709" s="230"/>
      <c r="F1709" s="230"/>
      <c r="G1709" s="230"/>
      <c r="H1709" s="230"/>
      <c r="I1709" s="230"/>
      <c r="J1709" s="230"/>
      <c r="K1709" s="230"/>
      <c r="L1709" s="230"/>
      <c r="M1709" s="230"/>
      <c r="N1709" s="230"/>
      <c r="O1709" s="230"/>
      <c r="P1709" s="230"/>
      <c r="Q1709" s="230"/>
      <c r="R1709" s="230"/>
      <c r="S1709" s="239"/>
      <c r="T1709" s="230"/>
      <c r="U1709" s="230"/>
      <c r="V1709" s="230"/>
      <c r="W1709" s="230"/>
      <c r="X1709" s="230"/>
      <c r="Y1709" s="230"/>
      <c r="Z1709" s="230"/>
      <c r="AA1709" s="230"/>
      <c r="AB1709" s="230"/>
      <c r="AC1709" s="230"/>
      <c r="AD1709" s="230"/>
    </row>
    <row r="1710" spans="1:30" ht="15.75" x14ac:dyDescent="0.25">
      <c r="A1710" s="230"/>
      <c r="B1710" s="234"/>
      <c r="C1710" s="234"/>
      <c r="D1710" s="234"/>
      <c r="E1710" s="230"/>
      <c r="F1710" s="230"/>
      <c r="G1710" s="230"/>
      <c r="H1710" s="230"/>
      <c r="I1710" s="230"/>
      <c r="J1710" s="230"/>
      <c r="K1710" s="230"/>
      <c r="L1710" s="230"/>
      <c r="M1710" s="230"/>
      <c r="N1710" s="230"/>
      <c r="O1710" s="230"/>
      <c r="P1710" s="230"/>
      <c r="Q1710" s="230"/>
      <c r="R1710" s="230"/>
      <c r="S1710" s="239"/>
      <c r="T1710" s="230"/>
      <c r="U1710" s="230"/>
      <c r="V1710" s="230"/>
      <c r="W1710" s="230"/>
      <c r="X1710" s="230"/>
      <c r="Y1710" s="230"/>
      <c r="Z1710" s="230"/>
      <c r="AA1710" s="230"/>
      <c r="AB1710" s="230"/>
      <c r="AC1710" s="230"/>
      <c r="AD1710" s="230"/>
    </row>
    <row r="1711" spans="1:30" ht="15.75" x14ac:dyDescent="0.25">
      <c r="A1711" s="230"/>
      <c r="B1711" s="234"/>
      <c r="C1711" s="234"/>
      <c r="D1711" s="234"/>
      <c r="E1711" s="230"/>
      <c r="F1711" s="230"/>
      <c r="G1711" s="230"/>
      <c r="H1711" s="230"/>
      <c r="I1711" s="230"/>
      <c r="J1711" s="230"/>
      <c r="K1711" s="230"/>
      <c r="L1711" s="230"/>
      <c r="M1711" s="230"/>
      <c r="N1711" s="230"/>
      <c r="O1711" s="230"/>
      <c r="P1711" s="230"/>
      <c r="Q1711" s="230"/>
      <c r="R1711" s="230"/>
      <c r="S1711" s="239"/>
      <c r="T1711" s="230"/>
      <c r="U1711" s="230"/>
      <c r="V1711" s="230"/>
      <c r="W1711" s="230"/>
      <c r="X1711" s="230"/>
      <c r="Y1711" s="230"/>
      <c r="Z1711" s="230"/>
      <c r="AA1711" s="230"/>
      <c r="AB1711" s="230"/>
      <c r="AC1711" s="230"/>
      <c r="AD1711" s="230"/>
    </row>
    <row r="1712" spans="1:30" ht="15.75" x14ac:dyDescent="0.25">
      <c r="A1712" s="230"/>
      <c r="B1712" s="234"/>
      <c r="C1712" s="234"/>
      <c r="D1712" s="234"/>
      <c r="E1712" s="230"/>
      <c r="F1712" s="230"/>
      <c r="G1712" s="230"/>
      <c r="H1712" s="230"/>
      <c r="I1712" s="230"/>
      <c r="J1712" s="230"/>
      <c r="K1712" s="230"/>
      <c r="L1712" s="230"/>
      <c r="M1712" s="230"/>
      <c r="N1712" s="230"/>
      <c r="O1712" s="230"/>
      <c r="P1712" s="230"/>
      <c r="Q1712" s="230"/>
      <c r="R1712" s="230"/>
      <c r="S1712" s="239"/>
      <c r="T1712" s="230"/>
      <c r="U1712" s="230"/>
      <c r="V1712" s="230"/>
      <c r="W1712" s="230"/>
      <c r="X1712" s="230"/>
      <c r="Y1712" s="230"/>
      <c r="Z1712" s="230"/>
      <c r="AA1712" s="230"/>
      <c r="AB1712" s="230"/>
      <c r="AC1712" s="230"/>
      <c r="AD1712" s="230"/>
    </row>
    <row r="1713" spans="1:30" ht="15.75" x14ac:dyDescent="0.25">
      <c r="A1713" s="230"/>
      <c r="B1713" s="234"/>
      <c r="C1713" s="234"/>
      <c r="D1713" s="234"/>
      <c r="E1713" s="230"/>
      <c r="F1713" s="230"/>
      <c r="G1713" s="230"/>
      <c r="H1713" s="230"/>
      <c r="I1713" s="230"/>
      <c r="J1713" s="230"/>
      <c r="K1713" s="230"/>
      <c r="L1713" s="230"/>
      <c r="M1713" s="230"/>
      <c r="N1713" s="230"/>
      <c r="O1713" s="230"/>
      <c r="P1713" s="230"/>
      <c r="Q1713" s="230"/>
      <c r="R1713" s="230"/>
      <c r="S1713" s="239"/>
      <c r="T1713" s="230"/>
      <c r="U1713" s="230"/>
      <c r="V1713" s="230"/>
      <c r="W1713" s="230"/>
      <c r="X1713" s="230"/>
      <c r="Y1713" s="230"/>
      <c r="Z1713" s="230"/>
      <c r="AA1713" s="230"/>
      <c r="AB1713" s="230"/>
      <c r="AC1713" s="230"/>
      <c r="AD1713" s="230"/>
    </row>
    <row r="1714" spans="1:30" ht="15.75" x14ac:dyDescent="0.25">
      <c r="A1714" s="230"/>
      <c r="B1714" s="234"/>
      <c r="C1714" s="234"/>
      <c r="D1714" s="234"/>
      <c r="E1714" s="230"/>
      <c r="F1714" s="230"/>
      <c r="G1714" s="230"/>
      <c r="H1714" s="230"/>
      <c r="I1714" s="230"/>
      <c r="J1714" s="230"/>
      <c r="K1714" s="230"/>
      <c r="L1714" s="230"/>
      <c r="M1714" s="230"/>
      <c r="N1714" s="230"/>
      <c r="O1714" s="230"/>
      <c r="P1714" s="230"/>
      <c r="Q1714" s="230"/>
      <c r="R1714" s="230"/>
      <c r="S1714" s="239"/>
      <c r="T1714" s="230"/>
      <c r="U1714" s="230"/>
      <c r="V1714" s="230"/>
      <c r="W1714" s="230"/>
      <c r="X1714" s="230"/>
      <c r="Y1714" s="230"/>
      <c r="Z1714" s="230"/>
      <c r="AA1714" s="230"/>
      <c r="AB1714" s="230"/>
      <c r="AC1714" s="230"/>
      <c r="AD1714" s="230"/>
    </row>
    <row r="1715" spans="1:30" ht="15.75" x14ac:dyDescent="0.25">
      <c r="A1715" s="230"/>
      <c r="B1715" s="234"/>
      <c r="C1715" s="234"/>
      <c r="D1715" s="234"/>
      <c r="E1715" s="230"/>
      <c r="F1715" s="230"/>
      <c r="G1715" s="230"/>
      <c r="H1715" s="230"/>
      <c r="I1715" s="230"/>
      <c r="J1715" s="230"/>
      <c r="K1715" s="230"/>
      <c r="L1715" s="230"/>
      <c r="M1715" s="230"/>
      <c r="N1715" s="230"/>
      <c r="O1715" s="230"/>
      <c r="P1715" s="230"/>
      <c r="Q1715" s="230"/>
      <c r="R1715" s="230"/>
      <c r="S1715" s="239"/>
      <c r="T1715" s="230"/>
      <c r="U1715" s="230"/>
      <c r="V1715" s="230"/>
      <c r="W1715" s="230"/>
      <c r="X1715" s="230"/>
      <c r="Y1715" s="230"/>
      <c r="Z1715" s="230"/>
      <c r="AA1715" s="230"/>
      <c r="AB1715" s="230"/>
      <c r="AC1715" s="230"/>
      <c r="AD1715" s="230"/>
    </row>
    <row r="1716" spans="1:30" ht="15.75" x14ac:dyDescent="0.25">
      <c r="A1716" s="230"/>
      <c r="B1716" s="234"/>
      <c r="C1716" s="234"/>
      <c r="D1716" s="234"/>
      <c r="E1716" s="230"/>
      <c r="F1716" s="230"/>
      <c r="G1716" s="230"/>
      <c r="H1716" s="230"/>
      <c r="I1716" s="230"/>
      <c r="J1716" s="230"/>
      <c r="K1716" s="230"/>
      <c r="L1716" s="230"/>
      <c r="M1716" s="230"/>
      <c r="N1716" s="230"/>
      <c r="O1716" s="230"/>
      <c r="P1716" s="230"/>
      <c r="Q1716" s="230"/>
      <c r="R1716" s="230"/>
      <c r="S1716" s="239"/>
      <c r="T1716" s="230"/>
      <c r="U1716" s="230"/>
      <c r="V1716" s="230"/>
      <c r="W1716" s="230"/>
      <c r="X1716" s="230"/>
      <c r="Y1716" s="230"/>
      <c r="Z1716" s="230"/>
      <c r="AA1716" s="230"/>
      <c r="AB1716" s="230"/>
      <c r="AC1716" s="230"/>
      <c r="AD1716" s="230"/>
    </row>
    <row r="1717" spans="1:30" ht="15.75" x14ac:dyDescent="0.25">
      <c r="A1717" s="230"/>
      <c r="B1717" s="234"/>
      <c r="C1717" s="234"/>
      <c r="D1717" s="234"/>
      <c r="E1717" s="230"/>
      <c r="F1717" s="230"/>
      <c r="G1717" s="230"/>
      <c r="H1717" s="230"/>
      <c r="I1717" s="230"/>
      <c r="J1717" s="230"/>
      <c r="K1717" s="230"/>
      <c r="L1717" s="230"/>
      <c r="M1717" s="230"/>
      <c r="N1717" s="230"/>
      <c r="O1717" s="230"/>
      <c r="P1717" s="230"/>
      <c r="Q1717" s="230"/>
      <c r="R1717" s="230"/>
      <c r="S1717" s="239"/>
      <c r="T1717" s="230"/>
      <c r="U1717" s="230"/>
      <c r="V1717" s="230"/>
      <c r="W1717" s="230"/>
      <c r="X1717" s="230"/>
      <c r="Y1717" s="230"/>
      <c r="Z1717" s="230"/>
      <c r="AA1717" s="230"/>
      <c r="AB1717" s="230"/>
      <c r="AC1717" s="230"/>
      <c r="AD1717" s="230"/>
    </row>
    <row r="1718" spans="1:30" ht="15.75" x14ac:dyDescent="0.25">
      <c r="A1718" s="230"/>
      <c r="B1718" s="234"/>
      <c r="C1718" s="234"/>
      <c r="D1718" s="234"/>
      <c r="E1718" s="230"/>
      <c r="F1718" s="230"/>
      <c r="G1718" s="230"/>
      <c r="H1718" s="230"/>
      <c r="I1718" s="230"/>
      <c r="J1718" s="230"/>
      <c r="K1718" s="230"/>
      <c r="L1718" s="230"/>
      <c r="M1718" s="230"/>
      <c r="N1718" s="230"/>
      <c r="O1718" s="230"/>
      <c r="P1718" s="230"/>
      <c r="Q1718" s="230"/>
      <c r="R1718" s="230"/>
      <c r="S1718" s="239"/>
      <c r="T1718" s="230"/>
      <c r="U1718" s="230"/>
      <c r="V1718" s="230"/>
      <c r="W1718" s="230"/>
      <c r="X1718" s="230"/>
      <c r="Y1718" s="230"/>
      <c r="Z1718" s="230"/>
      <c r="AA1718" s="230"/>
      <c r="AB1718" s="230"/>
      <c r="AC1718" s="230"/>
      <c r="AD1718" s="230"/>
    </row>
    <row r="1719" spans="1:30" ht="15.75" x14ac:dyDescent="0.25">
      <c r="A1719" s="230"/>
      <c r="B1719" s="234"/>
      <c r="C1719" s="234"/>
      <c r="D1719" s="234"/>
      <c r="E1719" s="230"/>
      <c r="F1719" s="230"/>
      <c r="G1719" s="230"/>
      <c r="H1719" s="230"/>
      <c r="I1719" s="230"/>
      <c r="J1719" s="230"/>
      <c r="K1719" s="230"/>
      <c r="L1719" s="230"/>
      <c r="M1719" s="230"/>
      <c r="N1719" s="230"/>
      <c r="O1719" s="230"/>
      <c r="P1719" s="230"/>
      <c r="Q1719" s="230"/>
      <c r="R1719" s="230"/>
      <c r="S1719" s="239"/>
      <c r="T1719" s="230"/>
      <c r="U1719" s="230"/>
      <c r="V1719" s="230"/>
      <c r="W1719" s="230"/>
      <c r="X1719" s="230"/>
      <c r="Y1719" s="230"/>
      <c r="Z1719" s="230"/>
      <c r="AA1719" s="230"/>
      <c r="AB1719" s="230"/>
      <c r="AC1719" s="230"/>
      <c r="AD1719" s="230"/>
    </row>
    <row r="1720" spans="1:30" ht="15.75" x14ac:dyDescent="0.25">
      <c r="A1720" s="230"/>
      <c r="B1720" s="234"/>
      <c r="C1720" s="234"/>
      <c r="D1720" s="234"/>
      <c r="E1720" s="230"/>
      <c r="F1720" s="230"/>
      <c r="G1720" s="230"/>
      <c r="H1720" s="230"/>
      <c r="I1720" s="230"/>
      <c r="J1720" s="230"/>
      <c r="K1720" s="230"/>
      <c r="L1720" s="230"/>
      <c r="M1720" s="230"/>
      <c r="N1720" s="230"/>
      <c r="O1720" s="230"/>
      <c r="P1720" s="230"/>
      <c r="Q1720" s="230"/>
      <c r="R1720" s="230"/>
      <c r="S1720" s="239"/>
      <c r="T1720" s="230"/>
      <c r="U1720" s="230"/>
      <c r="V1720" s="230"/>
      <c r="W1720" s="230"/>
      <c r="X1720" s="230"/>
      <c r="Y1720" s="230"/>
      <c r="Z1720" s="230"/>
      <c r="AA1720" s="230"/>
      <c r="AB1720" s="230"/>
      <c r="AC1720" s="230"/>
      <c r="AD1720" s="230"/>
    </row>
    <row r="1721" spans="1:30" ht="15.75" x14ac:dyDescent="0.25">
      <c r="A1721" s="230"/>
      <c r="B1721" s="234"/>
      <c r="C1721" s="234"/>
      <c r="D1721" s="234"/>
      <c r="E1721" s="230"/>
      <c r="F1721" s="230"/>
      <c r="G1721" s="230"/>
      <c r="H1721" s="230"/>
      <c r="I1721" s="230"/>
      <c r="J1721" s="230"/>
      <c r="K1721" s="230"/>
      <c r="L1721" s="230"/>
      <c r="M1721" s="230"/>
      <c r="N1721" s="230"/>
      <c r="O1721" s="230"/>
      <c r="P1721" s="230"/>
      <c r="Q1721" s="230"/>
      <c r="R1721" s="230"/>
      <c r="S1721" s="239"/>
      <c r="T1721" s="230"/>
      <c r="U1721" s="230"/>
      <c r="V1721" s="230"/>
      <c r="W1721" s="230"/>
      <c r="X1721" s="230"/>
      <c r="Y1721" s="230"/>
      <c r="Z1721" s="230"/>
      <c r="AA1721" s="230"/>
      <c r="AB1721" s="230"/>
      <c r="AC1721" s="230"/>
      <c r="AD1721" s="230"/>
    </row>
    <row r="1722" spans="1:30" ht="15.75" x14ac:dyDescent="0.25">
      <c r="A1722" s="230"/>
      <c r="B1722" s="234"/>
      <c r="C1722" s="234"/>
      <c r="D1722" s="234"/>
      <c r="E1722" s="230"/>
      <c r="F1722" s="230"/>
      <c r="G1722" s="230"/>
      <c r="H1722" s="230"/>
      <c r="I1722" s="230"/>
      <c r="J1722" s="230"/>
      <c r="K1722" s="230"/>
      <c r="L1722" s="230"/>
      <c r="M1722" s="230"/>
      <c r="N1722" s="230"/>
      <c r="O1722" s="230"/>
      <c r="P1722" s="230"/>
      <c r="Q1722" s="230"/>
      <c r="R1722" s="230"/>
      <c r="S1722" s="239"/>
      <c r="T1722" s="230"/>
      <c r="U1722" s="230"/>
      <c r="V1722" s="230"/>
      <c r="W1722" s="230"/>
      <c r="X1722" s="230"/>
      <c r="Y1722" s="230"/>
      <c r="Z1722" s="230"/>
      <c r="AA1722" s="230"/>
      <c r="AB1722" s="230"/>
      <c r="AC1722" s="230"/>
      <c r="AD1722" s="230"/>
    </row>
    <row r="1723" spans="1:30" ht="15.75" x14ac:dyDescent="0.25">
      <c r="A1723" s="230"/>
      <c r="B1723" s="234"/>
      <c r="C1723" s="234"/>
      <c r="D1723" s="234"/>
      <c r="E1723" s="230"/>
      <c r="F1723" s="230"/>
      <c r="G1723" s="230"/>
      <c r="H1723" s="230"/>
      <c r="I1723" s="230"/>
      <c r="J1723" s="230"/>
      <c r="K1723" s="230"/>
      <c r="L1723" s="230"/>
      <c r="M1723" s="230"/>
      <c r="N1723" s="230"/>
      <c r="O1723" s="230"/>
      <c r="P1723" s="230"/>
      <c r="Q1723" s="230"/>
      <c r="R1723" s="230"/>
      <c r="S1723" s="239"/>
      <c r="T1723" s="230"/>
      <c r="U1723" s="230"/>
      <c r="V1723" s="230"/>
      <c r="W1723" s="230"/>
      <c r="X1723" s="230"/>
      <c r="Y1723" s="230"/>
      <c r="Z1723" s="230"/>
      <c r="AA1723" s="230"/>
      <c r="AB1723" s="230"/>
      <c r="AC1723" s="230"/>
      <c r="AD1723" s="230"/>
    </row>
    <row r="1724" spans="1:30" ht="15.75" x14ac:dyDescent="0.25">
      <c r="A1724" s="230"/>
      <c r="B1724" s="234"/>
      <c r="C1724" s="234"/>
      <c r="D1724" s="234"/>
      <c r="E1724" s="230"/>
      <c r="F1724" s="230"/>
      <c r="G1724" s="230"/>
      <c r="H1724" s="230"/>
      <c r="I1724" s="230"/>
      <c r="J1724" s="230"/>
      <c r="K1724" s="230"/>
      <c r="L1724" s="230"/>
      <c r="M1724" s="230"/>
      <c r="N1724" s="230"/>
      <c r="O1724" s="230"/>
      <c r="P1724" s="230"/>
      <c r="Q1724" s="230"/>
      <c r="R1724" s="230"/>
      <c r="S1724" s="239"/>
      <c r="T1724" s="230"/>
      <c r="U1724" s="230"/>
      <c r="V1724" s="230"/>
      <c r="W1724" s="230"/>
      <c r="X1724" s="230"/>
      <c r="Y1724" s="230"/>
      <c r="Z1724" s="230"/>
      <c r="AA1724" s="230"/>
      <c r="AB1724" s="230"/>
      <c r="AC1724" s="230"/>
      <c r="AD1724" s="230"/>
    </row>
    <row r="1725" spans="1:30" ht="15.75" x14ac:dyDescent="0.25">
      <c r="A1725" s="230"/>
      <c r="B1725" s="234"/>
      <c r="C1725" s="234"/>
      <c r="D1725" s="234"/>
      <c r="E1725" s="230"/>
      <c r="F1725" s="230"/>
      <c r="G1725" s="230"/>
      <c r="H1725" s="230"/>
      <c r="I1725" s="230"/>
      <c r="J1725" s="230"/>
      <c r="K1725" s="230"/>
      <c r="L1725" s="230"/>
      <c r="M1725" s="230"/>
      <c r="N1725" s="230"/>
      <c r="O1725" s="230"/>
      <c r="P1725" s="230"/>
      <c r="Q1725" s="230"/>
      <c r="R1725" s="230"/>
      <c r="S1725" s="239"/>
      <c r="T1725" s="230"/>
      <c r="U1725" s="230"/>
      <c r="V1725" s="230"/>
      <c r="W1725" s="230"/>
      <c r="X1725" s="230"/>
      <c r="Y1725" s="230"/>
      <c r="Z1725" s="230"/>
      <c r="AA1725" s="230"/>
      <c r="AB1725" s="230"/>
      <c r="AC1725" s="230"/>
      <c r="AD1725" s="230"/>
    </row>
    <row r="1726" spans="1:30" ht="15.75" x14ac:dyDescent="0.25">
      <c r="A1726" s="230"/>
      <c r="B1726" s="234"/>
      <c r="C1726" s="234"/>
      <c r="D1726" s="234"/>
      <c r="E1726" s="230"/>
      <c r="F1726" s="230"/>
      <c r="G1726" s="230"/>
      <c r="H1726" s="230"/>
      <c r="I1726" s="230"/>
      <c r="J1726" s="230"/>
      <c r="K1726" s="230"/>
      <c r="L1726" s="230"/>
      <c r="M1726" s="230"/>
      <c r="N1726" s="230"/>
      <c r="O1726" s="230"/>
      <c r="P1726" s="230"/>
      <c r="Q1726" s="230"/>
      <c r="R1726" s="230"/>
      <c r="S1726" s="239"/>
      <c r="T1726" s="230"/>
      <c r="U1726" s="230"/>
      <c r="V1726" s="230"/>
      <c r="W1726" s="230"/>
      <c r="X1726" s="230"/>
      <c r="Y1726" s="230"/>
      <c r="Z1726" s="230"/>
      <c r="AA1726" s="230"/>
      <c r="AB1726" s="230"/>
      <c r="AC1726" s="230"/>
      <c r="AD1726" s="230"/>
    </row>
    <row r="1727" spans="1:30" ht="15.75" x14ac:dyDescent="0.25">
      <c r="A1727" s="230"/>
      <c r="B1727" s="234"/>
      <c r="C1727" s="234"/>
      <c r="D1727" s="234"/>
      <c r="E1727" s="230"/>
      <c r="F1727" s="230"/>
      <c r="G1727" s="230"/>
      <c r="H1727" s="230"/>
      <c r="I1727" s="230"/>
      <c r="J1727" s="230"/>
      <c r="K1727" s="230"/>
      <c r="L1727" s="230"/>
      <c r="M1727" s="230"/>
      <c r="N1727" s="230"/>
      <c r="O1727" s="230"/>
      <c r="P1727" s="230"/>
      <c r="Q1727" s="230"/>
      <c r="R1727" s="230"/>
      <c r="S1727" s="239"/>
      <c r="T1727" s="230"/>
      <c r="U1727" s="230"/>
      <c r="V1727" s="230"/>
      <c r="W1727" s="230"/>
      <c r="X1727" s="230"/>
      <c r="Y1727" s="230"/>
      <c r="Z1727" s="230"/>
      <c r="AA1727" s="230"/>
      <c r="AB1727" s="230"/>
      <c r="AC1727" s="230"/>
      <c r="AD1727" s="230"/>
    </row>
    <row r="1728" spans="1:30" ht="15.75" x14ac:dyDescent="0.25">
      <c r="A1728" s="230"/>
      <c r="B1728" s="234"/>
      <c r="C1728" s="234"/>
      <c r="D1728" s="234"/>
      <c r="E1728" s="230"/>
      <c r="F1728" s="230"/>
      <c r="G1728" s="230"/>
      <c r="H1728" s="230"/>
      <c r="I1728" s="230"/>
      <c r="J1728" s="230"/>
      <c r="K1728" s="230"/>
      <c r="L1728" s="230"/>
      <c r="M1728" s="230"/>
      <c r="N1728" s="230"/>
      <c r="O1728" s="230"/>
      <c r="P1728" s="230"/>
      <c r="Q1728" s="230"/>
      <c r="R1728" s="230"/>
      <c r="S1728" s="239"/>
      <c r="T1728" s="230"/>
      <c r="U1728" s="230"/>
      <c r="V1728" s="230"/>
      <c r="W1728" s="230"/>
      <c r="X1728" s="230"/>
      <c r="Y1728" s="230"/>
      <c r="Z1728" s="230"/>
      <c r="AA1728" s="230"/>
      <c r="AB1728" s="230"/>
      <c r="AC1728" s="230"/>
      <c r="AD1728" s="230"/>
    </row>
    <row r="1729" spans="1:30" ht="15.75" x14ac:dyDescent="0.25">
      <c r="A1729" s="230"/>
      <c r="B1729" s="234"/>
      <c r="C1729" s="234"/>
      <c r="D1729" s="234"/>
      <c r="E1729" s="230"/>
      <c r="F1729" s="230"/>
      <c r="G1729" s="230"/>
      <c r="H1729" s="230"/>
      <c r="I1729" s="230"/>
      <c r="J1729" s="230"/>
      <c r="K1729" s="230"/>
      <c r="L1729" s="230"/>
      <c r="M1729" s="230"/>
      <c r="N1729" s="230"/>
      <c r="O1729" s="230"/>
      <c r="P1729" s="230"/>
      <c r="Q1729" s="230"/>
      <c r="R1729" s="230"/>
      <c r="S1729" s="239"/>
      <c r="T1729" s="230"/>
      <c r="U1729" s="230"/>
      <c r="V1729" s="230"/>
      <c r="W1729" s="230"/>
      <c r="X1729" s="230"/>
      <c r="Y1729" s="230"/>
      <c r="Z1729" s="230"/>
      <c r="AA1729" s="230"/>
      <c r="AB1729" s="230"/>
      <c r="AC1729" s="230"/>
      <c r="AD1729" s="230"/>
    </row>
    <row r="1730" spans="1:30" ht="15.75" x14ac:dyDescent="0.25">
      <c r="A1730" s="230"/>
      <c r="B1730" s="234"/>
      <c r="C1730" s="234"/>
      <c r="D1730" s="234"/>
      <c r="E1730" s="230"/>
      <c r="F1730" s="230"/>
      <c r="G1730" s="230"/>
      <c r="H1730" s="230"/>
      <c r="I1730" s="230"/>
      <c r="J1730" s="230"/>
      <c r="K1730" s="230"/>
      <c r="L1730" s="230"/>
      <c r="M1730" s="230"/>
      <c r="N1730" s="230"/>
      <c r="O1730" s="230"/>
      <c r="P1730" s="230"/>
      <c r="Q1730" s="230"/>
      <c r="R1730" s="230"/>
      <c r="S1730" s="239"/>
      <c r="T1730" s="230"/>
      <c r="U1730" s="230"/>
      <c r="V1730" s="230"/>
      <c r="W1730" s="230"/>
      <c r="X1730" s="230"/>
      <c r="Y1730" s="230"/>
      <c r="Z1730" s="230"/>
      <c r="AA1730" s="230"/>
      <c r="AB1730" s="230"/>
      <c r="AC1730" s="230"/>
      <c r="AD1730" s="230"/>
    </row>
    <row r="1731" spans="1:30" ht="15.75" x14ac:dyDescent="0.25">
      <c r="A1731" s="230"/>
      <c r="B1731" s="234"/>
      <c r="C1731" s="234"/>
      <c r="D1731" s="234"/>
      <c r="E1731" s="230"/>
      <c r="F1731" s="230"/>
      <c r="G1731" s="230"/>
      <c r="H1731" s="230"/>
      <c r="I1731" s="230"/>
      <c r="J1731" s="230"/>
      <c r="K1731" s="230"/>
      <c r="L1731" s="230"/>
      <c r="M1731" s="230"/>
      <c r="N1731" s="230"/>
      <c r="O1731" s="230"/>
      <c r="P1731" s="230"/>
      <c r="Q1731" s="230"/>
      <c r="R1731" s="230"/>
      <c r="S1731" s="239"/>
      <c r="T1731" s="230"/>
      <c r="U1731" s="230"/>
      <c r="V1731" s="230"/>
      <c r="W1731" s="230"/>
      <c r="X1731" s="230"/>
      <c r="Y1731" s="230"/>
      <c r="Z1731" s="230"/>
      <c r="AA1731" s="230"/>
      <c r="AB1731" s="230"/>
      <c r="AC1731" s="230"/>
      <c r="AD1731" s="230"/>
    </row>
    <row r="1732" spans="1:30" ht="15.75" x14ac:dyDescent="0.25">
      <c r="A1732" s="230"/>
      <c r="B1732" s="234"/>
      <c r="C1732" s="234"/>
      <c r="D1732" s="234"/>
      <c r="E1732" s="230"/>
      <c r="F1732" s="230"/>
      <c r="G1732" s="230"/>
      <c r="H1732" s="230"/>
      <c r="I1732" s="230"/>
      <c r="J1732" s="230"/>
      <c r="K1732" s="230"/>
      <c r="L1732" s="230"/>
      <c r="M1732" s="230"/>
      <c r="N1732" s="230"/>
      <c r="O1732" s="230"/>
      <c r="P1732" s="230"/>
      <c r="Q1732" s="230"/>
      <c r="R1732" s="230"/>
      <c r="S1732" s="239"/>
      <c r="T1732" s="230"/>
      <c r="U1732" s="230"/>
      <c r="V1732" s="230"/>
      <c r="W1732" s="230"/>
      <c r="X1732" s="230"/>
      <c r="Y1732" s="230"/>
      <c r="Z1732" s="230"/>
      <c r="AA1732" s="230"/>
      <c r="AB1732" s="230"/>
      <c r="AC1732" s="230"/>
      <c r="AD1732" s="230"/>
    </row>
    <row r="1733" spans="1:30" ht="15.75" x14ac:dyDescent="0.25">
      <c r="A1733" s="230"/>
      <c r="B1733" s="234"/>
      <c r="C1733" s="234"/>
      <c r="D1733" s="234"/>
      <c r="E1733" s="230"/>
      <c r="F1733" s="230"/>
      <c r="G1733" s="230"/>
      <c r="H1733" s="230"/>
      <c r="I1733" s="230"/>
      <c r="J1733" s="230"/>
      <c r="K1733" s="230"/>
      <c r="L1733" s="230"/>
      <c r="M1733" s="230"/>
      <c r="N1733" s="230"/>
      <c r="O1733" s="230"/>
      <c r="P1733" s="230"/>
      <c r="Q1733" s="230"/>
      <c r="R1733" s="230"/>
      <c r="S1733" s="239"/>
      <c r="T1733" s="230"/>
      <c r="U1733" s="230"/>
      <c r="V1733" s="230"/>
      <c r="W1733" s="230"/>
      <c r="X1733" s="230"/>
      <c r="Y1733" s="230"/>
      <c r="Z1733" s="230"/>
      <c r="AA1733" s="230"/>
      <c r="AB1733" s="230"/>
      <c r="AC1733" s="230"/>
      <c r="AD1733" s="230"/>
    </row>
    <row r="1734" spans="1:30" ht="15.75" x14ac:dyDescent="0.25">
      <c r="A1734" s="230"/>
      <c r="B1734" s="234"/>
      <c r="C1734" s="234"/>
      <c r="D1734" s="234"/>
      <c r="E1734" s="230"/>
      <c r="F1734" s="230"/>
      <c r="G1734" s="230"/>
      <c r="H1734" s="230"/>
      <c r="I1734" s="230"/>
      <c r="J1734" s="230"/>
      <c r="K1734" s="230"/>
      <c r="L1734" s="230"/>
      <c r="M1734" s="230"/>
      <c r="N1734" s="230"/>
      <c r="O1734" s="230"/>
      <c r="P1734" s="230"/>
      <c r="Q1734" s="230"/>
      <c r="R1734" s="230"/>
      <c r="S1734" s="239"/>
      <c r="T1734" s="230"/>
      <c r="U1734" s="230"/>
      <c r="V1734" s="230"/>
      <c r="W1734" s="230"/>
      <c r="X1734" s="230"/>
      <c r="Y1734" s="230"/>
      <c r="Z1734" s="230"/>
      <c r="AA1734" s="230"/>
      <c r="AB1734" s="230"/>
      <c r="AC1734" s="230"/>
      <c r="AD1734" s="230"/>
    </row>
    <row r="1735" spans="1:30" ht="15.75" x14ac:dyDescent="0.25">
      <c r="A1735" s="230"/>
      <c r="B1735" s="234"/>
      <c r="C1735" s="234"/>
      <c r="D1735" s="234"/>
      <c r="E1735" s="230"/>
      <c r="F1735" s="230"/>
      <c r="G1735" s="230"/>
      <c r="H1735" s="230"/>
      <c r="I1735" s="230"/>
      <c r="J1735" s="230"/>
      <c r="K1735" s="230"/>
      <c r="L1735" s="230"/>
      <c r="M1735" s="230"/>
      <c r="N1735" s="230"/>
      <c r="O1735" s="230"/>
      <c r="P1735" s="230"/>
      <c r="Q1735" s="230"/>
      <c r="R1735" s="230"/>
      <c r="S1735" s="239"/>
      <c r="T1735" s="230"/>
      <c r="U1735" s="230"/>
      <c r="V1735" s="230"/>
      <c r="W1735" s="230"/>
      <c r="X1735" s="230"/>
      <c r="Y1735" s="230"/>
      <c r="Z1735" s="230"/>
      <c r="AA1735" s="230"/>
      <c r="AB1735" s="230"/>
      <c r="AC1735" s="230"/>
      <c r="AD1735" s="230"/>
    </row>
    <row r="1736" spans="1:30" ht="15.75" x14ac:dyDescent="0.25">
      <c r="A1736" s="230"/>
      <c r="B1736" s="234"/>
      <c r="C1736" s="234"/>
      <c r="D1736" s="234"/>
      <c r="E1736" s="230"/>
      <c r="F1736" s="230"/>
      <c r="G1736" s="230"/>
      <c r="H1736" s="230"/>
      <c r="I1736" s="230"/>
      <c r="J1736" s="230"/>
      <c r="K1736" s="230"/>
      <c r="L1736" s="230"/>
      <c r="M1736" s="230"/>
      <c r="N1736" s="230"/>
      <c r="O1736" s="230"/>
      <c r="P1736" s="230"/>
      <c r="Q1736" s="230"/>
      <c r="R1736" s="230"/>
      <c r="S1736" s="239"/>
      <c r="T1736" s="230"/>
      <c r="U1736" s="230"/>
      <c r="V1736" s="230"/>
      <c r="W1736" s="230"/>
      <c r="X1736" s="230"/>
      <c r="Y1736" s="230"/>
      <c r="Z1736" s="230"/>
      <c r="AA1736" s="230"/>
      <c r="AB1736" s="230"/>
      <c r="AC1736" s="230"/>
      <c r="AD1736" s="230"/>
    </row>
    <row r="1737" spans="1:30" ht="15.75" x14ac:dyDescent="0.25">
      <c r="A1737" s="230"/>
      <c r="B1737" s="234"/>
      <c r="C1737" s="234"/>
      <c r="D1737" s="234"/>
      <c r="E1737" s="230"/>
      <c r="F1737" s="230"/>
      <c r="G1737" s="230"/>
      <c r="H1737" s="230"/>
      <c r="I1737" s="230"/>
      <c r="J1737" s="230"/>
      <c r="K1737" s="230"/>
      <c r="L1737" s="230"/>
      <c r="M1737" s="230"/>
      <c r="N1737" s="230"/>
      <c r="O1737" s="230"/>
      <c r="P1737" s="230"/>
      <c r="Q1737" s="230"/>
      <c r="R1737" s="230"/>
      <c r="S1737" s="239"/>
      <c r="T1737" s="230"/>
      <c r="U1737" s="230"/>
      <c r="V1737" s="230"/>
      <c r="W1737" s="230"/>
      <c r="X1737" s="230"/>
      <c r="Y1737" s="230"/>
      <c r="Z1737" s="230"/>
      <c r="AA1737" s="230"/>
      <c r="AB1737" s="230"/>
      <c r="AC1737" s="230"/>
      <c r="AD1737" s="230"/>
    </row>
    <row r="1738" spans="1:30" ht="15.75" x14ac:dyDescent="0.25">
      <c r="A1738" s="230"/>
      <c r="B1738" s="234"/>
      <c r="C1738" s="234"/>
      <c r="D1738" s="234"/>
      <c r="E1738" s="230"/>
      <c r="F1738" s="230"/>
      <c r="G1738" s="230"/>
      <c r="H1738" s="230"/>
      <c r="I1738" s="230"/>
      <c r="J1738" s="230"/>
      <c r="K1738" s="230"/>
      <c r="L1738" s="230"/>
      <c r="M1738" s="230"/>
      <c r="N1738" s="230"/>
      <c r="O1738" s="230"/>
      <c r="P1738" s="230"/>
      <c r="Q1738" s="230"/>
      <c r="R1738" s="230"/>
      <c r="S1738" s="239"/>
      <c r="T1738" s="230"/>
      <c r="U1738" s="230"/>
      <c r="V1738" s="230"/>
      <c r="W1738" s="230"/>
      <c r="X1738" s="230"/>
      <c r="Y1738" s="230"/>
      <c r="Z1738" s="230"/>
      <c r="AA1738" s="230"/>
      <c r="AB1738" s="230"/>
      <c r="AC1738" s="230"/>
      <c r="AD1738" s="230"/>
    </row>
    <row r="1739" spans="1:30" ht="15.75" x14ac:dyDescent="0.25">
      <c r="A1739" s="230"/>
      <c r="B1739" s="234"/>
      <c r="C1739" s="234"/>
      <c r="D1739" s="234"/>
      <c r="E1739" s="230"/>
      <c r="F1739" s="230"/>
      <c r="G1739" s="230"/>
      <c r="H1739" s="230"/>
      <c r="I1739" s="230"/>
      <c r="J1739" s="230"/>
      <c r="K1739" s="230"/>
      <c r="L1739" s="230"/>
      <c r="M1739" s="230"/>
      <c r="N1739" s="230"/>
      <c r="O1739" s="230"/>
      <c r="P1739" s="230"/>
      <c r="Q1739" s="230"/>
      <c r="R1739" s="230"/>
      <c r="S1739" s="239"/>
      <c r="T1739" s="230"/>
      <c r="U1739" s="230"/>
      <c r="V1739" s="230"/>
      <c r="W1739" s="230"/>
      <c r="X1739" s="230"/>
      <c r="Y1739" s="230"/>
      <c r="Z1739" s="230"/>
      <c r="AA1739" s="230"/>
      <c r="AB1739" s="230"/>
      <c r="AC1739" s="230"/>
      <c r="AD1739" s="230"/>
    </row>
    <row r="1740" spans="1:30" ht="15.75" x14ac:dyDescent="0.25">
      <c r="A1740" s="230"/>
      <c r="B1740" s="234"/>
      <c r="C1740" s="234"/>
      <c r="D1740" s="234"/>
      <c r="E1740" s="230"/>
      <c r="F1740" s="230"/>
      <c r="G1740" s="230"/>
      <c r="H1740" s="230"/>
      <c r="I1740" s="230"/>
      <c r="J1740" s="230"/>
      <c r="K1740" s="230"/>
      <c r="L1740" s="230"/>
      <c r="M1740" s="230"/>
      <c r="N1740" s="230"/>
      <c r="O1740" s="230"/>
      <c r="P1740" s="230"/>
      <c r="Q1740" s="230"/>
      <c r="R1740" s="230"/>
      <c r="S1740" s="239"/>
      <c r="T1740" s="230"/>
      <c r="U1740" s="230"/>
      <c r="V1740" s="230"/>
      <c r="W1740" s="230"/>
      <c r="X1740" s="230"/>
      <c r="Y1740" s="230"/>
      <c r="Z1740" s="230"/>
      <c r="AA1740" s="230"/>
      <c r="AB1740" s="230"/>
      <c r="AC1740" s="230"/>
      <c r="AD1740" s="230"/>
    </row>
    <row r="1741" spans="1:30" ht="15.75" x14ac:dyDescent="0.25">
      <c r="A1741" s="230"/>
      <c r="B1741" s="234"/>
      <c r="C1741" s="234"/>
      <c r="D1741" s="234"/>
      <c r="E1741" s="230"/>
      <c r="F1741" s="230"/>
      <c r="G1741" s="230"/>
      <c r="H1741" s="230"/>
      <c r="I1741" s="230"/>
      <c r="J1741" s="230"/>
      <c r="K1741" s="230"/>
      <c r="L1741" s="230"/>
      <c r="M1741" s="230"/>
      <c r="N1741" s="230"/>
      <c r="O1741" s="230"/>
      <c r="P1741" s="230"/>
      <c r="Q1741" s="230"/>
      <c r="R1741" s="230"/>
      <c r="S1741" s="239"/>
      <c r="T1741" s="230"/>
      <c r="U1741" s="230"/>
      <c r="V1741" s="230"/>
      <c r="W1741" s="230"/>
      <c r="X1741" s="230"/>
      <c r="Y1741" s="230"/>
      <c r="Z1741" s="230"/>
      <c r="AA1741" s="230"/>
      <c r="AB1741" s="230"/>
      <c r="AC1741" s="230"/>
      <c r="AD1741" s="230"/>
    </row>
    <row r="1742" spans="1:30" ht="15.75" x14ac:dyDescent="0.25">
      <c r="A1742" s="230"/>
      <c r="B1742" s="234"/>
      <c r="C1742" s="234"/>
      <c r="D1742" s="234"/>
      <c r="E1742" s="230"/>
      <c r="F1742" s="230"/>
      <c r="G1742" s="230"/>
      <c r="H1742" s="230"/>
      <c r="I1742" s="230"/>
      <c r="J1742" s="230"/>
      <c r="K1742" s="230"/>
      <c r="L1742" s="230"/>
      <c r="M1742" s="230"/>
      <c r="N1742" s="230"/>
      <c r="O1742" s="230"/>
      <c r="P1742" s="230"/>
      <c r="Q1742" s="230"/>
      <c r="R1742" s="230"/>
      <c r="S1742" s="239"/>
      <c r="T1742" s="230"/>
      <c r="U1742" s="230"/>
      <c r="V1742" s="230"/>
      <c r="W1742" s="230"/>
      <c r="X1742" s="230"/>
      <c r="Y1742" s="230"/>
      <c r="Z1742" s="230"/>
      <c r="AA1742" s="230"/>
      <c r="AB1742" s="230"/>
      <c r="AC1742" s="230"/>
      <c r="AD1742" s="230"/>
    </row>
    <row r="1743" spans="1:30" ht="15.75" x14ac:dyDescent="0.25">
      <c r="A1743" s="230"/>
      <c r="B1743" s="234"/>
      <c r="C1743" s="234"/>
      <c r="D1743" s="234"/>
      <c r="E1743" s="230"/>
      <c r="F1743" s="230"/>
      <c r="G1743" s="230"/>
      <c r="H1743" s="230"/>
      <c r="I1743" s="230"/>
      <c r="J1743" s="230"/>
      <c r="K1743" s="230"/>
      <c r="L1743" s="230"/>
      <c r="M1743" s="230"/>
      <c r="N1743" s="230"/>
      <c r="O1743" s="230"/>
      <c r="P1743" s="230"/>
      <c r="Q1743" s="230"/>
      <c r="R1743" s="230"/>
      <c r="S1743" s="239"/>
      <c r="T1743" s="230"/>
      <c r="U1743" s="230"/>
      <c r="V1743" s="230"/>
      <c r="W1743" s="230"/>
      <c r="X1743" s="230"/>
      <c r="Y1743" s="230"/>
      <c r="Z1743" s="230"/>
      <c r="AA1743" s="230"/>
      <c r="AB1743" s="230"/>
      <c r="AC1743" s="230"/>
      <c r="AD1743" s="230"/>
    </row>
    <row r="1744" spans="1:30" ht="15.75" x14ac:dyDescent="0.25">
      <c r="A1744" s="230"/>
      <c r="B1744" s="234"/>
      <c r="C1744" s="234"/>
      <c r="D1744" s="234"/>
      <c r="E1744" s="230"/>
      <c r="F1744" s="230"/>
      <c r="G1744" s="230"/>
      <c r="H1744" s="230"/>
      <c r="I1744" s="230"/>
      <c r="J1744" s="230"/>
      <c r="K1744" s="230"/>
      <c r="L1744" s="230"/>
      <c r="M1744" s="230"/>
      <c r="N1744" s="230"/>
      <c r="O1744" s="230"/>
      <c r="P1744" s="230"/>
      <c r="Q1744" s="230"/>
      <c r="R1744" s="230"/>
      <c r="S1744" s="239"/>
      <c r="T1744" s="230"/>
      <c r="U1744" s="230"/>
      <c r="V1744" s="230"/>
      <c r="W1744" s="230"/>
      <c r="X1744" s="230"/>
      <c r="Y1744" s="230"/>
      <c r="Z1744" s="230"/>
      <c r="AA1744" s="230"/>
      <c r="AB1744" s="230"/>
      <c r="AC1744" s="230"/>
      <c r="AD1744" s="230"/>
    </row>
    <row r="1745" spans="1:30" ht="15.75" x14ac:dyDescent="0.25">
      <c r="A1745" s="230"/>
      <c r="B1745" s="234"/>
      <c r="C1745" s="234"/>
      <c r="D1745" s="234"/>
      <c r="E1745" s="230"/>
      <c r="F1745" s="230"/>
      <c r="G1745" s="230"/>
      <c r="H1745" s="230"/>
      <c r="I1745" s="230"/>
      <c r="J1745" s="230"/>
      <c r="K1745" s="230"/>
      <c r="L1745" s="230"/>
      <c r="M1745" s="230"/>
      <c r="N1745" s="230"/>
      <c r="O1745" s="230"/>
      <c r="P1745" s="230"/>
      <c r="Q1745" s="230"/>
      <c r="R1745" s="230"/>
      <c r="S1745" s="239"/>
      <c r="T1745" s="230"/>
      <c r="U1745" s="230"/>
      <c r="V1745" s="230"/>
      <c r="W1745" s="230"/>
      <c r="X1745" s="230"/>
      <c r="Y1745" s="230"/>
      <c r="Z1745" s="230"/>
      <c r="AA1745" s="230"/>
      <c r="AB1745" s="230"/>
      <c r="AC1745" s="230"/>
      <c r="AD1745" s="230"/>
    </row>
    <row r="1746" spans="1:30" ht="15.75" x14ac:dyDescent="0.25">
      <c r="A1746" s="230"/>
      <c r="B1746" s="234"/>
      <c r="C1746" s="234"/>
      <c r="D1746" s="234"/>
      <c r="E1746" s="230"/>
      <c r="F1746" s="230"/>
      <c r="G1746" s="230"/>
      <c r="H1746" s="230"/>
      <c r="I1746" s="230"/>
      <c r="J1746" s="230"/>
      <c r="K1746" s="230"/>
      <c r="L1746" s="230"/>
      <c r="M1746" s="230"/>
      <c r="N1746" s="230"/>
      <c r="O1746" s="230"/>
      <c r="P1746" s="230"/>
      <c r="Q1746" s="230"/>
      <c r="R1746" s="230"/>
      <c r="S1746" s="239"/>
      <c r="T1746" s="230"/>
      <c r="U1746" s="230"/>
      <c r="V1746" s="230"/>
      <c r="W1746" s="230"/>
      <c r="X1746" s="230"/>
      <c r="Y1746" s="230"/>
      <c r="Z1746" s="230"/>
      <c r="AA1746" s="230"/>
      <c r="AB1746" s="230"/>
      <c r="AC1746" s="230"/>
      <c r="AD1746" s="230"/>
    </row>
    <row r="1747" spans="1:30" ht="15.75" x14ac:dyDescent="0.25">
      <c r="A1747" s="230"/>
      <c r="B1747" s="234"/>
      <c r="C1747" s="234"/>
      <c r="D1747" s="234"/>
      <c r="E1747" s="230"/>
      <c r="F1747" s="230"/>
      <c r="G1747" s="230"/>
      <c r="H1747" s="230"/>
      <c r="I1747" s="230"/>
      <c r="J1747" s="230"/>
      <c r="K1747" s="230"/>
      <c r="L1747" s="230"/>
      <c r="M1747" s="230"/>
      <c r="N1747" s="230"/>
      <c r="O1747" s="230"/>
      <c r="P1747" s="230"/>
      <c r="Q1747" s="230"/>
      <c r="R1747" s="230"/>
      <c r="S1747" s="239"/>
      <c r="T1747" s="230"/>
      <c r="U1747" s="230"/>
      <c r="V1747" s="230"/>
      <c r="W1747" s="230"/>
      <c r="X1747" s="230"/>
      <c r="Y1747" s="230"/>
      <c r="Z1747" s="230"/>
      <c r="AA1747" s="230"/>
      <c r="AB1747" s="230"/>
      <c r="AC1747" s="230"/>
      <c r="AD1747" s="230"/>
    </row>
    <row r="1748" spans="1:30" ht="15.75" x14ac:dyDescent="0.25">
      <c r="A1748" s="230"/>
      <c r="B1748" s="234"/>
      <c r="C1748" s="234"/>
      <c r="D1748" s="234"/>
      <c r="E1748" s="230"/>
      <c r="F1748" s="230"/>
      <c r="G1748" s="230"/>
      <c r="H1748" s="230"/>
      <c r="I1748" s="230"/>
      <c r="J1748" s="230"/>
      <c r="K1748" s="230"/>
      <c r="L1748" s="230"/>
      <c r="M1748" s="230"/>
      <c r="N1748" s="230"/>
      <c r="O1748" s="230"/>
      <c r="P1748" s="230"/>
      <c r="Q1748" s="230"/>
      <c r="R1748" s="230"/>
      <c r="S1748" s="239"/>
      <c r="T1748" s="230"/>
      <c r="U1748" s="230"/>
      <c r="V1748" s="230"/>
      <c r="W1748" s="230"/>
      <c r="X1748" s="230"/>
      <c r="Y1748" s="230"/>
      <c r="Z1748" s="230"/>
      <c r="AA1748" s="230"/>
      <c r="AB1748" s="230"/>
      <c r="AC1748" s="230"/>
      <c r="AD1748" s="230"/>
    </row>
    <row r="1749" spans="1:30" ht="15.75" x14ac:dyDescent="0.25">
      <c r="A1749" s="230"/>
      <c r="B1749" s="234"/>
      <c r="C1749" s="234"/>
      <c r="D1749" s="234"/>
      <c r="E1749" s="230"/>
      <c r="F1749" s="230"/>
      <c r="G1749" s="230"/>
      <c r="H1749" s="230"/>
      <c r="I1749" s="230"/>
      <c r="J1749" s="230"/>
      <c r="K1749" s="230"/>
      <c r="L1749" s="230"/>
      <c r="M1749" s="230"/>
      <c r="N1749" s="230"/>
      <c r="O1749" s="230"/>
      <c r="P1749" s="230"/>
      <c r="Q1749" s="230"/>
      <c r="R1749" s="230"/>
      <c r="S1749" s="239"/>
      <c r="T1749" s="230"/>
      <c r="U1749" s="230"/>
      <c r="V1749" s="230"/>
      <c r="W1749" s="230"/>
      <c r="X1749" s="230"/>
      <c r="Y1749" s="230"/>
      <c r="Z1749" s="230"/>
      <c r="AA1749" s="230"/>
      <c r="AB1749" s="230"/>
      <c r="AC1749" s="230"/>
      <c r="AD1749" s="230"/>
    </row>
    <row r="1750" spans="1:30" ht="15.75" x14ac:dyDescent="0.25">
      <c r="A1750" s="230"/>
      <c r="B1750" s="234"/>
      <c r="C1750" s="234"/>
      <c r="D1750" s="234"/>
      <c r="E1750" s="230"/>
      <c r="F1750" s="230"/>
      <c r="G1750" s="230"/>
      <c r="H1750" s="230"/>
      <c r="I1750" s="230"/>
      <c r="J1750" s="230"/>
      <c r="K1750" s="230"/>
      <c r="L1750" s="230"/>
      <c r="M1750" s="230"/>
      <c r="N1750" s="230"/>
      <c r="O1750" s="230"/>
      <c r="P1750" s="230"/>
      <c r="Q1750" s="230"/>
      <c r="R1750" s="230"/>
      <c r="S1750" s="239"/>
      <c r="T1750" s="230"/>
      <c r="U1750" s="230"/>
      <c r="V1750" s="230"/>
      <c r="W1750" s="230"/>
      <c r="X1750" s="230"/>
      <c r="Y1750" s="230"/>
      <c r="Z1750" s="230"/>
      <c r="AA1750" s="230"/>
      <c r="AB1750" s="230"/>
      <c r="AC1750" s="230"/>
      <c r="AD1750" s="230"/>
    </row>
    <row r="1751" spans="1:30" ht="15.75" x14ac:dyDescent="0.25">
      <c r="A1751" s="230"/>
      <c r="B1751" s="234"/>
      <c r="C1751" s="234"/>
      <c r="D1751" s="234"/>
      <c r="E1751" s="230"/>
      <c r="F1751" s="230"/>
      <c r="G1751" s="230"/>
      <c r="H1751" s="230"/>
      <c r="I1751" s="230"/>
      <c r="J1751" s="230"/>
      <c r="K1751" s="230"/>
      <c r="L1751" s="230"/>
      <c r="M1751" s="230"/>
      <c r="N1751" s="230"/>
      <c r="O1751" s="230"/>
      <c r="P1751" s="230"/>
      <c r="Q1751" s="230"/>
      <c r="R1751" s="230"/>
      <c r="S1751" s="239"/>
      <c r="T1751" s="230"/>
      <c r="U1751" s="230"/>
      <c r="V1751" s="230"/>
      <c r="W1751" s="230"/>
      <c r="X1751" s="230"/>
      <c r="Y1751" s="230"/>
      <c r="Z1751" s="230"/>
      <c r="AA1751" s="230"/>
      <c r="AB1751" s="230"/>
      <c r="AC1751" s="230"/>
      <c r="AD1751" s="230"/>
    </row>
    <row r="1752" spans="1:30" ht="15.75" x14ac:dyDescent="0.25">
      <c r="A1752" s="230"/>
      <c r="B1752" s="234"/>
      <c r="C1752" s="234"/>
      <c r="D1752" s="234"/>
      <c r="E1752" s="230"/>
      <c r="F1752" s="230"/>
      <c r="G1752" s="230"/>
      <c r="H1752" s="230"/>
      <c r="I1752" s="230"/>
      <c r="J1752" s="230"/>
      <c r="K1752" s="230"/>
      <c r="L1752" s="230"/>
      <c r="M1752" s="230"/>
      <c r="N1752" s="230"/>
      <c r="O1752" s="230"/>
      <c r="P1752" s="230"/>
      <c r="Q1752" s="230"/>
      <c r="R1752" s="230"/>
      <c r="S1752" s="239"/>
      <c r="T1752" s="230"/>
      <c r="U1752" s="230"/>
      <c r="V1752" s="230"/>
      <c r="W1752" s="230"/>
      <c r="X1752" s="230"/>
      <c r="Y1752" s="230"/>
      <c r="Z1752" s="230"/>
      <c r="AA1752" s="230"/>
      <c r="AB1752" s="230"/>
      <c r="AC1752" s="230"/>
      <c r="AD1752" s="230"/>
    </row>
    <row r="1753" spans="1:30" ht="15.75" x14ac:dyDescent="0.25">
      <c r="A1753" s="230"/>
      <c r="B1753" s="234"/>
      <c r="C1753" s="234"/>
      <c r="D1753" s="234"/>
      <c r="E1753" s="230"/>
      <c r="F1753" s="230"/>
      <c r="G1753" s="230"/>
      <c r="H1753" s="230"/>
      <c r="I1753" s="230"/>
      <c r="J1753" s="230"/>
      <c r="K1753" s="230"/>
      <c r="L1753" s="230"/>
      <c r="M1753" s="230"/>
      <c r="N1753" s="230"/>
      <c r="O1753" s="230"/>
      <c r="P1753" s="230"/>
      <c r="Q1753" s="230"/>
      <c r="R1753" s="230"/>
      <c r="S1753" s="239"/>
      <c r="T1753" s="230"/>
      <c r="U1753" s="230"/>
      <c r="V1753" s="230"/>
      <c r="W1753" s="230"/>
      <c r="X1753" s="230"/>
      <c r="Y1753" s="230"/>
      <c r="Z1753" s="230"/>
      <c r="AA1753" s="230"/>
      <c r="AB1753" s="230"/>
      <c r="AC1753" s="230"/>
      <c r="AD1753" s="230"/>
    </row>
    <row r="1754" spans="1:30" ht="15.75" x14ac:dyDescent="0.25">
      <c r="A1754" s="230"/>
      <c r="B1754" s="234"/>
      <c r="C1754" s="234"/>
      <c r="D1754" s="234"/>
      <c r="E1754" s="230"/>
      <c r="F1754" s="230"/>
      <c r="G1754" s="230"/>
      <c r="H1754" s="230"/>
      <c r="I1754" s="230"/>
      <c r="J1754" s="230"/>
      <c r="K1754" s="230"/>
      <c r="L1754" s="230"/>
      <c r="M1754" s="230"/>
      <c r="N1754" s="230"/>
      <c r="O1754" s="230"/>
      <c r="P1754" s="230"/>
      <c r="Q1754" s="230"/>
      <c r="R1754" s="230"/>
      <c r="S1754" s="239"/>
      <c r="T1754" s="230"/>
      <c r="U1754" s="230"/>
      <c r="V1754" s="230"/>
      <c r="W1754" s="230"/>
      <c r="X1754" s="230"/>
      <c r="Y1754" s="230"/>
      <c r="Z1754" s="230"/>
      <c r="AA1754" s="230"/>
      <c r="AB1754" s="230"/>
      <c r="AC1754" s="230"/>
      <c r="AD1754" s="230"/>
    </row>
    <row r="1755" spans="1:30" ht="15.75" x14ac:dyDescent="0.25">
      <c r="A1755" s="230"/>
      <c r="B1755" s="234"/>
      <c r="C1755" s="234"/>
      <c r="D1755" s="234"/>
      <c r="E1755" s="230"/>
      <c r="F1755" s="230"/>
      <c r="G1755" s="230"/>
      <c r="H1755" s="230"/>
      <c r="I1755" s="230"/>
      <c r="J1755" s="230"/>
      <c r="K1755" s="230"/>
      <c r="L1755" s="230"/>
      <c r="M1755" s="230"/>
      <c r="N1755" s="230"/>
      <c r="O1755" s="230"/>
      <c r="P1755" s="230"/>
      <c r="Q1755" s="230"/>
      <c r="R1755" s="230"/>
      <c r="S1755" s="239"/>
      <c r="T1755" s="230"/>
      <c r="U1755" s="230"/>
      <c r="V1755" s="230"/>
      <c r="W1755" s="230"/>
      <c r="X1755" s="230"/>
      <c r="Y1755" s="230"/>
      <c r="Z1755" s="230"/>
      <c r="AA1755" s="230"/>
      <c r="AB1755" s="230"/>
      <c r="AC1755" s="230"/>
      <c r="AD1755" s="230"/>
    </row>
    <row r="1756" spans="1:30" ht="15.75" x14ac:dyDescent="0.25">
      <c r="A1756" s="230"/>
      <c r="B1756" s="234"/>
      <c r="C1756" s="234"/>
      <c r="D1756" s="234"/>
      <c r="E1756" s="230"/>
      <c r="F1756" s="230"/>
      <c r="G1756" s="230"/>
      <c r="H1756" s="230"/>
      <c r="I1756" s="230"/>
      <c r="J1756" s="230"/>
      <c r="K1756" s="230"/>
      <c r="L1756" s="230"/>
      <c r="M1756" s="230"/>
      <c r="N1756" s="230"/>
      <c r="O1756" s="230"/>
      <c r="P1756" s="230"/>
      <c r="Q1756" s="230"/>
      <c r="R1756" s="230"/>
      <c r="S1756" s="239"/>
      <c r="T1756" s="230"/>
      <c r="U1756" s="230"/>
      <c r="V1756" s="230"/>
      <c r="W1756" s="230"/>
      <c r="X1756" s="230"/>
      <c r="Y1756" s="230"/>
      <c r="Z1756" s="230"/>
      <c r="AA1756" s="230"/>
      <c r="AB1756" s="230"/>
      <c r="AC1756" s="230"/>
      <c r="AD1756" s="230"/>
    </row>
    <row r="1757" spans="1:30" ht="15.75" x14ac:dyDescent="0.25">
      <c r="A1757" s="230"/>
      <c r="B1757" s="234"/>
      <c r="C1757" s="234"/>
      <c r="D1757" s="234"/>
      <c r="E1757" s="230"/>
      <c r="F1757" s="230"/>
      <c r="G1757" s="230"/>
      <c r="H1757" s="230"/>
      <c r="I1757" s="230"/>
      <c r="J1757" s="230"/>
      <c r="K1757" s="230"/>
      <c r="L1757" s="230"/>
      <c r="M1757" s="230"/>
      <c r="N1757" s="230"/>
      <c r="O1757" s="230"/>
      <c r="P1757" s="230"/>
      <c r="Q1757" s="230"/>
      <c r="R1757" s="230"/>
      <c r="S1757" s="239"/>
      <c r="T1757" s="230"/>
      <c r="U1757" s="230"/>
      <c r="V1757" s="230"/>
      <c r="W1757" s="230"/>
      <c r="X1757" s="230"/>
      <c r="Y1757" s="230"/>
      <c r="Z1757" s="230"/>
      <c r="AA1757" s="230"/>
      <c r="AB1757" s="230"/>
      <c r="AC1757" s="230"/>
      <c r="AD1757" s="230"/>
    </row>
    <row r="1758" spans="1:30" ht="15.75" x14ac:dyDescent="0.25">
      <c r="A1758" s="230"/>
      <c r="B1758" s="234"/>
      <c r="C1758" s="234"/>
      <c r="D1758" s="234"/>
      <c r="E1758" s="230"/>
      <c r="F1758" s="230"/>
      <c r="G1758" s="230"/>
      <c r="H1758" s="230"/>
      <c r="I1758" s="230"/>
      <c r="J1758" s="230"/>
      <c r="K1758" s="230"/>
      <c r="L1758" s="230"/>
      <c r="M1758" s="230"/>
      <c r="N1758" s="230"/>
      <c r="O1758" s="230"/>
      <c r="P1758" s="230"/>
      <c r="Q1758" s="230"/>
      <c r="R1758" s="230"/>
      <c r="S1758" s="239"/>
      <c r="T1758" s="230"/>
      <c r="U1758" s="230"/>
      <c r="V1758" s="230"/>
      <c r="W1758" s="230"/>
      <c r="X1758" s="230"/>
      <c r="Y1758" s="230"/>
      <c r="Z1758" s="230"/>
      <c r="AA1758" s="230"/>
      <c r="AB1758" s="230"/>
      <c r="AC1758" s="230"/>
      <c r="AD1758" s="230"/>
    </row>
    <row r="1759" spans="1:30" ht="15.75" x14ac:dyDescent="0.25">
      <c r="A1759" s="230"/>
      <c r="B1759" s="234"/>
      <c r="C1759" s="234"/>
      <c r="D1759" s="234"/>
      <c r="E1759" s="230"/>
      <c r="F1759" s="230"/>
      <c r="G1759" s="230"/>
      <c r="H1759" s="230"/>
      <c r="I1759" s="230"/>
      <c r="J1759" s="230"/>
      <c r="K1759" s="230"/>
      <c r="L1759" s="230"/>
      <c r="M1759" s="230"/>
      <c r="N1759" s="230"/>
      <c r="O1759" s="230"/>
      <c r="P1759" s="230"/>
      <c r="Q1759" s="230"/>
      <c r="R1759" s="230"/>
      <c r="S1759" s="230"/>
      <c r="T1759" s="230"/>
      <c r="U1759" s="230"/>
      <c r="V1759" s="230"/>
      <c r="W1759" s="230"/>
      <c r="X1759" s="230"/>
      <c r="Y1759" s="230"/>
      <c r="Z1759" s="230"/>
      <c r="AA1759" s="230"/>
      <c r="AB1759" s="230"/>
      <c r="AC1759" s="230"/>
      <c r="AD1759" s="230"/>
    </row>
    <row r="1760" spans="1:30" ht="15.75" x14ac:dyDescent="0.25">
      <c r="A1760" s="230"/>
      <c r="B1760" s="234"/>
      <c r="C1760" s="234"/>
      <c r="D1760" s="234"/>
      <c r="E1760" s="230"/>
      <c r="F1760" s="230"/>
      <c r="G1760" s="230"/>
      <c r="H1760" s="230"/>
      <c r="I1760" s="230"/>
      <c r="J1760" s="230"/>
      <c r="K1760" s="230"/>
      <c r="L1760" s="230"/>
      <c r="M1760" s="230"/>
      <c r="N1760" s="230"/>
      <c r="O1760" s="230"/>
      <c r="P1760" s="230"/>
      <c r="Q1760" s="230"/>
      <c r="R1760" s="230"/>
      <c r="S1760" s="230"/>
      <c r="T1760" s="230"/>
      <c r="U1760" s="230"/>
      <c r="V1760" s="230"/>
      <c r="W1760" s="230"/>
      <c r="X1760" s="230"/>
      <c r="Y1760" s="230"/>
      <c r="Z1760" s="230"/>
      <c r="AA1760" s="230"/>
      <c r="AB1760" s="230"/>
      <c r="AC1760" s="230"/>
      <c r="AD1760" s="230"/>
    </row>
    <row r="1761" spans="1:30" ht="15.75" x14ac:dyDescent="0.25">
      <c r="A1761" s="230"/>
      <c r="B1761" s="234"/>
      <c r="C1761" s="234"/>
      <c r="D1761" s="234"/>
      <c r="E1761" s="230"/>
      <c r="F1761" s="230"/>
      <c r="G1761" s="230"/>
      <c r="H1761" s="230"/>
      <c r="I1761" s="230"/>
      <c r="J1761" s="230"/>
      <c r="K1761" s="230"/>
      <c r="L1761" s="230"/>
      <c r="M1761" s="230"/>
      <c r="N1761" s="230"/>
      <c r="O1761" s="230"/>
      <c r="P1761" s="230"/>
      <c r="Q1761" s="230"/>
      <c r="R1761" s="230"/>
      <c r="S1761" s="230"/>
      <c r="T1761" s="230"/>
      <c r="U1761" s="230"/>
      <c r="V1761" s="230"/>
      <c r="W1761" s="230"/>
      <c r="X1761" s="230"/>
      <c r="Y1761" s="230"/>
      <c r="Z1761" s="230"/>
      <c r="AA1761" s="230"/>
      <c r="AB1761" s="230"/>
      <c r="AC1761" s="230"/>
      <c r="AD1761" s="230"/>
    </row>
    <row r="1762" spans="1:30" ht="15.75" x14ac:dyDescent="0.25">
      <c r="A1762" s="230"/>
      <c r="B1762" s="234"/>
      <c r="C1762" s="234"/>
      <c r="D1762" s="234"/>
      <c r="E1762" s="230"/>
      <c r="F1762" s="230"/>
      <c r="G1762" s="230"/>
      <c r="H1762" s="230"/>
      <c r="I1762" s="230"/>
      <c r="J1762" s="230"/>
      <c r="K1762" s="230"/>
      <c r="L1762" s="230"/>
      <c r="M1762" s="230"/>
      <c r="N1762" s="230"/>
      <c r="O1762" s="230"/>
      <c r="P1762" s="230"/>
      <c r="Q1762" s="230"/>
      <c r="R1762" s="230"/>
      <c r="S1762" s="230"/>
      <c r="T1762" s="230"/>
      <c r="U1762" s="230"/>
      <c r="V1762" s="230"/>
      <c r="W1762" s="230"/>
      <c r="X1762" s="230"/>
      <c r="Y1762" s="230"/>
      <c r="Z1762" s="230"/>
      <c r="AA1762" s="230"/>
      <c r="AB1762" s="230"/>
      <c r="AC1762" s="230"/>
      <c r="AD1762" s="230"/>
    </row>
    <row r="1763" spans="1:30" ht="15.75" x14ac:dyDescent="0.25">
      <c r="A1763" s="230"/>
      <c r="B1763" s="234"/>
      <c r="C1763" s="234"/>
      <c r="D1763" s="234"/>
      <c r="E1763" s="230"/>
      <c r="F1763" s="230"/>
      <c r="G1763" s="230"/>
      <c r="H1763" s="230"/>
      <c r="I1763" s="230"/>
      <c r="J1763" s="230"/>
      <c r="K1763" s="230"/>
      <c r="L1763" s="230"/>
      <c r="M1763" s="230"/>
      <c r="N1763" s="230"/>
      <c r="O1763" s="230"/>
      <c r="P1763" s="230"/>
      <c r="Q1763" s="230"/>
      <c r="R1763" s="230"/>
      <c r="S1763" s="230"/>
      <c r="T1763" s="230"/>
      <c r="U1763" s="230"/>
      <c r="V1763" s="230"/>
      <c r="W1763" s="230"/>
      <c r="X1763" s="230"/>
      <c r="Y1763" s="230"/>
      <c r="Z1763" s="230"/>
      <c r="AA1763" s="230"/>
      <c r="AB1763" s="230"/>
      <c r="AC1763" s="230"/>
      <c r="AD1763" s="230"/>
    </row>
    <row r="1764" spans="1:30" ht="15.75" x14ac:dyDescent="0.25">
      <c r="A1764" s="230"/>
      <c r="B1764" s="234"/>
      <c r="C1764" s="234"/>
      <c r="D1764" s="234"/>
      <c r="E1764" s="230"/>
      <c r="F1764" s="230"/>
      <c r="G1764" s="230"/>
      <c r="H1764" s="230"/>
      <c r="I1764" s="230"/>
      <c r="J1764" s="230"/>
      <c r="K1764" s="230"/>
      <c r="L1764" s="230"/>
      <c r="M1764" s="230"/>
      <c r="N1764" s="230"/>
      <c r="O1764" s="230"/>
      <c r="P1764" s="230"/>
      <c r="Q1764" s="230"/>
      <c r="R1764" s="230"/>
      <c r="S1764" s="230"/>
      <c r="T1764" s="230"/>
      <c r="U1764" s="230"/>
      <c r="V1764" s="230"/>
      <c r="W1764" s="230"/>
      <c r="X1764" s="230"/>
      <c r="Y1764" s="230"/>
      <c r="Z1764" s="230"/>
      <c r="AA1764" s="230"/>
      <c r="AB1764" s="230"/>
      <c r="AC1764" s="230"/>
      <c r="AD1764" s="230"/>
    </row>
    <row r="1765" spans="1:30" ht="15.75" x14ac:dyDescent="0.25">
      <c r="A1765" s="230"/>
      <c r="B1765" s="234"/>
      <c r="C1765" s="234"/>
      <c r="D1765" s="234"/>
      <c r="E1765" s="230"/>
      <c r="F1765" s="230"/>
      <c r="G1765" s="230"/>
      <c r="H1765" s="230"/>
      <c r="I1765" s="230"/>
      <c r="J1765" s="230"/>
      <c r="K1765" s="230"/>
      <c r="L1765" s="230"/>
      <c r="M1765" s="230"/>
      <c r="N1765" s="230"/>
      <c r="O1765" s="230"/>
      <c r="P1765" s="230"/>
      <c r="Q1765" s="230"/>
      <c r="R1765" s="230"/>
      <c r="S1765" s="230"/>
      <c r="T1765" s="230"/>
      <c r="U1765" s="230"/>
      <c r="V1765" s="230"/>
      <c r="W1765" s="230"/>
      <c r="X1765" s="230"/>
      <c r="Y1765" s="230"/>
      <c r="Z1765" s="230"/>
      <c r="AA1765" s="230"/>
      <c r="AB1765" s="230"/>
      <c r="AC1765" s="230"/>
      <c r="AD1765" s="230"/>
    </row>
    <row r="1766" spans="1:30" ht="15.75" x14ac:dyDescent="0.25">
      <c r="A1766" s="230"/>
      <c r="B1766" s="234"/>
      <c r="C1766" s="234"/>
      <c r="D1766" s="234"/>
      <c r="E1766" s="230"/>
      <c r="F1766" s="230"/>
      <c r="G1766" s="230"/>
      <c r="H1766" s="230"/>
      <c r="I1766" s="230"/>
      <c r="J1766" s="230"/>
      <c r="K1766" s="230"/>
      <c r="L1766" s="230"/>
      <c r="M1766" s="230"/>
      <c r="N1766" s="230"/>
      <c r="O1766" s="230"/>
      <c r="P1766" s="230"/>
      <c r="Q1766" s="230"/>
      <c r="R1766" s="230"/>
      <c r="S1766" s="230"/>
      <c r="T1766" s="230"/>
      <c r="U1766" s="230"/>
      <c r="V1766" s="230"/>
      <c r="W1766" s="230"/>
      <c r="X1766" s="230"/>
      <c r="Y1766" s="230"/>
      <c r="Z1766" s="230"/>
      <c r="AA1766" s="230"/>
      <c r="AB1766" s="230"/>
      <c r="AC1766" s="230"/>
      <c r="AD1766" s="230"/>
    </row>
    <row r="1767" spans="1:30" ht="15.75" x14ac:dyDescent="0.25">
      <c r="A1767" s="230"/>
      <c r="B1767" s="234"/>
      <c r="C1767" s="234"/>
      <c r="D1767" s="234"/>
      <c r="E1767" s="230"/>
      <c r="F1767" s="230"/>
      <c r="G1767" s="230"/>
      <c r="H1767" s="230"/>
      <c r="I1767" s="230"/>
      <c r="J1767" s="230"/>
      <c r="K1767" s="230"/>
      <c r="L1767" s="230"/>
      <c r="M1767" s="230"/>
      <c r="N1767" s="230"/>
      <c r="O1767" s="230"/>
      <c r="P1767" s="230"/>
      <c r="Q1767" s="230"/>
      <c r="R1767" s="230"/>
      <c r="S1767" s="230"/>
      <c r="T1767" s="230"/>
      <c r="U1767" s="230"/>
      <c r="V1767" s="230"/>
      <c r="W1767" s="230"/>
      <c r="X1767" s="230"/>
      <c r="Y1767" s="230"/>
      <c r="Z1767" s="230"/>
      <c r="AA1767" s="230"/>
      <c r="AB1767" s="230"/>
      <c r="AC1767" s="230"/>
      <c r="AD1767" s="230"/>
    </row>
    <row r="1768" spans="1:30" ht="15.75" x14ac:dyDescent="0.25">
      <c r="A1768" s="230"/>
      <c r="B1768" s="234"/>
      <c r="C1768" s="234"/>
      <c r="D1768" s="234"/>
      <c r="E1768" s="230"/>
      <c r="F1768" s="230"/>
      <c r="G1768" s="230"/>
      <c r="H1768" s="230"/>
      <c r="I1768" s="230"/>
      <c r="J1768" s="230"/>
      <c r="K1768" s="230"/>
      <c r="L1768" s="230"/>
      <c r="M1768" s="230"/>
      <c r="N1768" s="230"/>
      <c r="O1768" s="230"/>
      <c r="P1768" s="230"/>
      <c r="Q1768" s="230"/>
      <c r="R1768" s="230"/>
      <c r="S1768" s="230"/>
      <c r="T1768" s="230"/>
      <c r="U1768" s="230"/>
      <c r="V1768" s="230"/>
      <c r="W1768" s="230"/>
      <c r="X1768" s="230"/>
      <c r="Y1768" s="230"/>
      <c r="Z1768" s="230"/>
      <c r="AA1768" s="230"/>
      <c r="AB1768" s="230"/>
      <c r="AC1768" s="230"/>
      <c r="AD1768" s="230"/>
    </row>
    <row r="1769" spans="1:30" ht="15.75" x14ac:dyDescent="0.25">
      <c r="A1769" s="230"/>
      <c r="B1769" s="234"/>
      <c r="C1769" s="234"/>
      <c r="D1769" s="234"/>
      <c r="E1769" s="230"/>
      <c r="F1769" s="230"/>
      <c r="G1769" s="230"/>
      <c r="H1769" s="230"/>
      <c r="I1769" s="230"/>
      <c r="J1769" s="230"/>
      <c r="K1769" s="230"/>
      <c r="L1769" s="230"/>
      <c r="M1769" s="230"/>
      <c r="N1769" s="230"/>
      <c r="O1769" s="230"/>
      <c r="P1769" s="230"/>
      <c r="Q1769" s="230"/>
      <c r="R1769" s="230"/>
      <c r="S1769" s="230"/>
      <c r="T1769" s="230"/>
      <c r="U1769" s="230"/>
      <c r="V1769" s="230"/>
      <c r="W1769" s="230"/>
      <c r="X1769" s="230"/>
      <c r="Y1769" s="230"/>
      <c r="Z1769" s="230"/>
      <c r="AA1769" s="230"/>
      <c r="AB1769" s="230"/>
      <c r="AC1769" s="230"/>
      <c r="AD1769" s="230"/>
    </row>
    <row r="1770" spans="1:30" ht="15.75" x14ac:dyDescent="0.25">
      <c r="A1770" s="230"/>
      <c r="B1770" s="234"/>
      <c r="C1770" s="234"/>
      <c r="D1770" s="234"/>
      <c r="E1770" s="230"/>
      <c r="F1770" s="230"/>
      <c r="G1770" s="230"/>
      <c r="H1770" s="230"/>
      <c r="I1770" s="230"/>
      <c r="J1770" s="230"/>
      <c r="K1770" s="230"/>
      <c r="L1770" s="230"/>
      <c r="M1770" s="230"/>
      <c r="N1770" s="230"/>
      <c r="O1770" s="230"/>
      <c r="P1770" s="230"/>
      <c r="Q1770" s="230"/>
      <c r="R1770" s="230"/>
      <c r="S1770" s="230"/>
      <c r="T1770" s="230"/>
      <c r="U1770" s="230"/>
      <c r="V1770" s="230"/>
      <c r="W1770" s="230"/>
      <c r="X1770" s="230"/>
      <c r="Y1770" s="230"/>
      <c r="Z1770" s="230"/>
      <c r="AA1770" s="230"/>
      <c r="AB1770" s="230"/>
      <c r="AC1770" s="230"/>
      <c r="AD1770" s="230"/>
    </row>
    <row r="1771" spans="1:30" ht="15.75" x14ac:dyDescent="0.25">
      <c r="A1771" s="230"/>
      <c r="B1771" s="234"/>
      <c r="C1771" s="234"/>
      <c r="D1771" s="234"/>
      <c r="E1771" s="230"/>
      <c r="F1771" s="230"/>
      <c r="G1771" s="230"/>
      <c r="H1771" s="230"/>
      <c r="I1771" s="230"/>
      <c r="J1771" s="230"/>
      <c r="K1771" s="230"/>
      <c r="L1771" s="230"/>
      <c r="M1771" s="230"/>
      <c r="N1771" s="230"/>
      <c r="O1771" s="230"/>
      <c r="P1771" s="230"/>
      <c r="Q1771" s="230"/>
      <c r="R1771" s="230"/>
      <c r="S1771" s="230"/>
      <c r="T1771" s="230"/>
      <c r="U1771" s="230"/>
      <c r="V1771" s="230"/>
      <c r="W1771" s="230"/>
      <c r="X1771" s="230"/>
      <c r="Y1771" s="230"/>
      <c r="Z1771" s="230"/>
      <c r="AA1771" s="230"/>
      <c r="AB1771" s="230"/>
      <c r="AC1771" s="230"/>
      <c r="AD1771" s="230"/>
    </row>
    <row r="1772" spans="1:30" ht="15.75" x14ac:dyDescent="0.25">
      <c r="A1772" s="230"/>
      <c r="B1772" s="234"/>
      <c r="C1772" s="234"/>
      <c r="D1772" s="234"/>
      <c r="E1772" s="230"/>
      <c r="F1772" s="230"/>
      <c r="G1772" s="230"/>
      <c r="H1772" s="230"/>
      <c r="I1772" s="230"/>
      <c r="J1772" s="230"/>
      <c r="K1772" s="230"/>
      <c r="L1772" s="230"/>
      <c r="M1772" s="230"/>
      <c r="N1772" s="230"/>
      <c r="O1772" s="230"/>
      <c r="P1772" s="230"/>
      <c r="Q1772" s="230"/>
      <c r="R1772" s="230"/>
      <c r="S1772" s="230"/>
      <c r="T1772" s="230"/>
      <c r="U1772" s="230"/>
      <c r="V1772" s="230"/>
      <c r="W1772" s="230"/>
      <c r="X1772" s="230"/>
      <c r="Y1772" s="230"/>
      <c r="Z1772" s="230"/>
      <c r="AA1772" s="230"/>
      <c r="AB1772" s="230"/>
      <c r="AC1772" s="230"/>
      <c r="AD1772" s="230"/>
    </row>
    <row r="1773" spans="1:30" ht="15.75" x14ac:dyDescent="0.25">
      <c r="A1773" s="230"/>
      <c r="B1773" s="234"/>
      <c r="C1773" s="234"/>
      <c r="D1773" s="234"/>
      <c r="E1773" s="230"/>
      <c r="F1773" s="230"/>
      <c r="G1773" s="230"/>
      <c r="H1773" s="230"/>
      <c r="I1773" s="230"/>
      <c r="J1773" s="230"/>
      <c r="K1773" s="230"/>
      <c r="L1773" s="230"/>
      <c r="M1773" s="230"/>
      <c r="N1773" s="230"/>
      <c r="O1773" s="230"/>
      <c r="P1773" s="230"/>
      <c r="Q1773" s="230"/>
      <c r="R1773" s="230"/>
      <c r="S1773" s="230"/>
      <c r="T1773" s="230"/>
      <c r="U1773" s="230"/>
      <c r="V1773" s="230"/>
      <c r="W1773" s="230"/>
      <c r="X1773" s="230"/>
      <c r="Y1773" s="230"/>
      <c r="Z1773" s="230"/>
      <c r="AA1773" s="230"/>
      <c r="AB1773" s="230"/>
      <c r="AC1773" s="230"/>
      <c r="AD1773" s="230"/>
    </row>
    <row r="1774" spans="1:30" ht="15.75" x14ac:dyDescent="0.25">
      <c r="A1774" s="230"/>
      <c r="B1774" s="234"/>
      <c r="C1774" s="234"/>
      <c r="D1774" s="234"/>
      <c r="E1774" s="230"/>
      <c r="F1774" s="230"/>
      <c r="G1774" s="230"/>
      <c r="H1774" s="230"/>
      <c r="I1774" s="230"/>
      <c r="J1774" s="230"/>
      <c r="K1774" s="230"/>
      <c r="L1774" s="230"/>
      <c r="M1774" s="230"/>
      <c r="N1774" s="230"/>
      <c r="O1774" s="230"/>
      <c r="P1774" s="230"/>
      <c r="Q1774" s="230"/>
      <c r="R1774" s="230"/>
      <c r="S1774" s="230"/>
      <c r="T1774" s="230"/>
      <c r="U1774" s="230"/>
      <c r="V1774" s="230"/>
      <c r="W1774" s="230"/>
      <c r="X1774" s="230"/>
      <c r="Y1774" s="230"/>
      <c r="Z1774" s="230"/>
      <c r="AA1774" s="230"/>
      <c r="AB1774" s="230"/>
      <c r="AC1774" s="230"/>
      <c r="AD1774" s="230"/>
    </row>
    <row r="1775" spans="1:30" ht="15.75" x14ac:dyDescent="0.25">
      <c r="A1775" s="230"/>
      <c r="B1775" s="234"/>
      <c r="C1775" s="234"/>
      <c r="D1775" s="234"/>
      <c r="E1775" s="230"/>
      <c r="F1775" s="230"/>
      <c r="G1775" s="230"/>
      <c r="H1775" s="230"/>
      <c r="I1775" s="230"/>
      <c r="J1775" s="230"/>
      <c r="K1775" s="230"/>
      <c r="L1775" s="230"/>
      <c r="M1775" s="230"/>
      <c r="N1775" s="230"/>
      <c r="O1775" s="230"/>
      <c r="P1775" s="230"/>
      <c r="Q1775" s="230"/>
      <c r="R1775" s="230"/>
      <c r="S1775" s="230"/>
      <c r="T1775" s="230"/>
      <c r="U1775" s="230"/>
      <c r="V1775" s="230"/>
      <c r="W1775" s="230"/>
      <c r="X1775" s="230"/>
      <c r="Y1775" s="230"/>
      <c r="Z1775" s="230"/>
      <c r="AA1775" s="230"/>
      <c r="AB1775" s="230"/>
      <c r="AC1775" s="230"/>
      <c r="AD1775" s="230"/>
    </row>
    <row r="1776" spans="1:30" ht="15.75" x14ac:dyDescent="0.25">
      <c r="A1776" s="230"/>
      <c r="B1776" s="234"/>
      <c r="C1776" s="234"/>
      <c r="D1776" s="234"/>
      <c r="E1776" s="230"/>
      <c r="F1776" s="230"/>
      <c r="G1776" s="230"/>
      <c r="H1776" s="230"/>
      <c r="I1776" s="230"/>
      <c r="J1776" s="230"/>
      <c r="K1776" s="230"/>
      <c r="L1776" s="230"/>
      <c r="M1776" s="230"/>
      <c r="N1776" s="230"/>
      <c r="O1776" s="230"/>
      <c r="P1776" s="230"/>
      <c r="Q1776" s="230"/>
      <c r="R1776" s="230"/>
      <c r="S1776" s="230"/>
      <c r="T1776" s="230"/>
      <c r="U1776" s="230"/>
      <c r="V1776" s="230"/>
      <c r="W1776" s="230"/>
      <c r="X1776" s="230"/>
      <c r="Y1776" s="230"/>
      <c r="Z1776" s="230"/>
      <c r="AA1776" s="230"/>
      <c r="AB1776" s="230"/>
      <c r="AC1776" s="230"/>
      <c r="AD1776" s="230"/>
    </row>
    <row r="1777" spans="1:30" ht="15.75" x14ac:dyDescent="0.25">
      <c r="A1777" s="230"/>
      <c r="B1777" s="234"/>
      <c r="C1777" s="234"/>
      <c r="D1777" s="234"/>
      <c r="E1777" s="230"/>
      <c r="F1777" s="230"/>
      <c r="G1777" s="230"/>
      <c r="H1777" s="230"/>
      <c r="I1777" s="230"/>
      <c r="J1777" s="230"/>
      <c r="K1777" s="230"/>
      <c r="L1777" s="230"/>
      <c r="M1777" s="230"/>
      <c r="N1777" s="230"/>
      <c r="O1777" s="230"/>
      <c r="P1777" s="230"/>
      <c r="Q1777" s="230"/>
      <c r="R1777" s="230"/>
      <c r="S1777" s="230"/>
      <c r="T1777" s="230"/>
      <c r="U1777" s="230"/>
      <c r="V1777" s="230"/>
      <c r="W1777" s="230"/>
      <c r="X1777" s="230"/>
      <c r="Y1777" s="230"/>
      <c r="Z1777" s="230"/>
      <c r="AA1777" s="230"/>
      <c r="AB1777" s="230"/>
      <c r="AC1777" s="230"/>
      <c r="AD1777" s="230"/>
    </row>
    <row r="1778" spans="1:30" ht="15.75" x14ac:dyDescent="0.25">
      <c r="A1778" s="230"/>
      <c r="B1778" s="234"/>
      <c r="C1778" s="234"/>
      <c r="D1778" s="234"/>
      <c r="E1778" s="230"/>
      <c r="F1778" s="230"/>
      <c r="G1778" s="230"/>
      <c r="H1778" s="230"/>
      <c r="I1778" s="230"/>
      <c r="J1778" s="230"/>
      <c r="K1778" s="230"/>
      <c r="L1778" s="230"/>
      <c r="M1778" s="230"/>
      <c r="N1778" s="230"/>
      <c r="O1778" s="230"/>
      <c r="P1778" s="230"/>
      <c r="Q1778" s="230"/>
      <c r="R1778" s="230"/>
      <c r="S1778" s="230"/>
      <c r="T1778" s="230"/>
      <c r="U1778" s="230"/>
      <c r="V1778" s="230"/>
      <c r="W1778" s="230"/>
      <c r="X1778" s="230"/>
      <c r="Y1778" s="230"/>
      <c r="Z1778" s="230"/>
      <c r="AA1778" s="230"/>
      <c r="AB1778" s="230"/>
      <c r="AC1778" s="230"/>
      <c r="AD1778" s="230"/>
    </row>
    <row r="1779" spans="1:30" ht="15.75" x14ac:dyDescent="0.25">
      <c r="A1779" s="230"/>
      <c r="B1779" s="234"/>
      <c r="C1779" s="234"/>
      <c r="D1779" s="234"/>
      <c r="E1779" s="230"/>
      <c r="F1779" s="230"/>
      <c r="G1779" s="230"/>
      <c r="H1779" s="230"/>
      <c r="I1779" s="230"/>
      <c r="J1779" s="230"/>
      <c r="K1779" s="230"/>
      <c r="L1779" s="230"/>
      <c r="M1779" s="230"/>
      <c r="N1779" s="230"/>
      <c r="O1779" s="230"/>
      <c r="P1779" s="230"/>
      <c r="Q1779" s="230"/>
      <c r="R1779" s="230"/>
      <c r="S1779" s="230"/>
      <c r="T1779" s="230"/>
      <c r="U1779" s="230"/>
      <c r="V1779" s="230"/>
      <c r="W1779" s="230"/>
      <c r="X1779" s="230"/>
      <c r="Y1779" s="230"/>
      <c r="Z1779" s="230"/>
      <c r="AA1779" s="230"/>
      <c r="AB1779" s="230"/>
      <c r="AC1779" s="230"/>
      <c r="AD1779" s="230"/>
    </row>
    <row r="1780" spans="1:30" ht="15.75" x14ac:dyDescent="0.25">
      <c r="A1780" s="230"/>
      <c r="B1780" s="234"/>
      <c r="C1780" s="234"/>
      <c r="D1780" s="234"/>
      <c r="E1780" s="230"/>
      <c r="F1780" s="230"/>
      <c r="G1780" s="230"/>
      <c r="H1780" s="230"/>
      <c r="I1780" s="230"/>
      <c r="J1780" s="230"/>
      <c r="K1780" s="230"/>
      <c r="L1780" s="230"/>
      <c r="M1780" s="230"/>
      <c r="N1780" s="230"/>
      <c r="O1780" s="230"/>
      <c r="P1780" s="230"/>
      <c r="Q1780" s="230"/>
      <c r="R1780" s="230"/>
      <c r="S1780" s="230"/>
      <c r="T1780" s="230"/>
      <c r="U1780" s="230"/>
      <c r="V1780" s="230"/>
      <c r="W1780" s="230"/>
      <c r="X1780" s="230"/>
      <c r="Y1780" s="230"/>
      <c r="Z1780" s="230"/>
      <c r="AA1780" s="230"/>
      <c r="AB1780" s="230"/>
      <c r="AC1780" s="230"/>
      <c r="AD1780" s="230"/>
    </row>
    <row r="1781" spans="1:30" ht="15.75" x14ac:dyDescent="0.25">
      <c r="A1781" s="230"/>
      <c r="B1781" s="234"/>
      <c r="C1781" s="234"/>
      <c r="D1781" s="234"/>
      <c r="E1781" s="230"/>
      <c r="F1781" s="230"/>
      <c r="G1781" s="230"/>
      <c r="H1781" s="230"/>
      <c r="I1781" s="230"/>
      <c r="J1781" s="230"/>
      <c r="K1781" s="230"/>
      <c r="L1781" s="230"/>
      <c r="M1781" s="230"/>
      <c r="N1781" s="230"/>
      <c r="O1781" s="230"/>
      <c r="P1781" s="230"/>
      <c r="Q1781" s="230"/>
      <c r="R1781" s="230"/>
      <c r="S1781" s="230"/>
      <c r="T1781" s="230"/>
      <c r="U1781" s="230"/>
      <c r="V1781" s="230"/>
      <c r="W1781" s="230"/>
      <c r="X1781" s="230"/>
      <c r="Y1781" s="230"/>
      <c r="Z1781" s="230"/>
      <c r="AA1781" s="230"/>
      <c r="AB1781" s="230"/>
      <c r="AC1781" s="230"/>
      <c r="AD1781" s="230"/>
    </row>
    <row r="1782" spans="1:30" ht="15.75" x14ac:dyDescent="0.25">
      <c r="A1782" s="230"/>
      <c r="B1782" s="234"/>
      <c r="C1782" s="234"/>
      <c r="D1782" s="234"/>
      <c r="E1782" s="230"/>
      <c r="F1782" s="230"/>
      <c r="G1782" s="230"/>
      <c r="H1782" s="230"/>
      <c r="I1782" s="230"/>
      <c r="J1782" s="230"/>
      <c r="K1782" s="230"/>
      <c r="L1782" s="230"/>
      <c r="M1782" s="230"/>
      <c r="N1782" s="230"/>
      <c r="O1782" s="230"/>
      <c r="P1782" s="230"/>
      <c r="Q1782" s="230"/>
      <c r="R1782" s="230"/>
      <c r="S1782" s="230"/>
      <c r="T1782" s="230"/>
      <c r="U1782" s="230"/>
      <c r="V1782" s="230"/>
      <c r="W1782" s="230"/>
      <c r="X1782" s="230"/>
      <c r="Y1782" s="230"/>
      <c r="Z1782" s="230"/>
      <c r="AA1782" s="230"/>
      <c r="AB1782" s="230"/>
      <c r="AC1782" s="230"/>
      <c r="AD1782" s="230"/>
    </row>
    <row r="1783" spans="1:30" ht="15.75" x14ac:dyDescent="0.25">
      <c r="A1783" s="230"/>
      <c r="B1783" s="234"/>
      <c r="C1783" s="234"/>
      <c r="D1783" s="234"/>
      <c r="E1783" s="230"/>
      <c r="F1783" s="230"/>
      <c r="G1783" s="230"/>
      <c r="H1783" s="230"/>
      <c r="I1783" s="230"/>
      <c r="J1783" s="230"/>
      <c r="K1783" s="230"/>
      <c r="L1783" s="230"/>
      <c r="M1783" s="230"/>
      <c r="N1783" s="230"/>
      <c r="O1783" s="230"/>
      <c r="P1783" s="230"/>
      <c r="Q1783" s="230"/>
      <c r="R1783" s="230"/>
      <c r="S1783" s="230"/>
      <c r="T1783" s="230"/>
      <c r="U1783" s="230"/>
      <c r="V1783" s="230"/>
      <c r="W1783" s="230"/>
      <c r="X1783" s="230"/>
      <c r="Y1783" s="230"/>
      <c r="Z1783" s="230"/>
      <c r="AA1783" s="230"/>
      <c r="AB1783" s="230"/>
      <c r="AC1783" s="230"/>
      <c r="AD1783" s="230"/>
    </row>
    <row r="1784" spans="1:30" ht="15.75" x14ac:dyDescent="0.25">
      <c r="A1784" s="230"/>
      <c r="B1784" s="234"/>
      <c r="C1784" s="234"/>
      <c r="D1784" s="234"/>
      <c r="E1784" s="230"/>
      <c r="F1784" s="230"/>
      <c r="G1784" s="230"/>
      <c r="H1784" s="230"/>
      <c r="I1784" s="230"/>
      <c r="J1784" s="230"/>
      <c r="K1784" s="230"/>
      <c r="L1784" s="230"/>
      <c r="M1784" s="230"/>
      <c r="N1784" s="230"/>
      <c r="O1784" s="230"/>
      <c r="P1784" s="230"/>
      <c r="Q1784" s="230"/>
      <c r="R1784" s="230"/>
      <c r="S1784" s="230"/>
      <c r="T1784" s="230"/>
      <c r="U1784" s="230"/>
      <c r="V1784" s="230"/>
      <c r="W1784" s="230"/>
      <c r="X1784" s="230"/>
      <c r="Y1784" s="230"/>
      <c r="Z1784" s="230"/>
      <c r="AA1784" s="230"/>
      <c r="AB1784" s="230"/>
      <c r="AC1784" s="230"/>
      <c r="AD1784" s="230"/>
    </row>
    <row r="1785" spans="1:30" ht="15.75" x14ac:dyDescent="0.25">
      <c r="A1785" s="230"/>
      <c r="B1785" s="234"/>
      <c r="C1785" s="234"/>
      <c r="D1785" s="234"/>
      <c r="E1785" s="230"/>
      <c r="F1785" s="230"/>
      <c r="G1785" s="230"/>
      <c r="H1785" s="230"/>
      <c r="I1785" s="230"/>
      <c r="J1785" s="230"/>
      <c r="K1785" s="230"/>
      <c r="L1785" s="230"/>
      <c r="M1785" s="230"/>
      <c r="N1785" s="230"/>
      <c r="O1785" s="230"/>
      <c r="P1785" s="230"/>
      <c r="Q1785" s="230"/>
      <c r="R1785" s="230"/>
      <c r="S1785" s="230"/>
      <c r="T1785" s="230"/>
      <c r="U1785" s="230"/>
      <c r="V1785" s="230"/>
      <c r="W1785" s="230"/>
      <c r="X1785" s="230"/>
      <c r="Y1785" s="230"/>
      <c r="Z1785" s="230"/>
      <c r="AA1785" s="230"/>
      <c r="AB1785" s="230"/>
      <c r="AC1785" s="230"/>
      <c r="AD1785" s="230"/>
    </row>
    <row r="1786" spans="1:30" ht="15.75" x14ac:dyDescent="0.25">
      <c r="A1786" s="230"/>
      <c r="B1786" s="234"/>
      <c r="C1786" s="234"/>
      <c r="D1786" s="234"/>
      <c r="E1786" s="230"/>
      <c r="F1786" s="230"/>
      <c r="G1786" s="230"/>
      <c r="H1786" s="230"/>
      <c r="I1786" s="230"/>
      <c r="J1786" s="230"/>
      <c r="K1786" s="230"/>
      <c r="L1786" s="230"/>
      <c r="M1786" s="230"/>
      <c r="N1786" s="230"/>
      <c r="O1786" s="230"/>
      <c r="P1786" s="230"/>
      <c r="Q1786" s="230"/>
      <c r="R1786" s="230"/>
      <c r="S1786" s="230"/>
      <c r="T1786" s="230"/>
      <c r="U1786" s="230"/>
      <c r="V1786" s="230"/>
      <c r="W1786" s="230"/>
      <c r="X1786" s="230"/>
      <c r="Y1786" s="230"/>
      <c r="Z1786" s="230"/>
      <c r="AA1786" s="230"/>
      <c r="AB1786" s="230"/>
      <c r="AC1786" s="230"/>
      <c r="AD1786" s="230"/>
    </row>
    <row r="1787" spans="1:30" ht="15.75" x14ac:dyDescent="0.25">
      <c r="A1787" s="230"/>
      <c r="B1787" s="234"/>
      <c r="C1787" s="234"/>
      <c r="D1787" s="234"/>
      <c r="E1787" s="230"/>
      <c r="F1787" s="230"/>
      <c r="G1787" s="230"/>
      <c r="H1787" s="230"/>
      <c r="I1787" s="230"/>
      <c r="J1787" s="230"/>
      <c r="K1787" s="230"/>
      <c r="L1787" s="230"/>
      <c r="M1787" s="230"/>
      <c r="N1787" s="230"/>
      <c r="O1787" s="230"/>
      <c r="P1787" s="230"/>
      <c r="Q1787" s="230"/>
      <c r="R1787" s="230"/>
      <c r="S1787" s="230"/>
      <c r="T1787" s="230"/>
      <c r="U1787" s="230"/>
      <c r="V1787" s="230"/>
      <c r="W1787" s="230"/>
      <c r="X1787" s="230"/>
      <c r="Y1787" s="230"/>
      <c r="Z1787" s="230"/>
      <c r="AA1787" s="230"/>
      <c r="AB1787" s="230"/>
      <c r="AC1787" s="230"/>
      <c r="AD1787" s="230"/>
    </row>
    <row r="1788" spans="1:30" ht="15.75" x14ac:dyDescent="0.25">
      <c r="A1788" s="230"/>
      <c r="B1788" s="234"/>
      <c r="C1788" s="234"/>
      <c r="D1788" s="234"/>
      <c r="E1788" s="230"/>
      <c r="F1788" s="230"/>
      <c r="G1788" s="230"/>
      <c r="H1788" s="230"/>
      <c r="I1788" s="230"/>
      <c r="J1788" s="230"/>
      <c r="K1788" s="230"/>
      <c r="L1788" s="230"/>
      <c r="M1788" s="230"/>
      <c r="N1788" s="230"/>
      <c r="O1788" s="230"/>
      <c r="P1788" s="230"/>
      <c r="Q1788" s="230"/>
      <c r="R1788" s="230"/>
      <c r="S1788" s="230"/>
      <c r="T1788" s="230"/>
      <c r="U1788" s="230"/>
      <c r="V1788" s="230"/>
      <c r="W1788" s="230"/>
      <c r="X1788" s="230"/>
      <c r="Y1788" s="230"/>
      <c r="Z1788" s="230"/>
      <c r="AA1788" s="230"/>
      <c r="AB1788" s="230"/>
      <c r="AC1788" s="230"/>
      <c r="AD1788" s="230"/>
    </row>
    <row r="1789" spans="1:30" ht="15.75" x14ac:dyDescent="0.25">
      <c r="A1789" s="230"/>
      <c r="B1789" s="234"/>
      <c r="C1789" s="234"/>
      <c r="D1789" s="234"/>
      <c r="E1789" s="230"/>
      <c r="F1789" s="230"/>
      <c r="G1789" s="230"/>
      <c r="H1789" s="230"/>
      <c r="I1789" s="230"/>
      <c r="J1789" s="230"/>
      <c r="K1789" s="230"/>
      <c r="L1789" s="230"/>
      <c r="M1789" s="230"/>
      <c r="N1789" s="230"/>
      <c r="O1789" s="230"/>
      <c r="P1789" s="230"/>
      <c r="Q1789" s="230"/>
      <c r="R1789" s="230"/>
      <c r="S1789" s="230"/>
      <c r="T1789" s="230"/>
      <c r="U1789" s="230"/>
      <c r="V1789" s="230"/>
      <c r="W1789" s="230"/>
      <c r="X1789" s="230"/>
      <c r="Y1789" s="230"/>
      <c r="Z1789" s="230"/>
      <c r="AA1789" s="230"/>
      <c r="AB1789" s="230"/>
      <c r="AC1789" s="230"/>
      <c r="AD1789" s="230"/>
    </row>
    <row r="1790" spans="1:30" ht="15.75" x14ac:dyDescent="0.25">
      <c r="A1790" s="230"/>
      <c r="B1790" s="234"/>
      <c r="C1790" s="234"/>
      <c r="D1790" s="234"/>
      <c r="E1790" s="230"/>
      <c r="F1790" s="230"/>
      <c r="G1790" s="230"/>
      <c r="H1790" s="230"/>
      <c r="I1790" s="230"/>
      <c r="J1790" s="230"/>
      <c r="K1790" s="230"/>
      <c r="L1790" s="230"/>
      <c r="M1790" s="230"/>
      <c r="N1790" s="230"/>
      <c r="O1790" s="230"/>
      <c r="P1790" s="230"/>
      <c r="Q1790" s="230"/>
      <c r="R1790" s="230"/>
      <c r="S1790" s="230"/>
      <c r="T1790" s="230"/>
      <c r="U1790" s="230"/>
      <c r="V1790" s="230"/>
      <c r="W1790" s="230"/>
      <c r="X1790" s="230"/>
      <c r="Y1790" s="230"/>
      <c r="Z1790" s="230"/>
      <c r="AA1790" s="230"/>
      <c r="AB1790" s="230"/>
      <c r="AC1790" s="230"/>
      <c r="AD1790" s="230"/>
    </row>
    <row r="1791" spans="1:30" ht="15.75" x14ac:dyDescent="0.25">
      <c r="A1791" s="230"/>
      <c r="B1791" s="234"/>
      <c r="C1791" s="234"/>
      <c r="D1791" s="234"/>
      <c r="E1791" s="230"/>
      <c r="F1791" s="230"/>
      <c r="G1791" s="230"/>
      <c r="H1791" s="230"/>
      <c r="I1791" s="230"/>
      <c r="J1791" s="230"/>
      <c r="K1791" s="230"/>
      <c r="L1791" s="230"/>
      <c r="M1791" s="230"/>
      <c r="N1791" s="230"/>
      <c r="O1791" s="230"/>
      <c r="P1791" s="230"/>
      <c r="Q1791" s="230"/>
      <c r="R1791" s="230"/>
      <c r="S1791" s="230"/>
      <c r="T1791" s="230"/>
      <c r="U1791" s="230"/>
      <c r="V1791" s="230"/>
      <c r="W1791" s="230"/>
      <c r="X1791" s="230"/>
      <c r="Y1791" s="230"/>
      <c r="Z1791" s="230"/>
      <c r="AA1791" s="230"/>
      <c r="AB1791" s="230"/>
      <c r="AC1791" s="230"/>
      <c r="AD1791" s="230"/>
    </row>
    <row r="1792" spans="1:30" ht="15.75" x14ac:dyDescent="0.25">
      <c r="A1792" s="230"/>
      <c r="B1792" s="234"/>
      <c r="C1792" s="234"/>
      <c r="D1792" s="234"/>
      <c r="E1792" s="230"/>
      <c r="F1792" s="230"/>
      <c r="G1792" s="230"/>
      <c r="H1792" s="230"/>
      <c r="I1792" s="230"/>
      <c r="J1792" s="230"/>
      <c r="K1792" s="230"/>
      <c r="L1792" s="230"/>
      <c r="M1792" s="230"/>
      <c r="N1792" s="230"/>
      <c r="O1792" s="230"/>
      <c r="P1792" s="230"/>
      <c r="Q1792" s="230"/>
      <c r="R1792" s="230"/>
      <c r="S1792" s="230"/>
      <c r="T1792" s="230"/>
      <c r="U1792" s="230"/>
      <c r="V1792" s="230"/>
      <c r="W1792" s="230"/>
      <c r="X1792" s="230"/>
      <c r="Y1792" s="230"/>
      <c r="Z1792" s="230"/>
      <c r="AA1792" s="230"/>
      <c r="AB1792" s="230"/>
      <c r="AC1792" s="230"/>
      <c r="AD1792" s="230"/>
    </row>
    <row r="1793" spans="1:30" ht="15.75" x14ac:dyDescent="0.25">
      <c r="A1793" s="230"/>
      <c r="B1793" s="234"/>
      <c r="C1793" s="234"/>
      <c r="D1793" s="234"/>
      <c r="E1793" s="230"/>
      <c r="F1793" s="230"/>
      <c r="G1793" s="230"/>
      <c r="H1793" s="230"/>
      <c r="I1793" s="230"/>
      <c r="J1793" s="230"/>
      <c r="K1793" s="230"/>
      <c r="L1793" s="230"/>
      <c r="M1793" s="230"/>
      <c r="N1793" s="230"/>
      <c r="O1793" s="230"/>
      <c r="P1793" s="230"/>
      <c r="Q1793" s="230"/>
      <c r="R1793" s="230"/>
      <c r="S1793" s="230"/>
      <c r="T1793" s="230"/>
      <c r="U1793" s="230"/>
      <c r="V1793" s="230"/>
      <c r="W1793" s="230"/>
      <c r="X1793" s="230"/>
      <c r="Y1793" s="230"/>
      <c r="Z1793" s="230"/>
      <c r="AA1793" s="230"/>
      <c r="AB1793" s="230"/>
      <c r="AC1793" s="230"/>
      <c r="AD1793" s="230"/>
    </row>
    <row r="1794" spans="1:30" ht="15.75" x14ac:dyDescent="0.25">
      <c r="A1794" s="230"/>
      <c r="B1794" s="234"/>
      <c r="C1794" s="234"/>
      <c r="D1794" s="234"/>
      <c r="E1794" s="230"/>
      <c r="F1794" s="230"/>
      <c r="G1794" s="230"/>
      <c r="H1794" s="230"/>
      <c r="I1794" s="230"/>
      <c r="J1794" s="230"/>
      <c r="K1794" s="230"/>
      <c r="L1794" s="230"/>
      <c r="M1794" s="230"/>
      <c r="N1794" s="230"/>
      <c r="O1794" s="230"/>
      <c r="P1794" s="230"/>
      <c r="Q1794" s="230"/>
      <c r="R1794" s="230"/>
      <c r="S1794" s="230"/>
      <c r="T1794" s="230"/>
      <c r="U1794" s="230"/>
      <c r="V1794" s="230"/>
      <c r="W1794" s="230"/>
      <c r="X1794" s="230"/>
      <c r="Y1794" s="230"/>
      <c r="Z1794" s="230"/>
      <c r="AA1794" s="230"/>
      <c r="AB1794" s="230"/>
      <c r="AC1794" s="230"/>
      <c r="AD1794" s="230"/>
    </row>
    <row r="1795" spans="1:30" ht="15.75" x14ac:dyDescent="0.25">
      <c r="A1795" s="230"/>
      <c r="B1795" s="234"/>
      <c r="C1795" s="234"/>
      <c r="D1795" s="234"/>
      <c r="E1795" s="230"/>
      <c r="F1795" s="230"/>
      <c r="G1795" s="230"/>
      <c r="H1795" s="230"/>
      <c r="I1795" s="230"/>
      <c r="J1795" s="230"/>
      <c r="K1795" s="230"/>
      <c r="L1795" s="230"/>
      <c r="M1795" s="230"/>
      <c r="N1795" s="230"/>
      <c r="O1795" s="230"/>
      <c r="P1795" s="230"/>
      <c r="Q1795" s="230"/>
      <c r="R1795" s="230"/>
      <c r="S1795" s="230"/>
      <c r="T1795" s="230"/>
      <c r="U1795" s="230"/>
      <c r="V1795" s="230"/>
      <c r="W1795" s="230"/>
      <c r="X1795" s="230"/>
      <c r="Y1795" s="230"/>
      <c r="Z1795" s="230"/>
      <c r="AA1795" s="230"/>
      <c r="AB1795" s="230"/>
      <c r="AC1795" s="230"/>
      <c r="AD1795" s="230"/>
    </row>
    <row r="1796" spans="1:30" ht="15.75" x14ac:dyDescent="0.25">
      <c r="A1796" s="230"/>
      <c r="B1796" s="234"/>
      <c r="C1796" s="234"/>
      <c r="D1796" s="234"/>
      <c r="E1796" s="230"/>
      <c r="F1796" s="230"/>
      <c r="G1796" s="230"/>
      <c r="H1796" s="230"/>
      <c r="I1796" s="230"/>
      <c r="J1796" s="230"/>
      <c r="K1796" s="230"/>
      <c r="L1796" s="230"/>
      <c r="M1796" s="230"/>
      <c r="N1796" s="230"/>
      <c r="O1796" s="230"/>
      <c r="P1796" s="230"/>
      <c r="Q1796" s="230"/>
      <c r="R1796" s="230"/>
      <c r="S1796" s="230"/>
      <c r="T1796" s="230"/>
      <c r="U1796" s="230"/>
      <c r="V1796" s="230"/>
      <c r="W1796" s="230"/>
      <c r="X1796" s="230"/>
      <c r="Y1796" s="230"/>
      <c r="Z1796" s="230"/>
      <c r="AA1796" s="230"/>
      <c r="AB1796" s="230"/>
      <c r="AC1796" s="230"/>
      <c r="AD1796" s="230"/>
    </row>
    <row r="1797" spans="1:30" ht="15.75" x14ac:dyDescent="0.25">
      <c r="A1797" s="230"/>
      <c r="B1797" s="234"/>
      <c r="C1797" s="234"/>
      <c r="D1797" s="234"/>
      <c r="E1797" s="230"/>
      <c r="F1797" s="230"/>
      <c r="G1797" s="230"/>
      <c r="H1797" s="230"/>
      <c r="I1797" s="230"/>
      <c r="J1797" s="230"/>
      <c r="K1797" s="230"/>
      <c r="L1797" s="230"/>
      <c r="M1797" s="230"/>
      <c r="N1797" s="230"/>
      <c r="O1797" s="230"/>
      <c r="P1797" s="230"/>
      <c r="Q1797" s="230"/>
      <c r="R1797" s="230"/>
      <c r="S1797" s="230"/>
      <c r="T1797" s="230"/>
      <c r="U1797" s="230"/>
      <c r="V1797" s="230"/>
      <c r="W1797" s="230"/>
      <c r="X1797" s="230"/>
      <c r="Y1797" s="230"/>
      <c r="Z1797" s="230"/>
      <c r="AA1797" s="230"/>
      <c r="AB1797" s="230"/>
      <c r="AC1797" s="230"/>
      <c r="AD1797" s="230"/>
    </row>
    <row r="1798" spans="1:30" ht="15.75" x14ac:dyDescent="0.25">
      <c r="A1798" s="230"/>
      <c r="B1798" s="234"/>
      <c r="C1798" s="234"/>
      <c r="D1798" s="234"/>
      <c r="E1798" s="230"/>
      <c r="F1798" s="230"/>
      <c r="G1798" s="230"/>
      <c r="H1798" s="230"/>
      <c r="I1798" s="230"/>
      <c r="J1798" s="230"/>
      <c r="K1798" s="230"/>
      <c r="L1798" s="230"/>
      <c r="M1798" s="230"/>
      <c r="N1798" s="230"/>
      <c r="O1798" s="230"/>
      <c r="P1798" s="230"/>
      <c r="Q1798" s="230"/>
      <c r="R1798" s="230"/>
      <c r="S1798" s="230"/>
      <c r="T1798" s="230"/>
      <c r="U1798" s="230"/>
      <c r="V1798" s="230"/>
      <c r="W1798" s="230"/>
      <c r="X1798" s="230"/>
      <c r="Y1798" s="230"/>
      <c r="Z1798" s="230"/>
      <c r="AA1798" s="230"/>
      <c r="AB1798" s="230"/>
      <c r="AC1798" s="230"/>
      <c r="AD1798" s="230"/>
    </row>
    <row r="1799" spans="1:30" ht="15.75" x14ac:dyDescent="0.25">
      <c r="A1799" s="230"/>
      <c r="B1799" s="234"/>
      <c r="C1799" s="234"/>
      <c r="D1799" s="234"/>
      <c r="E1799" s="230"/>
      <c r="F1799" s="230"/>
      <c r="G1799" s="230"/>
      <c r="H1799" s="230"/>
      <c r="I1799" s="230"/>
      <c r="J1799" s="230"/>
      <c r="K1799" s="230"/>
      <c r="L1799" s="230"/>
      <c r="M1799" s="230"/>
      <c r="N1799" s="230"/>
      <c r="O1799" s="230"/>
      <c r="P1799" s="230"/>
      <c r="Q1799" s="230"/>
      <c r="R1799" s="230"/>
      <c r="S1799" s="230"/>
      <c r="T1799" s="230"/>
      <c r="U1799" s="230"/>
      <c r="V1799" s="230"/>
      <c r="W1799" s="230"/>
      <c r="X1799" s="230"/>
      <c r="Y1799" s="230"/>
      <c r="Z1799" s="230"/>
      <c r="AA1799" s="230"/>
      <c r="AB1799" s="230"/>
      <c r="AC1799" s="230"/>
      <c r="AD1799" s="230"/>
    </row>
    <row r="1800" spans="1:30" ht="15.75" x14ac:dyDescent="0.25">
      <c r="A1800" s="230"/>
      <c r="B1800" s="234"/>
      <c r="C1800" s="234"/>
      <c r="D1800" s="234"/>
      <c r="E1800" s="230"/>
      <c r="F1800" s="230"/>
      <c r="G1800" s="230"/>
      <c r="H1800" s="230"/>
      <c r="I1800" s="230"/>
      <c r="J1800" s="230"/>
      <c r="K1800" s="230"/>
      <c r="L1800" s="230"/>
      <c r="M1800" s="230"/>
      <c r="N1800" s="230"/>
      <c r="O1800" s="230"/>
      <c r="P1800" s="230"/>
      <c r="Q1800" s="230"/>
      <c r="R1800" s="230"/>
      <c r="S1800" s="230"/>
      <c r="T1800" s="230"/>
      <c r="U1800" s="230"/>
      <c r="V1800" s="230"/>
      <c r="W1800" s="230"/>
      <c r="X1800" s="230"/>
      <c r="Y1800" s="230"/>
      <c r="Z1800" s="230"/>
      <c r="AA1800" s="230"/>
      <c r="AB1800" s="230"/>
      <c r="AC1800" s="230"/>
      <c r="AD1800" s="230"/>
    </row>
    <row r="1801" spans="1:30" ht="15.75" x14ac:dyDescent="0.25">
      <c r="A1801" s="230"/>
      <c r="B1801" s="234"/>
      <c r="C1801" s="234"/>
      <c r="D1801" s="234"/>
      <c r="E1801" s="230"/>
      <c r="F1801" s="230"/>
      <c r="G1801" s="230"/>
      <c r="H1801" s="230"/>
      <c r="I1801" s="230"/>
      <c r="J1801" s="230"/>
      <c r="K1801" s="230"/>
      <c r="L1801" s="230"/>
      <c r="M1801" s="230"/>
      <c r="N1801" s="230"/>
      <c r="O1801" s="230"/>
      <c r="P1801" s="230"/>
      <c r="Q1801" s="230"/>
      <c r="R1801" s="230"/>
      <c r="S1801" s="230"/>
      <c r="T1801" s="230"/>
      <c r="U1801" s="230"/>
      <c r="V1801" s="230"/>
      <c r="W1801" s="230"/>
      <c r="X1801" s="230"/>
      <c r="Y1801" s="230"/>
      <c r="Z1801" s="230"/>
      <c r="AA1801" s="230"/>
      <c r="AB1801" s="230"/>
      <c r="AC1801" s="230"/>
      <c r="AD1801" s="230"/>
    </row>
    <row r="1802" spans="1:30" ht="15.75" x14ac:dyDescent="0.25">
      <c r="A1802" s="230"/>
      <c r="B1802" s="234"/>
      <c r="C1802" s="234"/>
      <c r="D1802" s="234"/>
      <c r="E1802" s="230"/>
      <c r="F1802" s="230"/>
      <c r="G1802" s="230"/>
      <c r="H1802" s="230"/>
      <c r="I1802" s="230"/>
      <c r="J1802" s="230"/>
      <c r="K1802" s="230"/>
      <c r="L1802" s="230"/>
      <c r="M1802" s="230"/>
      <c r="N1802" s="230"/>
      <c r="O1802" s="230"/>
      <c r="P1802" s="230"/>
      <c r="Q1802" s="230"/>
      <c r="R1802" s="230"/>
      <c r="S1802" s="230"/>
      <c r="T1802" s="230"/>
      <c r="U1802" s="230"/>
      <c r="V1802" s="230"/>
      <c r="W1802" s="230"/>
      <c r="X1802" s="230"/>
      <c r="Y1802" s="230"/>
      <c r="Z1802" s="230"/>
      <c r="AA1802" s="230"/>
      <c r="AB1802" s="230"/>
      <c r="AC1802" s="230"/>
      <c r="AD1802" s="230"/>
    </row>
    <row r="1803" spans="1:30" ht="15.75" x14ac:dyDescent="0.25">
      <c r="A1803" s="230"/>
      <c r="B1803" s="234"/>
      <c r="C1803" s="234"/>
      <c r="D1803" s="234"/>
      <c r="E1803" s="230"/>
      <c r="F1803" s="230"/>
      <c r="G1803" s="230"/>
      <c r="H1803" s="230"/>
      <c r="I1803" s="230"/>
      <c r="J1803" s="230"/>
      <c r="K1803" s="230"/>
      <c r="L1803" s="230"/>
      <c r="M1803" s="230"/>
      <c r="N1803" s="230"/>
      <c r="O1803" s="230"/>
      <c r="P1803" s="230"/>
      <c r="Q1803" s="230"/>
      <c r="R1803" s="230"/>
      <c r="S1803" s="230"/>
      <c r="T1803" s="230"/>
      <c r="U1803" s="230"/>
      <c r="V1803" s="230"/>
      <c r="W1803" s="230"/>
      <c r="X1803" s="230"/>
      <c r="Y1803" s="230"/>
      <c r="Z1803" s="230"/>
      <c r="AA1803" s="230"/>
      <c r="AB1803" s="230"/>
      <c r="AC1803" s="230"/>
      <c r="AD1803" s="230"/>
    </row>
    <row r="1804" spans="1:30" ht="15.75" x14ac:dyDescent="0.25">
      <c r="A1804" s="230"/>
      <c r="B1804" s="234"/>
      <c r="C1804" s="234"/>
      <c r="D1804" s="234"/>
      <c r="E1804" s="230"/>
      <c r="F1804" s="230"/>
      <c r="G1804" s="230"/>
      <c r="H1804" s="230"/>
      <c r="I1804" s="230"/>
      <c r="J1804" s="230"/>
      <c r="K1804" s="230"/>
      <c r="L1804" s="230"/>
      <c r="M1804" s="230"/>
      <c r="N1804" s="230"/>
      <c r="O1804" s="230"/>
      <c r="P1804" s="230"/>
      <c r="Q1804" s="230"/>
      <c r="R1804" s="230"/>
      <c r="S1804" s="230"/>
      <c r="T1804" s="230"/>
      <c r="U1804" s="230"/>
      <c r="V1804" s="230"/>
      <c r="W1804" s="230"/>
      <c r="X1804" s="230"/>
      <c r="Y1804" s="230"/>
      <c r="Z1804" s="230"/>
      <c r="AA1804" s="230"/>
      <c r="AB1804" s="230"/>
      <c r="AC1804" s="230"/>
      <c r="AD1804" s="230"/>
    </row>
    <row r="1805" spans="1:30" ht="15.75" x14ac:dyDescent="0.25">
      <c r="A1805" s="230"/>
      <c r="B1805" s="234"/>
      <c r="C1805" s="234"/>
      <c r="D1805" s="234"/>
      <c r="E1805" s="230"/>
      <c r="F1805" s="230"/>
      <c r="G1805" s="230"/>
      <c r="H1805" s="230"/>
      <c r="I1805" s="230"/>
      <c r="J1805" s="230"/>
      <c r="K1805" s="230"/>
      <c r="L1805" s="230"/>
      <c r="M1805" s="230"/>
      <c r="N1805" s="230"/>
      <c r="O1805" s="230"/>
      <c r="P1805" s="230"/>
      <c r="Q1805" s="230"/>
      <c r="R1805" s="230"/>
      <c r="S1805" s="230"/>
      <c r="T1805" s="230"/>
      <c r="U1805" s="230"/>
      <c r="V1805" s="230"/>
      <c r="W1805" s="230"/>
      <c r="X1805" s="230"/>
      <c r="Y1805" s="230"/>
      <c r="Z1805" s="230"/>
      <c r="AA1805" s="230"/>
      <c r="AB1805" s="230"/>
      <c r="AC1805" s="230"/>
      <c r="AD1805" s="230"/>
    </row>
    <row r="1806" spans="1:30" ht="15.75" x14ac:dyDescent="0.25">
      <c r="A1806" s="230"/>
      <c r="B1806" s="234"/>
      <c r="C1806" s="234"/>
      <c r="D1806" s="234"/>
      <c r="E1806" s="230"/>
      <c r="F1806" s="230"/>
      <c r="G1806" s="230"/>
      <c r="H1806" s="230"/>
      <c r="I1806" s="230"/>
      <c r="J1806" s="230"/>
      <c r="K1806" s="230"/>
      <c r="L1806" s="230"/>
      <c r="M1806" s="230"/>
      <c r="N1806" s="230"/>
      <c r="O1806" s="230"/>
      <c r="P1806" s="230"/>
      <c r="Q1806" s="230"/>
      <c r="R1806" s="230"/>
      <c r="S1806" s="230"/>
      <c r="T1806" s="230"/>
      <c r="U1806" s="230"/>
      <c r="V1806" s="230"/>
      <c r="W1806" s="230"/>
      <c r="X1806" s="230"/>
      <c r="Y1806" s="230"/>
      <c r="Z1806" s="230"/>
      <c r="AA1806" s="230"/>
      <c r="AB1806" s="230"/>
      <c r="AC1806" s="230"/>
      <c r="AD1806" s="230"/>
    </row>
    <row r="1807" spans="1:30" ht="15.75" x14ac:dyDescent="0.25">
      <c r="A1807" s="230"/>
      <c r="B1807" s="234"/>
      <c r="C1807" s="234"/>
      <c r="D1807" s="234"/>
      <c r="E1807" s="230"/>
      <c r="F1807" s="230"/>
      <c r="G1807" s="230"/>
      <c r="H1807" s="230"/>
      <c r="I1807" s="230"/>
      <c r="J1807" s="230"/>
      <c r="K1807" s="230"/>
      <c r="L1807" s="230"/>
      <c r="M1807" s="230"/>
      <c r="N1807" s="230"/>
      <c r="O1807" s="230"/>
      <c r="P1807" s="230"/>
      <c r="Q1807" s="230"/>
      <c r="R1807" s="230"/>
      <c r="S1807" s="230"/>
      <c r="T1807" s="230"/>
      <c r="U1807" s="230"/>
      <c r="V1807" s="230"/>
      <c r="W1807" s="230"/>
      <c r="X1807" s="230"/>
      <c r="Y1807" s="230"/>
      <c r="Z1807" s="230"/>
      <c r="AA1807" s="230"/>
      <c r="AB1807" s="230"/>
      <c r="AC1807" s="230"/>
      <c r="AD1807" s="230"/>
    </row>
    <row r="1808" spans="1:30" ht="15.75" x14ac:dyDescent="0.25">
      <c r="A1808" s="230"/>
      <c r="B1808" s="234"/>
      <c r="C1808" s="234"/>
      <c r="D1808" s="234"/>
      <c r="E1808" s="230"/>
      <c r="F1808" s="230"/>
      <c r="G1808" s="230"/>
      <c r="H1808" s="230"/>
      <c r="I1808" s="230"/>
      <c r="J1808" s="230"/>
      <c r="K1808" s="230"/>
      <c r="L1808" s="230"/>
      <c r="M1808" s="230"/>
      <c r="N1808" s="230"/>
      <c r="O1808" s="230"/>
      <c r="P1808" s="230"/>
      <c r="Q1808" s="230"/>
      <c r="R1808" s="230"/>
      <c r="S1808" s="230"/>
      <c r="T1808" s="230"/>
      <c r="U1808" s="230"/>
      <c r="V1808" s="230"/>
      <c r="W1808" s="230"/>
      <c r="X1808" s="230"/>
      <c r="Y1808" s="230"/>
      <c r="Z1808" s="230"/>
      <c r="AA1808" s="230"/>
      <c r="AB1808" s="230"/>
      <c r="AC1808" s="230"/>
      <c r="AD1808" s="230"/>
    </row>
    <row r="1809" spans="1:30" ht="15.75" x14ac:dyDescent="0.25">
      <c r="A1809" s="230"/>
      <c r="B1809" s="234"/>
      <c r="C1809" s="234"/>
      <c r="D1809" s="234"/>
      <c r="E1809" s="230"/>
      <c r="F1809" s="230"/>
      <c r="G1809" s="230"/>
      <c r="H1809" s="230"/>
      <c r="I1809" s="230"/>
      <c r="J1809" s="230"/>
      <c r="K1809" s="230"/>
      <c r="L1809" s="230"/>
      <c r="M1809" s="230"/>
      <c r="N1809" s="230"/>
      <c r="O1809" s="230"/>
      <c r="P1809" s="230"/>
      <c r="Q1809" s="230"/>
      <c r="R1809" s="230"/>
      <c r="S1809" s="230"/>
      <c r="T1809" s="230"/>
      <c r="U1809" s="230"/>
      <c r="V1809" s="230"/>
      <c r="W1809" s="230"/>
      <c r="X1809" s="230"/>
      <c r="Y1809" s="230"/>
      <c r="Z1809" s="230"/>
      <c r="AA1809" s="230"/>
      <c r="AB1809" s="230"/>
      <c r="AC1809" s="230"/>
      <c r="AD1809" s="230"/>
    </row>
    <row r="1810" spans="1:30" ht="15.75" x14ac:dyDescent="0.25">
      <c r="A1810" s="230"/>
      <c r="B1810" s="234"/>
      <c r="C1810" s="234"/>
      <c r="D1810" s="234"/>
      <c r="E1810" s="230"/>
      <c r="F1810" s="230"/>
      <c r="G1810" s="230"/>
      <c r="H1810" s="230"/>
      <c r="I1810" s="230"/>
      <c r="J1810" s="230"/>
      <c r="K1810" s="230"/>
      <c r="L1810" s="230"/>
      <c r="M1810" s="230"/>
      <c r="N1810" s="230"/>
      <c r="O1810" s="230"/>
      <c r="P1810" s="230"/>
      <c r="Q1810" s="230"/>
      <c r="R1810" s="230"/>
      <c r="S1810" s="230"/>
      <c r="T1810" s="230"/>
      <c r="U1810" s="230"/>
      <c r="V1810" s="230"/>
      <c r="W1810" s="230"/>
      <c r="X1810" s="230"/>
      <c r="Y1810" s="230"/>
      <c r="Z1810" s="230"/>
      <c r="AA1810" s="230"/>
      <c r="AB1810" s="230"/>
      <c r="AC1810" s="230"/>
      <c r="AD1810" s="230"/>
    </row>
    <row r="1811" spans="1:30" ht="15.75" x14ac:dyDescent="0.25">
      <c r="A1811" s="230"/>
      <c r="B1811" s="234"/>
      <c r="C1811" s="234"/>
      <c r="D1811" s="234"/>
      <c r="E1811" s="230"/>
      <c r="F1811" s="230"/>
      <c r="G1811" s="230"/>
      <c r="H1811" s="230"/>
      <c r="I1811" s="230"/>
      <c r="J1811" s="230"/>
      <c r="K1811" s="230"/>
      <c r="L1811" s="230"/>
      <c r="M1811" s="230"/>
      <c r="N1811" s="230"/>
      <c r="O1811" s="230"/>
      <c r="P1811" s="230"/>
      <c r="Q1811" s="230"/>
      <c r="R1811" s="230"/>
      <c r="S1811" s="230"/>
      <c r="T1811" s="230"/>
      <c r="U1811" s="230"/>
      <c r="V1811" s="230"/>
      <c r="W1811" s="230"/>
      <c r="X1811" s="230"/>
      <c r="Y1811" s="230"/>
      <c r="Z1811" s="230"/>
      <c r="AA1811" s="230"/>
      <c r="AB1811" s="230"/>
      <c r="AC1811" s="230"/>
      <c r="AD1811" s="230"/>
    </row>
    <row r="1812" spans="1:30" ht="15.75" x14ac:dyDescent="0.25">
      <c r="A1812" s="230"/>
      <c r="B1812" s="234"/>
      <c r="C1812" s="234"/>
      <c r="D1812" s="234"/>
      <c r="E1812" s="230"/>
      <c r="F1812" s="230"/>
      <c r="G1812" s="230"/>
      <c r="H1812" s="230"/>
      <c r="I1812" s="230"/>
      <c r="J1812" s="230"/>
      <c r="K1812" s="230"/>
      <c r="L1812" s="230"/>
      <c r="M1812" s="230"/>
      <c r="N1812" s="230"/>
      <c r="O1812" s="230"/>
      <c r="P1812" s="230"/>
      <c r="Q1812" s="230"/>
      <c r="R1812" s="230"/>
      <c r="S1812" s="230"/>
      <c r="T1812" s="230"/>
      <c r="U1812" s="230"/>
      <c r="V1812" s="230"/>
      <c r="W1812" s="230"/>
      <c r="X1812" s="230"/>
      <c r="Y1812" s="230"/>
      <c r="Z1812" s="230"/>
      <c r="AA1812" s="230"/>
      <c r="AB1812" s="230"/>
      <c r="AC1812" s="230"/>
      <c r="AD1812" s="230"/>
    </row>
    <row r="1813" spans="1:30" ht="15.75" x14ac:dyDescent="0.25">
      <c r="A1813" s="230"/>
      <c r="B1813" s="234"/>
      <c r="C1813" s="234"/>
      <c r="D1813" s="234"/>
      <c r="E1813" s="230"/>
      <c r="F1813" s="230"/>
      <c r="G1813" s="230"/>
      <c r="H1813" s="230"/>
      <c r="I1813" s="230"/>
      <c r="J1813" s="230"/>
      <c r="K1813" s="230"/>
      <c r="L1813" s="230"/>
      <c r="M1813" s="230"/>
      <c r="N1813" s="230"/>
      <c r="O1813" s="230"/>
      <c r="P1813" s="230"/>
      <c r="Q1813" s="230"/>
      <c r="R1813" s="230"/>
      <c r="S1813" s="230"/>
      <c r="T1813" s="230"/>
      <c r="U1813" s="230"/>
      <c r="V1813" s="230"/>
      <c r="W1813" s="230"/>
      <c r="X1813" s="230"/>
      <c r="Y1813" s="230"/>
      <c r="Z1813" s="230"/>
      <c r="AA1813" s="230"/>
      <c r="AB1813" s="230"/>
      <c r="AC1813" s="230"/>
      <c r="AD1813" s="230"/>
    </row>
    <row r="1814" spans="1:30" ht="15.75" x14ac:dyDescent="0.25">
      <c r="A1814" s="230"/>
      <c r="B1814" s="234"/>
      <c r="C1814" s="234"/>
      <c r="D1814" s="234"/>
      <c r="E1814" s="230"/>
      <c r="F1814" s="230"/>
      <c r="G1814" s="230"/>
      <c r="H1814" s="230"/>
      <c r="I1814" s="230"/>
      <c r="J1814" s="230"/>
      <c r="K1814" s="230"/>
      <c r="L1814" s="230"/>
      <c r="M1814" s="230"/>
      <c r="N1814" s="230"/>
      <c r="O1814" s="230"/>
      <c r="P1814" s="230"/>
      <c r="Q1814" s="230"/>
      <c r="R1814" s="230"/>
      <c r="S1814" s="230"/>
      <c r="T1814" s="230"/>
      <c r="U1814" s="230"/>
      <c r="V1814" s="230"/>
      <c r="W1814" s="230"/>
      <c r="X1814" s="230"/>
      <c r="Y1814" s="230"/>
      <c r="Z1814" s="230"/>
      <c r="AA1814" s="230"/>
      <c r="AB1814" s="230"/>
      <c r="AC1814" s="230"/>
      <c r="AD1814" s="230"/>
    </row>
    <row r="1815" spans="1:30" ht="15.75" x14ac:dyDescent="0.25">
      <c r="A1815" s="230"/>
      <c r="B1815" s="234"/>
      <c r="C1815" s="234"/>
      <c r="D1815" s="234"/>
      <c r="E1815" s="230"/>
      <c r="F1815" s="230"/>
      <c r="G1815" s="230"/>
      <c r="H1815" s="230"/>
      <c r="I1815" s="230"/>
      <c r="J1815" s="230"/>
      <c r="K1815" s="230"/>
      <c r="L1815" s="230"/>
      <c r="M1815" s="230"/>
      <c r="N1815" s="230"/>
      <c r="O1815" s="230"/>
      <c r="P1815" s="230"/>
      <c r="Q1815" s="230"/>
      <c r="R1815" s="230"/>
      <c r="S1815" s="230"/>
      <c r="T1815" s="230"/>
      <c r="U1815" s="230"/>
      <c r="V1815" s="230"/>
      <c r="W1815" s="230"/>
      <c r="X1815" s="230"/>
      <c r="Y1815" s="230"/>
      <c r="Z1815" s="230"/>
      <c r="AA1815" s="230"/>
      <c r="AB1815" s="230"/>
      <c r="AC1815" s="230"/>
      <c r="AD1815" s="230"/>
    </row>
    <row r="1816" spans="1:30" ht="15.75" x14ac:dyDescent="0.25">
      <c r="A1816" s="230"/>
      <c r="B1816" s="234"/>
      <c r="C1816" s="234"/>
      <c r="D1816" s="234"/>
      <c r="E1816" s="230"/>
      <c r="F1816" s="230"/>
      <c r="G1816" s="230"/>
      <c r="H1816" s="230"/>
      <c r="I1816" s="230"/>
      <c r="J1816" s="230"/>
      <c r="K1816" s="230"/>
      <c r="L1816" s="230"/>
      <c r="M1816" s="230"/>
      <c r="N1816" s="230"/>
      <c r="O1816" s="230"/>
      <c r="P1816" s="230"/>
      <c r="Q1816" s="230"/>
      <c r="R1816" s="230"/>
      <c r="S1816" s="230"/>
      <c r="T1816" s="230"/>
      <c r="U1816" s="230"/>
      <c r="V1816" s="230"/>
      <c r="W1816" s="230"/>
      <c r="X1816" s="230"/>
      <c r="Y1816" s="230"/>
      <c r="Z1816" s="230"/>
      <c r="AA1816" s="230"/>
      <c r="AB1816" s="230"/>
      <c r="AC1816" s="230"/>
      <c r="AD1816" s="230"/>
    </row>
    <row r="1817" spans="1:30" ht="15.75" x14ac:dyDescent="0.25">
      <c r="A1817" s="230"/>
      <c r="B1817" s="234"/>
      <c r="C1817" s="234"/>
      <c r="D1817" s="234"/>
      <c r="E1817" s="230"/>
      <c r="F1817" s="230"/>
      <c r="G1817" s="230"/>
      <c r="H1817" s="230"/>
      <c r="I1817" s="230"/>
      <c r="J1817" s="230"/>
      <c r="K1817" s="230"/>
      <c r="L1817" s="230"/>
      <c r="M1817" s="230"/>
      <c r="N1817" s="230"/>
      <c r="O1817" s="230"/>
      <c r="P1817" s="230"/>
      <c r="Q1817" s="230"/>
      <c r="R1817" s="230"/>
      <c r="S1817" s="230"/>
      <c r="T1817" s="230"/>
      <c r="U1817" s="230"/>
      <c r="V1817" s="230"/>
      <c r="W1817" s="230"/>
      <c r="X1817" s="230"/>
      <c r="Y1817" s="230"/>
      <c r="Z1817" s="230"/>
      <c r="AA1817" s="230"/>
      <c r="AB1817" s="230"/>
      <c r="AC1817" s="230"/>
      <c r="AD1817" s="230"/>
    </row>
    <row r="1818" spans="1:30" ht="15.75" x14ac:dyDescent="0.25">
      <c r="A1818" s="230"/>
      <c r="B1818" s="234"/>
      <c r="C1818" s="234"/>
      <c r="D1818" s="234"/>
      <c r="E1818" s="230"/>
      <c r="F1818" s="230"/>
      <c r="G1818" s="230"/>
      <c r="H1818" s="230"/>
      <c r="I1818" s="230"/>
      <c r="J1818" s="230"/>
      <c r="K1818" s="230"/>
      <c r="L1818" s="230"/>
      <c r="M1818" s="230"/>
      <c r="N1818" s="230"/>
      <c r="O1818" s="230"/>
      <c r="P1818" s="230"/>
      <c r="Q1818" s="230"/>
      <c r="R1818" s="230"/>
      <c r="S1818" s="230"/>
      <c r="T1818" s="230"/>
      <c r="U1818" s="230"/>
      <c r="V1818" s="230"/>
      <c r="W1818" s="230"/>
      <c r="X1818" s="230"/>
      <c r="Y1818" s="230"/>
      <c r="Z1818" s="230"/>
      <c r="AA1818" s="230"/>
      <c r="AB1818" s="230"/>
      <c r="AC1818" s="230"/>
      <c r="AD1818" s="230"/>
    </row>
    <row r="1819" spans="1:30" ht="15.75" x14ac:dyDescent="0.25">
      <c r="A1819" s="230"/>
      <c r="B1819" s="234"/>
      <c r="C1819" s="234"/>
      <c r="D1819" s="234"/>
      <c r="E1819" s="230"/>
      <c r="F1819" s="230"/>
      <c r="G1819" s="230"/>
      <c r="H1819" s="230"/>
      <c r="I1819" s="230"/>
      <c r="J1819" s="230"/>
      <c r="K1819" s="230"/>
      <c r="L1819" s="230"/>
      <c r="M1819" s="230"/>
      <c r="N1819" s="230"/>
      <c r="O1819" s="230"/>
      <c r="P1819" s="230"/>
      <c r="Q1819" s="230"/>
      <c r="R1819" s="230"/>
      <c r="S1819" s="230"/>
      <c r="T1819" s="230"/>
      <c r="U1819" s="230"/>
      <c r="V1819" s="230"/>
      <c r="W1819" s="230"/>
      <c r="X1819" s="230"/>
      <c r="Y1819" s="230"/>
      <c r="Z1819" s="230"/>
      <c r="AA1819" s="230"/>
      <c r="AB1819" s="230"/>
      <c r="AC1819" s="230"/>
      <c r="AD1819" s="230"/>
    </row>
    <row r="1820" spans="1:30" ht="15.75" x14ac:dyDescent="0.25">
      <c r="A1820" s="230"/>
      <c r="B1820" s="234"/>
      <c r="C1820" s="234"/>
      <c r="D1820" s="234"/>
      <c r="E1820" s="230"/>
      <c r="F1820" s="230"/>
      <c r="G1820" s="230"/>
      <c r="H1820" s="230"/>
      <c r="I1820" s="230"/>
      <c r="J1820" s="230"/>
      <c r="K1820" s="230"/>
      <c r="L1820" s="230"/>
      <c r="M1820" s="230"/>
      <c r="N1820" s="230"/>
      <c r="O1820" s="230"/>
      <c r="P1820" s="230"/>
      <c r="Q1820" s="230"/>
      <c r="R1820" s="230"/>
      <c r="S1820" s="230"/>
      <c r="T1820" s="230"/>
      <c r="U1820" s="230"/>
      <c r="V1820" s="230"/>
      <c r="W1820" s="230"/>
      <c r="X1820" s="230"/>
      <c r="Y1820" s="230"/>
      <c r="Z1820" s="230"/>
      <c r="AA1820" s="230"/>
      <c r="AB1820" s="230"/>
      <c r="AC1820" s="230"/>
      <c r="AD1820" s="230"/>
    </row>
    <row r="1821" spans="1:30" ht="15.75" x14ac:dyDescent="0.25">
      <c r="A1821" s="230"/>
      <c r="B1821" s="234"/>
      <c r="C1821" s="234"/>
      <c r="D1821" s="234"/>
      <c r="E1821" s="230"/>
      <c r="F1821" s="230"/>
      <c r="G1821" s="230"/>
      <c r="H1821" s="230"/>
      <c r="I1821" s="230"/>
      <c r="J1821" s="230"/>
      <c r="K1821" s="230"/>
      <c r="L1821" s="230"/>
      <c r="M1821" s="230"/>
      <c r="N1821" s="230"/>
      <c r="O1821" s="230"/>
      <c r="P1821" s="230"/>
      <c r="Q1821" s="230"/>
      <c r="R1821" s="230"/>
      <c r="S1821" s="230"/>
      <c r="T1821" s="230"/>
      <c r="U1821" s="230"/>
      <c r="V1821" s="230"/>
      <c r="W1821" s="230"/>
      <c r="X1821" s="230"/>
      <c r="Y1821" s="230"/>
      <c r="Z1821" s="230"/>
      <c r="AA1821" s="230"/>
      <c r="AB1821" s="230"/>
      <c r="AC1821" s="230"/>
      <c r="AD1821" s="230"/>
    </row>
    <row r="1822" spans="1:30" ht="15.75" x14ac:dyDescent="0.25">
      <c r="A1822" s="230"/>
      <c r="B1822" s="234"/>
      <c r="C1822" s="234"/>
      <c r="D1822" s="234"/>
      <c r="E1822" s="230"/>
      <c r="F1822" s="230"/>
      <c r="G1822" s="230"/>
      <c r="H1822" s="230"/>
      <c r="I1822" s="230"/>
      <c r="J1822" s="230"/>
      <c r="K1822" s="230"/>
      <c r="L1822" s="230"/>
      <c r="M1822" s="230"/>
      <c r="N1822" s="230"/>
      <c r="O1822" s="230"/>
      <c r="P1822" s="230"/>
      <c r="Q1822" s="230"/>
      <c r="R1822" s="230"/>
      <c r="S1822" s="230"/>
      <c r="T1822" s="230"/>
      <c r="U1822" s="230"/>
      <c r="V1822" s="230"/>
      <c r="W1822" s="230"/>
      <c r="X1822" s="230"/>
      <c r="Y1822" s="230"/>
      <c r="Z1822" s="230"/>
      <c r="AA1822" s="230"/>
      <c r="AB1822" s="230"/>
      <c r="AC1822" s="230"/>
      <c r="AD1822" s="230"/>
    </row>
    <row r="1823" spans="1:30" ht="15.75" x14ac:dyDescent="0.25">
      <c r="A1823" s="230"/>
      <c r="B1823" s="234"/>
      <c r="C1823" s="234"/>
      <c r="D1823" s="234"/>
      <c r="E1823" s="230"/>
      <c r="F1823" s="230"/>
      <c r="G1823" s="230"/>
      <c r="H1823" s="230"/>
      <c r="I1823" s="230"/>
      <c r="J1823" s="230"/>
      <c r="K1823" s="230"/>
      <c r="L1823" s="230"/>
      <c r="M1823" s="230"/>
      <c r="N1823" s="230"/>
      <c r="O1823" s="230"/>
      <c r="P1823" s="230"/>
      <c r="Q1823" s="230"/>
      <c r="R1823" s="230"/>
      <c r="S1823" s="230"/>
      <c r="T1823" s="230"/>
      <c r="U1823" s="230"/>
      <c r="V1823" s="230"/>
      <c r="W1823" s="230"/>
      <c r="X1823" s="230"/>
      <c r="Y1823" s="230"/>
      <c r="Z1823" s="230"/>
      <c r="AA1823" s="230"/>
      <c r="AB1823" s="230"/>
      <c r="AC1823" s="230"/>
      <c r="AD1823" s="230"/>
    </row>
    <row r="1824" spans="1:30" ht="15.75" x14ac:dyDescent="0.25">
      <c r="A1824" s="230"/>
      <c r="B1824" s="234"/>
      <c r="C1824" s="234"/>
      <c r="D1824" s="234"/>
      <c r="E1824" s="230"/>
      <c r="F1824" s="230"/>
      <c r="G1824" s="230"/>
      <c r="H1824" s="230"/>
      <c r="I1824" s="230"/>
      <c r="J1824" s="230"/>
      <c r="K1824" s="230"/>
      <c r="L1824" s="230"/>
      <c r="M1824" s="230"/>
      <c r="N1824" s="230"/>
      <c r="O1824" s="230"/>
      <c r="P1824" s="230"/>
      <c r="Q1824" s="230"/>
      <c r="R1824" s="230"/>
      <c r="S1824" s="230"/>
      <c r="T1824" s="230"/>
      <c r="U1824" s="230"/>
      <c r="V1824" s="230"/>
      <c r="W1824" s="230"/>
      <c r="X1824" s="230"/>
      <c r="Y1824" s="230"/>
      <c r="Z1824" s="230"/>
      <c r="AA1824" s="230"/>
      <c r="AB1824" s="230"/>
      <c r="AC1824" s="230"/>
      <c r="AD1824" s="230"/>
    </row>
    <row r="1825" spans="1:30" ht="15.75" x14ac:dyDescent="0.25">
      <c r="A1825" s="230"/>
      <c r="B1825" s="234"/>
      <c r="C1825" s="234"/>
      <c r="D1825" s="234"/>
      <c r="E1825" s="230"/>
      <c r="F1825" s="230"/>
      <c r="G1825" s="230"/>
      <c r="H1825" s="230"/>
      <c r="I1825" s="230"/>
      <c r="J1825" s="230"/>
      <c r="K1825" s="230"/>
      <c r="L1825" s="230"/>
      <c r="M1825" s="230"/>
      <c r="N1825" s="230"/>
      <c r="O1825" s="230"/>
      <c r="P1825" s="230"/>
      <c r="Q1825" s="230"/>
      <c r="R1825" s="230"/>
      <c r="S1825" s="230"/>
      <c r="T1825" s="230"/>
      <c r="U1825" s="230"/>
      <c r="V1825" s="230"/>
      <c r="W1825" s="230"/>
      <c r="X1825" s="230"/>
      <c r="Y1825" s="230"/>
      <c r="Z1825" s="230"/>
      <c r="AA1825" s="230"/>
      <c r="AB1825" s="230"/>
      <c r="AC1825" s="230"/>
      <c r="AD1825" s="230"/>
    </row>
    <row r="1826" spans="1:30" ht="15.75" x14ac:dyDescent="0.25">
      <c r="A1826" s="230"/>
      <c r="B1826" s="234"/>
      <c r="C1826" s="234"/>
      <c r="D1826" s="234"/>
      <c r="E1826" s="230"/>
      <c r="F1826" s="230"/>
      <c r="G1826" s="230"/>
      <c r="H1826" s="230"/>
      <c r="I1826" s="230"/>
      <c r="J1826" s="230"/>
      <c r="K1826" s="230"/>
      <c r="L1826" s="230"/>
      <c r="M1826" s="230"/>
      <c r="N1826" s="230"/>
      <c r="O1826" s="230"/>
      <c r="P1826" s="230"/>
      <c r="Q1826" s="230"/>
      <c r="R1826" s="230"/>
      <c r="S1826" s="230"/>
      <c r="T1826" s="230"/>
      <c r="U1826" s="230"/>
      <c r="V1826" s="230"/>
      <c r="W1826" s="230"/>
      <c r="X1826" s="230"/>
      <c r="Y1826" s="230"/>
      <c r="Z1826" s="230"/>
      <c r="AA1826" s="230"/>
      <c r="AB1826" s="230"/>
      <c r="AC1826" s="230"/>
      <c r="AD1826" s="230"/>
    </row>
    <row r="1827" spans="1:30" ht="15.75" x14ac:dyDescent="0.25">
      <c r="A1827" s="230"/>
      <c r="B1827" s="234"/>
      <c r="C1827" s="234"/>
      <c r="D1827" s="234"/>
      <c r="E1827" s="230"/>
      <c r="F1827" s="230"/>
      <c r="G1827" s="230"/>
      <c r="H1827" s="230"/>
      <c r="I1827" s="230"/>
      <c r="J1827" s="230"/>
      <c r="K1827" s="230"/>
      <c r="L1827" s="230"/>
      <c r="M1827" s="230"/>
      <c r="N1827" s="230"/>
      <c r="O1827" s="230"/>
      <c r="P1827" s="230"/>
      <c r="Q1827" s="230"/>
      <c r="R1827" s="230"/>
      <c r="S1827" s="230"/>
      <c r="T1827" s="230"/>
      <c r="U1827" s="230"/>
      <c r="V1827" s="230"/>
      <c r="W1827" s="230"/>
      <c r="X1827" s="230"/>
      <c r="Y1827" s="230"/>
      <c r="Z1827" s="230"/>
      <c r="AA1827" s="230"/>
      <c r="AB1827" s="230"/>
      <c r="AC1827" s="230"/>
      <c r="AD1827" s="230"/>
    </row>
    <row r="1828" spans="1:30" ht="15.75" x14ac:dyDescent="0.25">
      <c r="A1828" s="230"/>
      <c r="B1828" s="234"/>
      <c r="C1828" s="234"/>
      <c r="D1828" s="234"/>
      <c r="E1828" s="230"/>
      <c r="F1828" s="230"/>
      <c r="G1828" s="230"/>
      <c r="H1828" s="230"/>
      <c r="I1828" s="230"/>
      <c r="J1828" s="230"/>
      <c r="K1828" s="230"/>
      <c r="L1828" s="230"/>
      <c r="M1828" s="230"/>
      <c r="N1828" s="230"/>
      <c r="O1828" s="230"/>
      <c r="P1828" s="230"/>
      <c r="Q1828" s="230"/>
      <c r="R1828" s="230"/>
      <c r="S1828" s="230"/>
      <c r="T1828" s="230"/>
      <c r="U1828" s="230"/>
      <c r="V1828" s="230"/>
      <c r="W1828" s="230"/>
      <c r="X1828" s="230"/>
      <c r="Y1828" s="230"/>
      <c r="Z1828" s="230"/>
      <c r="AA1828" s="230"/>
      <c r="AB1828" s="230"/>
      <c r="AC1828" s="230"/>
      <c r="AD1828" s="230"/>
    </row>
    <row r="1829" spans="1:30" ht="15.75" x14ac:dyDescent="0.25">
      <c r="A1829" s="230"/>
      <c r="B1829" s="234"/>
      <c r="C1829" s="234"/>
      <c r="D1829" s="234"/>
      <c r="E1829" s="230"/>
      <c r="F1829" s="230"/>
      <c r="G1829" s="230"/>
      <c r="H1829" s="230"/>
      <c r="I1829" s="230"/>
      <c r="J1829" s="230"/>
      <c r="K1829" s="230"/>
      <c r="L1829" s="230"/>
      <c r="M1829" s="230"/>
      <c r="N1829" s="230"/>
      <c r="O1829" s="230"/>
      <c r="P1829" s="230"/>
      <c r="Q1829" s="230"/>
      <c r="R1829" s="230"/>
      <c r="S1829" s="230"/>
      <c r="T1829" s="230"/>
      <c r="U1829" s="230"/>
      <c r="V1829" s="230"/>
      <c r="W1829" s="230"/>
      <c r="X1829" s="230"/>
      <c r="Y1829" s="230"/>
      <c r="Z1829" s="230"/>
      <c r="AA1829" s="230"/>
      <c r="AB1829" s="230"/>
      <c r="AC1829" s="230"/>
      <c r="AD1829" s="230"/>
    </row>
    <row r="1830" spans="1:30" ht="15.75" x14ac:dyDescent="0.25">
      <c r="A1830" s="230"/>
      <c r="B1830" s="234"/>
      <c r="C1830" s="234"/>
      <c r="D1830" s="234"/>
      <c r="E1830" s="230"/>
      <c r="F1830" s="230"/>
      <c r="G1830" s="230"/>
      <c r="H1830" s="230"/>
      <c r="I1830" s="230"/>
      <c r="J1830" s="230"/>
      <c r="K1830" s="230"/>
      <c r="L1830" s="230"/>
      <c r="M1830" s="230"/>
      <c r="N1830" s="230"/>
      <c r="O1830" s="230"/>
      <c r="P1830" s="230"/>
      <c r="Q1830" s="230"/>
      <c r="R1830" s="230"/>
      <c r="S1830" s="230"/>
      <c r="T1830" s="230"/>
      <c r="U1830" s="230"/>
      <c r="V1830" s="230"/>
      <c r="W1830" s="230"/>
      <c r="X1830" s="230"/>
      <c r="Y1830" s="230"/>
      <c r="Z1830" s="230"/>
      <c r="AA1830" s="230"/>
      <c r="AB1830" s="230"/>
      <c r="AC1830" s="230"/>
      <c r="AD1830" s="230"/>
    </row>
    <row r="1831" spans="1:30" ht="15.75" x14ac:dyDescent="0.25">
      <c r="A1831" s="230"/>
      <c r="B1831" s="234"/>
      <c r="C1831" s="234"/>
      <c r="D1831" s="234"/>
      <c r="E1831" s="230"/>
      <c r="F1831" s="230"/>
      <c r="G1831" s="230"/>
      <c r="H1831" s="230"/>
      <c r="I1831" s="230"/>
      <c r="J1831" s="230"/>
      <c r="K1831" s="230"/>
      <c r="L1831" s="230"/>
      <c r="M1831" s="230"/>
      <c r="N1831" s="230"/>
      <c r="O1831" s="230"/>
      <c r="P1831" s="230"/>
      <c r="Q1831" s="230"/>
      <c r="R1831" s="230"/>
      <c r="S1831" s="230"/>
      <c r="T1831" s="230"/>
      <c r="U1831" s="230"/>
      <c r="V1831" s="230"/>
      <c r="W1831" s="230"/>
      <c r="X1831" s="230"/>
      <c r="Y1831" s="230"/>
      <c r="Z1831" s="230"/>
      <c r="AA1831" s="230"/>
      <c r="AB1831" s="230"/>
      <c r="AC1831" s="230"/>
      <c r="AD1831" s="230"/>
    </row>
    <row r="1832" spans="1:30" ht="15.75" x14ac:dyDescent="0.25">
      <c r="A1832" s="230"/>
      <c r="B1832" s="234"/>
      <c r="C1832" s="234"/>
      <c r="D1832" s="234"/>
      <c r="E1832" s="230"/>
      <c r="F1832" s="230"/>
      <c r="G1832" s="230"/>
      <c r="H1832" s="230"/>
      <c r="I1832" s="230"/>
      <c r="J1832" s="230"/>
      <c r="K1832" s="230"/>
      <c r="L1832" s="230"/>
      <c r="M1832" s="230"/>
      <c r="N1832" s="230"/>
      <c r="O1832" s="230"/>
      <c r="P1832" s="230"/>
      <c r="Q1832" s="230"/>
      <c r="R1832" s="230"/>
      <c r="S1832" s="230"/>
      <c r="T1832" s="230"/>
      <c r="U1832" s="230"/>
      <c r="V1832" s="230"/>
      <c r="W1832" s="230"/>
      <c r="X1832" s="230"/>
      <c r="Y1832" s="230"/>
      <c r="Z1832" s="230"/>
      <c r="AA1832" s="230"/>
      <c r="AB1832" s="230"/>
      <c r="AC1832" s="230"/>
      <c r="AD1832" s="230"/>
    </row>
    <row r="1833" spans="1:30" ht="15.75" x14ac:dyDescent="0.25">
      <c r="A1833" s="230"/>
      <c r="B1833" s="234"/>
      <c r="C1833" s="234"/>
      <c r="D1833" s="234"/>
      <c r="E1833" s="230"/>
      <c r="F1833" s="230"/>
      <c r="G1833" s="230"/>
      <c r="H1833" s="230"/>
      <c r="I1833" s="230"/>
      <c r="J1833" s="230"/>
      <c r="K1833" s="230"/>
      <c r="L1833" s="230"/>
      <c r="M1833" s="230"/>
      <c r="N1833" s="230"/>
      <c r="O1833" s="230"/>
      <c r="P1833" s="230"/>
      <c r="Q1833" s="230"/>
      <c r="R1833" s="230"/>
      <c r="S1833" s="230"/>
      <c r="T1833" s="230"/>
      <c r="U1833" s="230"/>
      <c r="V1833" s="230"/>
      <c r="W1833" s="230"/>
      <c r="X1833" s="230"/>
      <c r="Y1833" s="230"/>
      <c r="Z1833" s="230"/>
      <c r="AA1833" s="230"/>
      <c r="AB1833" s="230"/>
      <c r="AC1833" s="230"/>
      <c r="AD1833" s="230"/>
    </row>
    <row r="1834" spans="1:30" ht="15.75" x14ac:dyDescent="0.25">
      <c r="A1834" s="230"/>
      <c r="B1834" s="234"/>
      <c r="C1834" s="234"/>
      <c r="D1834" s="234"/>
      <c r="E1834" s="230"/>
      <c r="F1834" s="230"/>
      <c r="G1834" s="230"/>
      <c r="H1834" s="230"/>
      <c r="I1834" s="230"/>
      <c r="J1834" s="230"/>
      <c r="K1834" s="230"/>
      <c r="L1834" s="230"/>
      <c r="M1834" s="230"/>
      <c r="N1834" s="230"/>
      <c r="O1834" s="230"/>
      <c r="P1834" s="230"/>
      <c r="Q1834" s="230"/>
      <c r="R1834" s="230"/>
      <c r="S1834" s="230"/>
      <c r="T1834" s="230"/>
      <c r="U1834" s="230"/>
      <c r="V1834" s="230"/>
      <c r="W1834" s="230"/>
      <c r="X1834" s="230"/>
      <c r="Y1834" s="230"/>
      <c r="Z1834" s="230"/>
      <c r="AA1834" s="230"/>
      <c r="AB1834" s="230"/>
      <c r="AC1834" s="230"/>
      <c r="AD1834" s="230"/>
    </row>
    <row r="1835" spans="1:30" ht="15.75" x14ac:dyDescent="0.25">
      <c r="A1835" s="230"/>
      <c r="B1835" s="234"/>
      <c r="C1835" s="234"/>
      <c r="D1835" s="234"/>
      <c r="E1835" s="230"/>
      <c r="F1835" s="230"/>
      <c r="G1835" s="230"/>
      <c r="H1835" s="230"/>
      <c r="I1835" s="230"/>
      <c r="J1835" s="230"/>
      <c r="K1835" s="230"/>
      <c r="L1835" s="230"/>
      <c r="M1835" s="230"/>
      <c r="N1835" s="230"/>
      <c r="O1835" s="230"/>
      <c r="P1835" s="230"/>
      <c r="Q1835" s="230"/>
      <c r="R1835" s="230"/>
      <c r="S1835" s="230"/>
      <c r="T1835" s="230"/>
      <c r="U1835" s="230"/>
      <c r="V1835" s="230"/>
      <c r="W1835" s="230"/>
      <c r="X1835" s="230"/>
      <c r="Y1835" s="230"/>
      <c r="Z1835" s="230"/>
      <c r="AA1835" s="230"/>
      <c r="AB1835" s="230"/>
      <c r="AC1835" s="230"/>
      <c r="AD1835" s="230"/>
    </row>
    <row r="1836" spans="1:30" ht="15.75" x14ac:dyDescent="0.25">
      <c r="A1836" s="230"/>
      <c r="B1836" s="234"/>
      <c r="C1836" s="234"/>
      <c r="D1836" s="234"/>
      <c r="E1836" s="230"/>
      <c r="F1836" s="230"/>
      <c r="G1836" s="230"/>
      <c r="H1836" s="230"/>
      <c r="I1836" s="230"/>
      <c r="J1836" s="230"/>
      <c r="K1836" s="230"/>
      <c r="L1836" s="230"/>
      <c r="M1836" s="230"/>
      <c r="N1836" s="230"/>
      <c r="O1836" s="230"/>
      <c r="P1836" s="230"/>
      <c r="Q1836" s="230"/>
      <c r="R1836" s="230"/>
      <c r="S1836" s="230"/>
      <c r="T1836" s="230"/>
      <c r="U1836" s="230"/>
      <c r="V1836" s="230"/>
      <c r="W1836" s="230"/>
      <c r="X1836" s="230"/>
      <c r="Y1836" s="230"/>
      <c r="Z1836" s="230"/>
      <c r="AA1836" s="230"/>
      <c r="AB1836" s="230"/>
      <c r="AC1836" s="230"/>
      <c r="AD1836" s="230"/>
    </row>
    <row r="1837" spans="1:30" ht="15.75" x14ac:dyDescent="0.25">
      <c r="A1837" s="230"/>
      <c r="B1837" s="234"/>
      <c r="C1837" s="234"/>
      <c r="D1837" s="234"/>
      <c r="E1837" s="230"/>
      <c r="F1837" s="230"/>
      <c r="G1837" s="230"/>
      <c r="H1837" s="230"/>
      <c r="I1837" s="230"/>
      <c r="J1837" s="230"/>
      <c r="K1837" s="230"/>
      <c r="L1837" s="230"/>
      <c r="M1837" s="230"/>
      <c r="N1837" s="230"/>
      <c r="O1837" s="230"/>
      <c r="P1837" s="230"/>
      <c r="Q1837" s="230"/>
      <c r="R1837" s="230"/>
      <c r="S1837" s="230"/>
      <c r="T1837" s="230"/>
      <c r="U1837" s="230"/>
      <c r="V1837" s="230"/>
      <c r="W1837" s="230"/>
      <c r="X1837" s="230"/>
      <c r="Y1837" s="230"/>
      <c r="Z1837" s="230"/>
      <c r="AA1837" s="230"/>
      <c r="AB1837" s="230"/>
      <c r="AC1837" s="230"/>
      <c r="AD1837" s="230"/>
    </row>
    <row r="1838" spans="1:30" ht="15.75" x14ac:dyDescent="0.25">
      <c r="A1838" s="230"/>
      <c r="B1838" s="234"/>
      <c r="C1838" s="234"/>
      <c r="D1838" s="234"/>
      <c r="E1838" s="230"/>
      <c r="F1838" s="230"/>
      <c r="G1838" s="230"/>
      <c r="H1838" s="230"/>
      <c r="I1838" s="230"/>
      <c r="J1838" s="230"/>
      <c r="K1838" s="230"/>
      <c r="L1838" s="230"/>
      <c r="M1838" s="230"/>
      <c r="N1838" s="230"/>
      <c r="O1838" s="230"/>
      <c r="P1838" s="230"/>
      <c r="Q1838" s="230"/>
      <c r="R1838" s="230"/>
      <c r="S1838" s="230"/>
      <c r="T1838" s="230"/>
      <c r="U1838" s="230"/>
      <c r="V1838" s="230"/>
      <c r="W1838" s="230"/>
      <c r="X1838" s="230"/>
      <c r="Y1838" s="230"/>
      <c r="Z1838" s="230"/>
      <c r="AA1838" s="230"/>
      <c r="AB1838" s="230"/>
      <c r="AC1838" s="230"/>
      <c r="AD1838" s="230"/>
    </row>
    <row r="1839" spans="1:30" ht="15.75" x14ac:dyDescent="0.25">
      <c r="A1839" s="230"/>
      <c r="B1839" s="234"/>
      <c r="C1839" s="234"/>
      <c r="D1839" s="234"/>
      <c r="E1839" s="230"/>
      <c r="F1839" s="230"/>
      <c r="G1839" s="230"/>
      <c r="H1839" s="230"/>
      <c r="I1839" s="230"/>
      <c r="J1839" s="230"/>
      <c r="K1839" s="230"/>
      <c r="L1839" s="230"/>
      <c r="M1839" s="230"/>
      <c r="N1839" s="230"/>
      <c r="O1839" s="230"/>
      <c r="P1839" s="230"/>
      <c r="Q1839" s="230"/>
      <c r="R1839" s="230"/>
      <c r="S1839" s="230"/>
      <c r="T1839" s="230"/>
      <c r="U1839" s="230"/>
      <c r="V1839" s="230"/>
      <c r="W1839" s="230"/>
      <c r="X1839" s="230"/>
      <c r="Y1839" s="230"/>
      <c r="Z1839" s="230"/>
      <c r="AA1839" s="230"/>
      <c r="AB1839" s="230"/>
      <c r="AC1839" s="230"/>
      <c r="AD1839" s="230"/>
    </row>
    <row r="1840" spans="1:30" ht="15.75" x14ac:dyDescent="0.25">
      <c r="A1840" s="230"/>
      <c r="B1840" s="234"/>
      <c r="C1840" s="234"/>
      <c r="D1840" s="234"/>
      <c r="E1840" s="230"/>
      <c r="F1840" s="230"/>
      <c r="G1840" s="230"/>
      <c r="H1840" s="230"/>
      <c r="I1840" s="230"/>
      <c r="J1840" s="230"/>
      <c r="K1840" s="230"/>
      <c r="L1840" s="230"/>
      <c r="M1840" s="230"/>
      <c r="N1840" s="230"/>
      <c r="O1840" s="230"/>
      <c r="P1840" s="230"/>
      <c r="Q1840" s="230"/>
      <c r="R1840" s="230"/>
      <c r="S1840" s="230"/>
      <c r="T1840" s="230"/>
      <c r="U1840" s="230"/>
      <c r="V1840" s="230"/>
      <c r="W1840" s="230"/>
      <c r="X1840" s="230"/>
      <c r="Y1840" s="230"/>
      <c r="Z1840" s="230"/>
      <c r="AA1840" s="230"/>
      <c r="AB1840" s="230"/>
      <c r="AC1840" s="230"/>
      <c r="AD1840" s="230"/>
    </row>
    <row r="1841" spans="1:30" ht="15.75" x14ac:dyDescent="0.25">
      <c r="A1841" s="230"/>
      <c r="B1841" s="234"/>
      <c r="C1841" s="234"/>
      <c r="D1841" s="234"/>
      <c r="E1841" s="230"/>
      <c r="F1841" s="230"/>
      <c r="G1841" s="230"/>
      <c r="H1841" s="230"/>
      <c r="I1841" s="230"/>
      <c r="J1841" s="230"/>
      <c r="K1841" s="230"/>
      <c r="L1841" s="230"/>
      <c r="M1841" s="230"/>
      <c r="N1841" s="230"/>
      <c r="O1841" s="230"/>
      <c r="P1841" s="230"/>
      <c r="Q1841" s="230"/>
      <c r="R1841" s="230"/>
      <c r="S1841" s="230"/>
      <c r="T1841" s="230"/>
      <c r="U1841" s="230"/>
      <c r="V1841" s="230"/>
      <c r="W1841" s="230"/>
      <c r="X1841" s="230"/>
      <c r="Y1841" s="230"/>
      <c r="Z1841" s="230"/>
      <c r="AA1841" s="230"/>
      <c r="AB1841" s="230"/>
      <c r="AC1841" s="230"/>
      <c r="AD1841" s="230"/>
    </row>
    <row r="1842" spans="1:30" ht="15.75" x14ac:dyDescent="0.25">
      <c r="A1842" s="230"/>
      <c r="B1842" s="234"/>
      <c r="C1842" s="234"/>
      <c r="D1842" s="234"/>
      <c r="E1842" s="230"/>
      <c r="F1842" s="230"/>
      <c r="G1842" s="230"/>
      <c r="H1842" s="230"/>
      <c r="I1842" s="230"/>
      <c r="J1842" s="230"/>
      <c r="K1842" s="230"/>
      <c r="L1842" s="230"/>
      <c r="M1842" s="230"/>
      <c r="N1842" s="230"/>
      <c r="O1842" s="230"/>
      <c r="P1842" s="230"/>
      <c r="Q1842" s="230"/>
      <c r="R1842" s="230"/>
      <c r="S1842" s="230"/>
      <c r="T1842" s="230"/>
      <c r="U1842" s="230"/>
      <c r="V1842" s="230"/>
      <c r="W1842" s="230"/>
      <c r="X1842" s="230"/>
      <c r="Y1842" s="230"/>
      <c r="Z1842" s="230"/>
      <c r="AA1842" s="230"/>
      <c r="AB1842" s="230"/>
      <c r="AC1842" s="230"/>
      <c r="AD1842" s="230"/>
    </row>
    <row r="1843" spans="1:30" ht="15.75" x14ac:dyDescent="0.25">
      <c r="A1843" s="230"/>
      <c r="B1843" s="234"/>
      <c r="C1843" s="234"/>
      <c r="D1843" s="234"/>
      <c r="E1843" s="230"/>
      <c r="F1843" s="230"/>
      <c r="G1843" s="230"/>
      <c r="H1843" s="230"/>
      <c r="I1843" s="230"/>
      <c r="J1843" s="230"/>
      <c r="K1843" s="230"/>
      <c r="L1843" s="230"/>
      <c r="M1843" s="230"/>
      <c r="N1843" s="230"/>
      <c r="O1843" s="230"/>
      <c r="P1843" s="230"/>
      <c r="Q1843" s="230"/>
      <c r="R1843" s="230"/>
      <c r="S1843" s="230"/>
      <c r="T1843" s="230"/>
      <c r="U1843" s="230"/>
      <c r="V1843" s="230"/>
      <c r="W1843" s="230"/>
      <c r="X1843" s="230"/>
      <c r="Y1843" s="230"/>
      <c r="Z1843" s="230"/>
      <c r="AA1843" s="230"/>
      <c r="AB1843" s="230"/>
      <c r="AC1843" s="230"/>
      <c r="AD1843" s="230"/>
    </row>
    <row r="1844" spans="1:30" ht="15.75" x14ac:dyDescent="0.25">
      <c r="A1844" s="230"/>
      <c r="B1844" s="234"/>
      <c r="C1844" s="234"/>
      <c r="D1844" s="234"/>
      <c r="E1844" s="230"/>
      <c r="F1844" s="230"/>
      <c r="G1844" s="230"/>
      <c r="H1844" s="230"/>
      <c r="I1844" s="230"/>
      <c r="J1844" s="230"/>
      <c r="K1844" s="230"/>
      <c r="L1844" s="230"/>
      <c r="M1844" s="230"/>
      <c r="N1844" s="230"/>
      <c r="O1844" s="230"/>
      <c r="P1844" s="230"/>
      <c r="Q1844" s="230"/>
      <c r="R1844" s="230"/>
      <c r="S1844" s="230"/>
      <c r="T1844" s="230"/>
      <c r="U1844" s="230"/>
      <c r="V1844" s="230"/>
      <c r="W1844" s="230"/>
      <c r="X1844" s="230"/>
      <c r="Y1844" s="230"/>
      <c r="Z1844" s="230"/>
      <c r="AA1844" s="230"/>
      <c r="AB1844" s="230"/>
      <c r="AC1844" s="230"/>
      <c r="AD1844" s="230"/>
    </row>
    <row r="1845" spans="1:30" ht="15.75" x14ac:dyDescent="0.25">
      <c r="A1845" s="230"/>
      <c r="B1845" s="234"/>
      <c r="C1845" s="234"/>
      <c r="D1845" s="234"/>
      <c r="E1845" s="230"/>
      <c r="F1845" s="230"/>
      <c r="G1845" s="230"/>
      <c r="H1845" s="230"/>
      <c r="I1845" s="230"/>
      <c r="J1845" s="230"/>
      <c r="K1845" s="230"/>
      <c r="L1845" s="230"/>
      <c r="M1845" s="230"/>
      <c r="N1845" s="230"/>
      <c r="O1845" s="230"/>
      <c r="P1845" s="230"/>
      <c r="Q1845" s="230"/>
      <c r="R1845" s="230"/>
      <c r="S1845" s="230"/>
      <c r="T1845" s="230"/>
      <c r="U1845" s="230"/>
      <c r="V1845" s="230"/>
      <c r="W1845" s="230"/>
      <c r="X1845" s="230"/>
      <c r="Y1845" s="230"/>
      <c r="Z1845" s="230"/>
      <c r="AA1845" s="230"/>
      <c r="AB1845" s="230"/>
      <c r="AC1845" s="230"/>
      <c r="AD1845" s="230"/>
    </row>
    <row r="1846" spans="1:30" ht="15.75" x14ac:dyDescent="0.25">
      <c r="A1846" s="230"/>
      <c r="B1846" s="234"/>
      <c r="C1846" s="234"/>
      <c r="D1846" s="234"/>
      <c r="E1846" s="230"/>
      <c r="F1846" s="230"/>
      <c r="G1846" s="230"/>
      <c r="H1846" s="230"/>
      <c r="I1846" s="230"/>
      <c r="J1846" s="230"/>
      <c r="K1846" s="230"/>
      <c r="L1846" s="230"/>
      <c r="M1846" s="230"/>
      <c r="N1846" s="230"/>
      <c r="O1846" s="230"/>
      <c r="P1846" s="230"/>
      <c r="Q1846" s="230"/>
      <c r="R1846" s="230"/>
      <c r="S1846" s="230"/>
      <c r="T1846" s="230"/>
      <c r="U1846" s="230"/>
      <c r="V1846" s="230"/>
      <c r="W1846" s="230"/>
      <c r="X1846" s="230"/>
      <c r="Y1846" s="230"/>
      <c r="Z1846" s="230"/>
      <c r="AA1846" s="230"/>
      <c r="AB1846" s="230"/>
      <c r="AC1846" s="230"/>
      <c r="AD1846" s="230"/>
    </row>
    <row r="1847" spans="1:30" ht="15.75" x14ac:dyDescent="0.25">
      <c r="A1847" s="230"/>
      <c r="B1847" s="234"/>
      <c r="C1847" s="234"/>
      <c r="D1847" s="234"/>
      <c r="E1847" s="230"/>
      <c r="F1847" s="230"/>
      <c r="G1847" s="230"/>
      <c r="H1847" s="230"/>
      <c r="I1847" s="230"/>
      <c r="J1847" s="230"/>
      <c r="K1847" s="230"/>
      <c r="L1847" s="230"/>
      <c r="M1847" s="230"/>
      <c r="N1847" s="230"/>
      <c r="O1847" s="230"/>
      <c r="P1847" s="230"/>
      <c r="Q1847" s="230"/>
      <c r="R1847" s="230"/>
      <c r="S1847" s="230"/>
      <c r="T1847" s="230"/>
      <c r="U1847" s="230"/>
      <c r="V1847" s="230"/>
      <c r="W1847" s="230"/>
      <c r="X1847" s="230"/>
      <c r="Y1847" s="230"/>
      <c r="Z1847" s="230"/>
      <c r="AA1847" s="230"/>
      <c r="AB1847" s="230"/>
      <c r="AC1847" s="230"/>
      <c r="AD1847" s="230"/>
    </row>
    <row r="1848" spans="1:30" ht="15.75" x14ac:dyDescent="0.25">
      <c r="A1848" s="230"/>
      <c r="B1848" s="234"/>
      <c r="C1848" s="234"/>
      <c r="D1848" s="234"/>
      <c r="E1848" s="230"/>
      <c r="F1848" s="230"/>
      <c r="G1848" s="230"/>
      <c r="H1848" s="230"/>
      <c r="I1848" s="230"/>
      <c r="J1848" s="230"/>
      <c r="K1848" s="230"/>
      <c r="L1848" s="230"/>
      <c r="M1848" s="230"/>
      <c r="N1848" s="230"/>
      <c r="O1848" s="230"/>
      <c r="P1848" s="230"/>
      <c r="Q1848" s="230"/>
      <c r="R1848" s="230"/>
      <c r="S1848" s="230"/>
      <c r="T1848" s="230"/>
      <c r="U1848" s="230"/>
      <c r="V1848" s="230"/>
      <c r="W1848" s="230"/>
      <c r="X1848" s="230"/>
      <c r="Y1848" s="230"/>
      <c r="Z1848" s="230"/>
      <c r="AA1848" s="230"/>
      <c r="AB1848" s="230"/>
      <c r="AC1848" s="230"/>
      <c r="AD1848" s="230"/>
    </row>
    <row r="1849" spans="1:30" ht="15.75" x14ac:dyDescent="0.25">
      <c r="A1849" s="230"/>
      <c r="B1849" s="234"/>
      <c r="C1849" s="234"/>
      <c r="D1849" s="234"/>
      <c r="E1849" s="230"/>
      <c r="F1849" s="230"/>
      <c r="G1849" s="230"/>
      <c r="H1849" s="230"/>
      <c r="I1849" s="230"/>
      <c r="J1849" s="230"/>
      <c r="K1849" s="230"/>
      <c r="L1849" s="230"/>
      <c r="M1849" s="230"/>
      <c r="N1849" s="230"/>
      <c r="O1849" s="230"/>
      <c r="P1849" s="230"/>
      <c r="Q1849" s="230"/>
      <c r="R1849" s="230"/>
      <c r="S1849" s="230"/>
      <c r="T1849" s="230"/>
      <c r="U1849" s="230"/>
      <c r="V1849" s="230"/>
      <c r="W1849" s="230"/>
      <c r="X1849" s="230"/>
      <c r="Y1849" s="230"/>
      <c r="Z1849" s="230"/>
      <c r="AA1849" s="230"/>
      <c r="AB1849" s="230"/>
      <c r="AC1849" s="230"/>
      <c r="AD1849" s="230"/>
    </row>
    <row r="1850" spans="1:30" ht="15.75" x14ac:dyDescent="0.25">
      <c r="A1850" s="230"/>
      <c r="B1850" s="234"/>
      <c r="C1850" s="234"/>
      <c r="D1850" s="234"/>
      <c r="E1850" s="230"/>
      <c r="F1850" s="230"/>
      <c r="G1850" s="230"/>
      <c r="H1850" s="230"/>
      <c r="I1850" s="230"/>
      <c r="J1850" s="230"/>
      <c r="K1850" s="230"/>
      <c r="L1850" s="230"/>
      <c r="M1850" s="230"/>
      <c r="N1850" s="230"/>
      <c r="O1850" s="230"/>
      <c r="P1850" s="230"/>
      <c r="Q1850" s="230"/>
      <c r="R1850" s="230"/>
      <c r="S1850" s="230"/>
      <c r="T1850" s="230"/>
      <c r="U1850" s="230"/>
      <c r="V1850" s="230"/>
      <c r="W1850" s="230"/>
      <c r="X1850" s="230"/>
      <c r="Y1850" s="230"/>
      <c r="Z1850" s="230"/>
      <c r="AA1850" s="230"/>
      <c r="AB1850" s="230"/>
      <c r="AC1850" s="230"/>
      <c r="AD1850" s="230"/>
    </row>
    <row r="1851" spans="1:30" ht="15.75" x14ac:dyDescent="0.25">
      <c r="A1851" s="230"/>
      <c r="B1851" s="234"/>
      <c r="C1851" s="234"/>
      <c r="D1851" s="234"/>
      <c r="E1851" s="230"/>
      <c r="F1851" s="230"/>
      <c r="G1851" s="230"/>
      <c r="H1851" s="230"/>
      <c r="I1851" s="230"/>
      <c r="J1851" s="230"/>
      <c r="K1851" s="230"/>
      <c r="L1851" s="230"/>
      <c r="M1851" s="230"/>
      <c r="N1851" s="230"/>
      <c r="O1851" s="230"/>
      <c r="P1851" s="230"/>
      <c r="Q1851" s="230"/>
      <c r="R1851" s="230"/>
      <c r="S1851" s="230"/>
      <c r="T1851" s="230"/>
      <c r="U1851" s="230"/>
      <c r="V1851" s="230"/>
      <c r="W1851" s="230"/>
      <c r="X1851" s="230"/>
      <c r="Y1851" s="230"/>
      <c r="Z1851" s="230"/>
      <c r="AA1851" s="230"/>
      <c r="AB1851" s="230"/>
      <c r="AC1851" s="230"/>
      <c r="AD1851" s="230"/>
    </row>
    <row r="1852" spans="1:30" ht="15.75" x14ac:dyDescent="0.25">
      <c r="A1852" s="230"/>
      <c r="B1852" s="234"/>
      <c r="C1852" s="234"/>
      <c r="D1852" s="234"/>
      <c r="E1852" s="230"/>
      <c r="F1852" s="230"/>
      <c r="G1852" s="230"/>
      <c r="H1852" s="230"/>
      <c r="I1852" s="230"/>
      <c r="J1852" s="230"/>
      <c r="K1852" s="230"/>
      <c r="L1852" s="230"/>
      <c r="M1852" s="230"/>
      <c r="N1852" s="230"/>
      <c r="O1852" s="230"/>
      <c r="P1852" s="230"/>
      <c r="Q1852" s="230"/>
      <c r="R1852" s="230"/>
      <c r="S1852" s="230"/>
      <c r="T1852" s="230"/>
      <c r="U1852" s="230"/>
      <c r="V1852" s="230"/>
      <c r="W1852" s="230"/>
      <c r="X1852" s="230"/>
      <c r="Y1852" s="230"/>
      <c r="Z1852" s="230"/>
      <c r="AA1852" s="230"/>
      <c r="AB1852" s="230"/>
      <c r="AC1852" s="230"/>
      <c r="AD1852" s="230"/>
    </row>
    <row r="1853" spans="1:30" ht="15.75" x14ac:dyDescent="0.25">
      <c r="A1853" s="230"/>
      <c r="B1853" s="234"/>
      <c r="C1853" s="234"/>
      <c r="D1853" s="234"/>
      <c r="E1853" s="230"/>
      <c r="F1853" s="230"/>
      <c r="G1853" s="230"/>
      <c r="H1853" s="230"/>
      <c r="I1853" s="230"/>
      <c r="J1853" s="230"/>
      <c r="K1853" s="230"/>
      <c r="L1853" s="230"/>
      <c r="M1853" s="230"/>
      <c r="N1853" s="230"/>
      <c r="O1853" s="230"/>
      <c r="P1853" s="230"/>
      <c r="Q1853" s="230"/>
      <c r="R1853" s="230"/>
      <c r="S1853" s="230"/>
      <c r="T1853" s="230"/>
      <c r="U1853" s="230"/>
      <c r="V1853" s="230"/>
      <c r="W1853" s="230"/>
      <c r="X1853" s="230"/>
      <c r="Y1853" s="230"/>
      <c r="Z1853" s="230"/>
      <c r="AA1853" s="230"/>
      <c r="AB1853" s="230"/>
      <c r="AC1853" s="230"/>
      <c r="AD1853" s="230"/>
    </row>
    <row r="1854" spans="1:30" ht="15.75" x14ac:dyDescent="0.25">
      <c r="A1854" s="230"/>
      <c r="B1854" s="234"/>
      <c r="C1854" s="234"/>
      <c r="D1854" s="234"/>
      <c r="E1854" s="230"/>
      <c r="F1854" s="230"/>
      <c r="G1854" s="230"/>
      <c r="H1854" s="230"/>
      <c r="I1854" s="230"/>
      <c r="J1854" s="230"/>
      <c r="K1854" s="230"/>
      <c r="L1854" s="230"/>
      <c r="M1854" s="230"/>
      <c r="N1854" s="230"/>
      <c r="O1854" s="230"/>
      <c r="P1854" s="230"/>
      <c r="Q1854" s="230"/>
      <c r="R1854" s="230"/>
      <c r="S1854" s="230"/>
      <c r="T1854" s="230"/>
      <c r="U1854" s="230"/>
      <c r="V1854" s="230"/>
      <c r="W1854" s="230"/>
      <c r="X1854" s="230"/>
      <c r="Y1854" s="230"/>
      <c r="Z1854" s="230"/>
      <c r="AA1854" s="230"/>
      <c r="AB1854" s="230"/>
      <c r="AC1854" s="230"/>
      <c r="AD1854" s="230"/>
    </row>
    <row r="1855" spans="1:30" ht="15.75" x14ac:dyDescent="0.25">
      <c r="A1855" s="230"/>
      <c r="B1855" s="234"/>
      <c r="C1855" s="234"/>
      <c r="D1855" s="234"/>
      <c r="E1855" s="230"/>
      <c r="F1855" s="230"/>
      <c r="G1855" s="230"/>
      <c r="H1855" s="230"/>
      <c r="I1855" s="230"/>
      <c r="J1855" s="230"/>
      <c r="K1855" s="230"/>
      <c r="L1855" s="230"/>
      <c r="M1855" s="230"/>
      <c r="N1855" s="230"/>
      <c r="O1855" s="230"/>
      <c r="P1855" s="230"/>
      <c r="Q1855" s="230"/>
      <c r="R1855" s="230"/>
      <c r="S1855" s="230"/>
      <c r="T1855" s="230"/>
      <c r="U1855" s="230"/>
      <c r="V1855" s="230"/>
      <c r="W1855" s="230"/>
      <c r="X1855" s="230"/>
      <c r="Y1855" s="230"/>
      <c r="Z1855" s="230"/>
      <c r="AA1855" s="230"/>
      <c r="AB1855" s="230"/>
      <c r="AC1855" s="230"/>
      <c r="AD1855" s="230"/>
    </row>
    <row r="1856" spans="1:30" ht="15.75" x14ac:dyDescent="0.25">
      <c r="A1856" s="230"/>
      <c r="B1856" s="234"/>
      <c r="C1856" s="234"/>
      <c r="D1856" s="234"/>
      <c r="E1856" s="230"/>
      <c r="F1856" s="230"/>
      <c r="G1856" s="230"/>
      <c r="H1856" s="230"/>
      <c r="I1856" s="230"/>
      <c r="J1856" s="230"/>
      <c r="K1856" s="230"/>
      <c r="L1856" s="230"/>
      <c r="M1856" s="230"/>
      <c r="N1856" s="230"/>
      <c r="O1856" s="230"/>
      <c r="P1856" s="230"/>
      <c r="Q1856" s="230"/>
      <c r="R1856" s="230"/>
      <c r="S1856" s="230"/>
      <c r="T1856" s="230"/>
      <c r="U1856" s="230"/>
      <c r="V1856" s="230"/>
      <c r="W1856" s="230"/>
      <c r="X1856" s="230"/>
      <c r="Y1856" s="230"/>
      <c r="Z1856" s="230"/>
      <c r="AA1856" s="230"/>
      <c r="AB1856" s="230"/>
      <c r="AC1856" s="230"/>
      <c r="AD1856" s="230"/>
    </row>
    <row r="1857" spans="1:30" ht="15.75" x14ac:dyDescent="0.25">
      <c r="A1857" s="230"/>
      <c r="B1857" s="234"/>
      <c r="C1857" s="234"/>
      <c r="D1857" s="234"/>
      <c r="E1857" s="230"/>
      <c r="F1857" s="230"/>
      <c r="G1857" s="230"/>
      <c r="H1857" s="230"/>
      <c r="I1857" s="230"/>
      <c r="J1857" s="230"/>
      <c r="K1857" s="230"/>
      <c r="L1857" s="230"/>
      <c r="M1857" s="230"/>
      <c r="N1857" s="230"/>
      <c r="O1857" s="230"/>
      <c r="P1857" s="230"/>
      <c r="Q1857" s="230"/>
      <c r="R1857" s="230"/>
      <c r="S1857" s="230"/>
      <c r="T1857" s="230"/>
      <c r="U1857" s="230"/>
      <c r="V1857" s="230"/>
      <c r="W1857" s="230"/>
      <c r="X1857" s="230"/>
      <c r="Y1857" s="230"/>
      <c r="Z1857" s="230"/>
      <c r="AA1857" s="230"/>
      <c r="AB1857" s="230"/>
      <c r="AC1857" s="230"/>
      <c r="AD1857" s="230"/>
    </row>
    <row r="1858" spans="1:30" ht="15.75" x14ac:dyDescent="0.25">
      <c r="A1858" s="230"/>
      <c r="B1858" s="234"/>
      <c r="C1858" s="234"/>
      <c r="D1858" s="234"/>
      <c r="E1858" s="230"/>
      <c r="F1858" s="230"/>
      <c r="G1858" s="230"/>
      <c r="H1858" s="230"/>
      <c r="I1858" s="230"/>
      <c r="J1858" s="230"/>
      <c r="K1858" s="230"/>
      <c r="L1858" s="230"/>
      <c r="M1858" s="230"/>
      <c r="N1858" s="230"/>
      <c r="O1858" s="230"/>
      <c r="P1858" s="230"/>
      <c r="Q1858" s="230"/>
      <c r="R1858" s="230"/>
      <c r="S1858" s="230"/>
      <c r="T1858" s="230"/>
      <c r="U1858" s="230"/>
      <c r="V1858" s="230"/>
      <c r="W1858" s="230"/>
      <c r="X1858" s="230"/>
      <c r="Y1858" s="230"/>
      <c r="Z1858" s="230"/>
      <c r="AA1858" s="230"/>
      <c r="AB1858" s="230"/>
      <c r="AC1858" s="230"/>
      <c r="AD1858" s="230"/>
    </row>
    <row r="1859" spans="1:30" ht="15.75" x14ac:dyDescent="0.25">
      <c r="A1859" s="230"/>
      <c r="B1859" s="234"/>
      <c r="C1859" s="234"/>
      <c r="D1859" s="234"/>
      <c r="E1859" s="230"/>
      <c r="F1859" s="230"/>
      <c r="G1859" s="230"/>
      <c r="H1859" s="230"/>
      <c r="I1859" s="230"/>
      <c r="J1859" s="230"/>
      <c r="K1859" s="230"/>
      <c r="L1859" s="230"/>
      <c r="M1859" s="230"/>
      <c r="N1859" s="230"/>
      <c r="O1859" s="230"/>
      <c r="P1859" s="230"/>
      <c r="Q1859" s="230"/>
      <c r="R1859" s="230"/>
      <c r="S1859" s="230"/>
      <c r="T1859" s="230"/>
      <c r="U1859" s="230"/>
      <c r="V1859" s="230"/>
      <c r="W1859" s="230"/>
      <c r="X1859" s="230"/>
      <c r="Y1859" s="230"/>
      <c r="Z1859" s="230"/>
      <c r="AA1859" s="230"/>
      <c r="AB1859" s="230"/>
      <c r="AC1859" s="230"/>
      <c r="AD1859" s="230"/>
    </row>
    <row r="1860" spans="1:30" ht="15.75" x14ac:dyDescent="0.25">
      <c r="A1860" s="230"/>
      <c r="B1860" s="234"/>
      <c r="C1860" s="234"/>
      <c r="D1860" s="234"/>
      <c r="E1860" s="230"/>
      <c r="F1860" s="230"/>
      <c r="G1860" s="230"/>
      <c r="H1860" s="230"/>
      <c r="I1860" s="230"/>
      <c r="J1860" s="230"/>
      <c r="K1860" s="230"/>
      <c r="L1860" s="230"/>
      <c r="M1860" s="230"/>
      <c r="N1860" s="230"/>
      <c r="O1860" s="230"/>
      <c r="P1860" s="230"/>
      <c r="Q1860" s="230"/>
      <c r="R1860" s="230"/>
      <c r="S1860" s="230"/>
      <c r="T1860" s="230"/>
      <c r="U1860" s="230"/>
      <c r="V1860" s="230"/>
      <c r="W1860" s="230"/>
      <c r="X1860" s="230"/>
      <c r="Y1860" s="230"/>
      <c r="Z1860" s="230"/>
      <c r="AA1860" s="230"/>
      <c r="AB1860" s="230"/>
      <c r="AC1860" s="230"/>
      <c r="AD1860" s="230"/>
    </row>
    <row r="1861" spans="1:30" ht="15.75" x14ac:dyDescent="0.25">
      <c r="A1861" s="230"/>
      <c r="B1861" s="234"/>
      <c r="C1861" s="234"/>
      <c r="D1861" s="234"/>
      <c r="E1861" s="230"/>
      <c r="F1861" s="230"/>
      <c r="G1861" s="230"/>
      <c r="H1861" s="230"/>
      <c r="I1861" s="230"/>
      <c r="J1861" s="230"/>
      <c r="K1861" s="230"/>
      <c r="L1861" s="230"/>
      <c r="M1861" s="230"/>
      <c r="N1861" s="230"/>
      <c r="O1861" s="230"/>
      <c r="P1861" s="230"/>
      <c r="Q1861" s="230"/>
      <c r="R1861" s="230"/>
      <c r="S1861" s="230"/>
      <c r="T1861" s="230"/>
      <c r="U1861" s="230"/>
      <c r="V1861" s="230"/>
      <c r="W1861" s="230"/>
      <c r="X1861" s="230"/>
      <c r="Y1861" s="230"/>
      <c r="Z1861" s="230"/>
      <c r="AA1861" s="230"/>
      <c r="AB1861" s="230"/>
      <c r="AC1861" s="230"/>
      <c r="AD1861" s="230"/>
    </row>
    <row r="1862" spans="1:30" ht="15.75" x14ac:dyDescent="0.25">
      <c r="A1862" s="230"/>
      <c r="B1862" s="234"/>
      <c r="C1862" s="234"/>
      <c r="D1862" s="234"/>
      <c r="E1862" s="230"/>
      <c r="F1862" s="230"/>
      <c r="G1862" s="230"/>
      <c r="H1862" s="230"/>
      <c r="I1862" s="230"/>
      <c r="J1862" s="230"/>
      <c r="K1862" s="230"/>
      <c r="L1862" s="230"/>
      <c r="M1862" s="230"/>
      <c r="N1862" s="230"/>
      <c r="O1862" s="230"/>
      <c r="P1862" s="230"/>
      <c r="Q1862" s="230"/>
      <c r="R1862" s="230"/>
      <c r="S1862" s="230"/>
      <c r="T1862" s="230"/>
      <c r="U1862" s="230"/>
      <c r="V1862" s="230"/>
      <c r="W1862" s="230"/>
      <c r="X1862" s="230"/>
      <c r="Y1862" s="230"/>
      <c r="Z1862" s="230"/>
      <c r="AA1862" s="230"/>
      <c r="AB1862" s="230"/>
      <c r="AC1862" s="230"/>
      <c r="AD1862" s="230"/>
    </row>
    <row r="1863" spans="1:30" ht="15.75" x14ac:dyDescent="0.25">
      <c r="A1863" s="230"/>
      <c r="B1863" s="234"/>
      <c r="C1863" s="234"/>
      <c r="D1863" s="234"/>
      <c r="E1863" s="230"/>
      <c r="F1863" s="230"/>
      <c r="G1863" s="230"/>
      <c r="H1863" s="230"/>
      <c r="I1863" s="230"/>
      <c r="J1863" s="230"/>
      <c r="K1863" s="230"/>
      <c r="L1863" s="230"/>
      <c r="M1863" s="230"/>
      <c r="N1863" s="230"/>
      <c r="O1863" s="230"/>
      <c r="P1863" s="230"/>
      <c r="Q1863" s="230"/>
      <c r="R1863" s="230"/>
      <c r="S1863" s="230"/>
      <c r="T1863" s="230"/>
      <c r="U1863" s="230"/>
      <c r="V1863" s="230"/>
      <c r="W1863" s="230"/>
      <c r="X1863" s="230"/>
      <c r="Y1863" s="230"/>
      <c r="Z1863" s="230"/>
      <c r="AA1863" s="230"/>
      <c r="AB1863" s="230"/>
      <c r="AC1863" s="230"/>
      <c r="AD1863" s="230"/>
    </row>
    <row r="1864" spans="1:30" ht="15.75" x14ac:dyDescent="0.25">
      <c r="A1864" s="230"/>
      <c r="B1864" s="234"/>
      <c r="C1864" s="234"/>
      <c r="D1864" s="234"/>
      <c r="E1864" s="230"/>
      <c r="F1864" s="230"/>
      <c r="G1864" s="230"/>
      <c r="H1864" s="230"/>
      <c r="I1864" s="230"/>
      <c r="J1864" s="230"/>
      <c r="K1864" s="230"/>
      <c r="L1864" s="230"/>
      <c r="M1864" s="230"/>
      <c r="N1864" s="230"/>
      <c r="O1864" s="230"/>
      <c r="P1864" s="230"/>
      <c r="Q1864" s="230"/>
      <c r="R1864" s="230"/>
      <c r="S1864" s="230"/>
      <c r="T1864" s="230"/>
      <c r="U1864" s="230"/>
      <c r="V1864" s="230"/>
      <c r="W1864" s="230"/>
      <c r="X1864" s="230"/>
      <c r="Y1864" s="230"/>
      <c r="Z1864" s="230"/>
      <c r="AA1864" s="230"/>
      <c r="AB1864" s="230"/>
      <c r="AC1864" s="230"/>
      <c r="AD1864" s="230"/>
    </row>
    <row r="1865" spans="1:30" ht="15.75" x14ac:dyDescent="0.25">
      <c r="A1865" s="230"/>
      <c r="B1865" s="234"/>
      <c r="C1865" s="234"/>
      <c r="D1865" s="234"/>
      <c r="E1865" s="230"/>
      <c r="F1865" s="230"/>
      <c r="G1865" s="230"/>
      <c r="H1865" s="230"/>
      <c r="I1865" s="230"/>
      <c r="J1865" s="230"/>
      <c r="K1865" s="230"/>
      <c r="L1865" s="230"/>
      <c r="M1865" s="230"/>
      <c r="N1865" s="230"/>
      <c r="O1865" s="230"/>
      <c r="P1865" s="230"/>
      <c r="Q1865" s="230"/>
      <c r="R1865" s="230"/>
      <c r="S1865" s="230"/>
      <c r="T1865" s="230"/>
      <c r="U1865" s="230"/>
      <c r="V1865" s="230"/>
      <c r="W1865" s="230"/>
      <c r="X1865" s="230"/>
      <c r="Y1865" s="230"/>
      <c r="Z1865" s="230"/>
      <c r="AA1865" s="230"/>
      <c r="AB1865" s="230"/>
      <c r="AC1865" s="230"/>
      <c r="AD1865" s="230"/>
    </row>
    <row r="1866" spans="1:30" ht="15.75" x14ac:dyDescent="0.25">
      <c r="A1866" s="230"/>
      <c r="B1866" s="234"/>
      <c r="C1866" s="234"/>
      <c r="D1866" s="234"/>
      <c r="E1866" s="230"/>
      <c r="F1866" s="230"/>
      <c r="G1866" s="230"/>
      <c r="H1866" s="230"/>
      <c r="I1866" s="230"/>
      <c r="J1866" s="230"/>
      <c r="K1866" s="230"/>
      <c r="L1866" s="230"/>
      <c r="M1866" s="230"/>
      <c r="N1866" s="230"/>
      <c r="O1866" s="230"/>
      <c r="P1866" s="230"/>
      <c r="Q1866" s="230"/>
      <c r="R1866" s="230"/>
      <c r="S1866" s="230"/>
      <c r="T1866" s="230"/>
      <c r="U1866" s="230"/>
      <c r="V1866" s="230"/>
      <c r="W1866" s="230"/>
      <c r="X1866" s="230"/>
      <c r="Y1866" s="230"/>
      <c r="Z1866" s="230"/>
      <c r="AA1866" s="230"/>
      <c r="AB1866" s="230"/>
      <c r="AC1866" s="230"/>
      <c r="AD1866" s="230"/>
    </row>
    <row r="1867" spans="1:30" ht="15.75" x14ac:dyDescent="0.25">
      <c r="A1867" s="230"/>
      <c r="B1867" s="234"/>
      <c r="C1867" s="234"/>
      <c r="D1867" s="234"/>
      <c r="E1867" s="230"/>
      <c r="F1867" s="230"/>
      <c r="G1867" s="230"/>
      <c r="H1867" s="230"/>
      <c r="I1867" s="230"/>
      <c r="J1867" s="230"/>
      <c r="K1867" s="230"/>
      <c r="L1867" s="230"/>
      <c r="M1867" s="230"/>
      <c r="N1867" s="230"/>
      <c r="O1867" s="230"/>
      <c r="P1867" s="230"/>
      <c r="Q1867" s="230"/>
      <c r="R1867" s="230"/>
      <c r="S1867" s="230"/>
      <c r="T1867" s="230"/>
      <c r="U1867" s="230"/>
      <c r="V1867" s="230"/>
      <c r="W1867" s="230"/>
      <c r="X1867" s="230"/>
      <c r="Y1867" s="230"/>
      <c r="Z1867" s="230"/>
      <c r="AA1867" s="230"/>
      <c r="AB1867" s="230"/>
      <c r="AC1867" s="230"/>
      <c r="AD1867" s="230"/>
    </row>
    <row r="1868" spans="1:30" ht="15.75" x14ac:dyDescent="0.25">
      <c r="A1868" s="230"/>
      <c r="B1868" s="234"/>
      <c r="C1868" s="234"/>
      <c r="D1868" s="234"/>
      <c r="E1868" s="230"/>
      <c r="F1868" s="230"/>
      <c r="G1868" s="230"/>
      <c r="H1868" s="230"/>
      <c r="I1868" s="230"/>
      <c r="J1868" s="230"/>
      <c r="K1868" s="230"/>
      <c r="L1868" s="230"/>
      <c r="M1868" s="230"/>
      <c r="N1868" s="230"/>
      <c r="O1868" s="230"/>
      <c r="P1868" s="230"/>
      <c r="Q1868" s="230"/>
      <c r="R1868" s="230"/>
      <c r="S1868" s="230"/>
      <c r="T1868" s="230"/>
      <c r="U1868" s="230"/>
      <c r="V1868" s="230"/>
      <c r="W1868" s="230"/>
      <c r="X1868" s="230"/>
      <c r="Y1868" s="230"/>
      <c r="Z1868" s="230"/>
      <c r="AA1868" s="230"/>
      <c r="AB1868" s="230"/>
      <c r="AC1868" s="230"/>
      <c r="AD1868" s="230"/>
    </row>
    <row r="1869" spans="1:30" ht="15.75" x14ac:dyDescent="0.25">
      <c r="A1869" s="230"/>
      <c r="B1869" s="234"/>
      <c r="C1869" s="234"/>
      <c r="D1869" s="234"/>
      <c r="E1869" s="230"/>
      <c r="F1869" s="230"/>
      <c r="G1869" s="230"/>
      <c r="H1869" s="230"/>
      <c r="I1869" s="230"/>
      <c r="J1869" s="230"/>
      <c r="K1869" s="230"/>
      <c r="L1869" s="230"/>
      <c r="M1869" s="230"/>
      <c r="N1869" s="230"/>
      <c r="O1869" s="230"/>
      <c r="P1869" s="230"/>
      <c r="Q1869" s="230"/>
      <c r="R1869" s="230"/>
      <c r="S1869" s="230"/>
      <c r="T1869" s="230"/>
      <c r="U1869" s="230"/>
      <c r="V1869" s="230"/>
      <c r="W1869" s="230"/>
      <c r="X1869" s="230"/>
      <c r="Y1869" s="230"/>
      <c r="Z1869" s="230"/>
      <c r="AA1869" s="230"/>
      <c r="AB1869" s="230"/>
      <c r="AC1869" s="230"/>
      <c r="AD1869" s="230"/>
    </row>
    <row r="1870" spans="1:30" ht="15.75" x14ac:dyDescent="0.25">
      <c r="A1870" s="230"/>
      <c r="B1870" s="234"/>
      <c r="C1870" s="234"/>
      <c r="D1870" s="234"/>
      <c r="E1870" s="230"/>
      <c r="F1870" s="230"/>
      <c r="G1870" s="230"/>
      <c r="H1870" s="230"/>
      <c r="I1870" s="230"/>
      <c r="J1870" s="230"/>
      <c r="K1870" s="230"/>
      <c r="L1870" s="230"/>
      <c r="M1870" s="230"/>
      <c r="N1870" s="230"/>
      <c r="O1870" s="230"/>
      <c r="P1870" s="230"/>
      <c r="Q1870" s="230"/>
      <c r="R1870" s="230"/>
      <c r="S1870" s="230"/>
      <c r="T1870" s="230"/>
      <c r="U1870" s="230"/>
      <c r="V1870" s="230"/>
      <c r="W1870" s="230"/>
      <c r="X1870" s="230"/>
      <c r="Y1870" s="230"/>
      <c r="Z1870" s="230"/>
      <c r="AA1870" s="230"/>
      <c r="AB1870" s="230"/>
      <c r="AC1870" s="230"/>
      <c r="AD1870" s="230"/>
    </row>
    <row r="1871" spans="1:30" ht="15.75" x14ac:dyDescent="0.25">
      <c r="A1871" s="230"/>
      <c r="B1871" s="234"/>
      <c r="C1871" s="234"/>
      <c r="D1871" s="234"/>
      <c r="E1871" s="230"/>
      <c r="F1871" s="230"/>
      <c r="G1871" s="230"/>
      <c r="H1871" s="230"/>
      <c r="I1871" s="230"/>
      <c r="J1871" s="230"/>
      <c r="K1871" s="230"/>
      <c r="L1871" s="230"/>
      <c r="M1871" s="230"/>
      <c r="N1871" s="230"/>
      <c r="O1871" s="230"/>
      <c r="P1871" s="230"/>
      <c r="Q1871" s="230"/>
      <c r="R1871" s="230"/>
      <c r="S1871" s="230"/>
      <c r="T1871" s="230"/>
      <c r="U1871" s="230"/>
      <c r="V1871" s="230"/>
      <c r="W1871" s="230"/>
      <c r="X1871" s="230"/>
      <c r="Y1871" s="230"/>
      <c r="Z1871" s="230"/>
      <c r="AA1871" s="230"/>
      <c r="AB1871" s="230"/>
      <c r="AC1871" s="230"/>
      <c r="AD1871" s="230"/>
    </row>
    <row r="1872" spans="1:30" ht="15.75" x14ac:dyDescent="0.25">
      <c r="A1872" s="230"/>
      <c r="B1872" s="234"/>
      <c r="C1872" s="234"/>
      <c r="D1872" s="234"/>
      <c r="E1872" s="230"/>
      <c r="F1872" s="230"/>
      <c r="G1872" s="230"/>
      <c r="H1872" s="230"/>
      <c r="I1872" s="230"/>
      <c r="J1872" s="230"/>
      <c r="K1872" s="230"/>
      <c r="L1872" s="230"/>
      <c r="M1872" s="230"/>
      <c r="N1872" s="230"/>
      <c r="O1872" s="230"/>
      <c r="P1872" s="230"/>
      <c r="Q1872" s="230"/>
      <c r="R1872" s="230"/>
      <c r="S1872" s="230"/>
      <c r="T1872" s="230"/>
      <c r="U1872" s="230"/>
      <c r="V1872" s="230"/>
      <c r="W1872" s="230"/>
      <c r="X1872" s="230"/>
      <c r="Y1872" s="230"/>
      <c r="Z1872" s="230"/>
      <c r="AA1872" s="230"/>
      <c r="AB1872" s="230"/>
      <c r="AC1872" s="230"/>
      <c r="AD1872" s="230"/>
    </row>
    <row r="1873" spans="1:30" ht="15.75" x14ac:dyDescent="0.25">
      <c r="A1873" s="230"/>
      <c r="B1873" s="234"/>
      <c r="C1873" s="234"/>
      <c r="D1873" s="234"/>
      <c r="E1873" s="230"/>
      <c r="F1873" s="230"/>
      <c r="G1873" s="230"/>
      <c r="H1873" s="230"/>
      <c r="I1873" s="230"/>
      <c r="J1873" s="230"/>
      <c r="K1873" s="230"/>
      <c r="L1873" s="230"/>
      <c r="M1873" s="230"/>
      <c r="N1873" s="230"/>
      <c r="O1873" s="230"/>
      <c r="P1873" s="230"/>
      <c r="Q1873" s="230"/>
      <c r="R1873" s="230"/>
      <c r="S1873" s="230"/>
      <c r="T1873" s="230"/>
      <c r="U1873" s="230"/>
      <c r="V1873" s="230"/>
      <c r="W1873" s="230"/>
      <c r="X1873" s="230"/>
      <c r="Y1873" s="230"/>
      <c r="Z1873" s="230"/>
      <c r="AA1873" s="230"/>
      <c r="AB1873" s="230"/>
      <c r="AC1873" s="230"/>
      <c r="AD1873" s="230"/>
    </row>
    <row r="1874" spans="1:30" ht="15.75" x14ac:dyDescent="0.25">
      <c r="A1874" s="230"/>
      <c r="B1874" s="234"/>
      <c r="C1874" s="234"/>
      <c r="D1874" s="234"/>
      <c r="E1874" s="230"/>
      <c r="F1874" s="230"/>
      <c r="G1874" s="230"/>
      <c r="H1874" s="230"/>
      <c r="I1874" s="230"/>
      <c r="J1874" s="230"/>
      <c r="K1874" s="230"/>
      <c r="L1874" s="230"/>
      <c r="M1874" s="230"/>
      <c r="N1874" s="230"/>
      <c r="O1874" s="230"/>
      <c r="P1874" s="230"/>
      <c r="Q1874" s="230"/>
      <c r="R1874" s="230"/>
      <c r="S1874" s="230"/>
      <c r="T1874" s="230"/>
      <c r="U1874" s="230"/>
      <c r="V1874" s="230"/>
      <c r="W1874" s="230"/>
      <c r="X1874" s="230"/>
      <c r="Y1874" s="230"/>
      <c r="Z1874" s="230"/>
      <c r="AA1874" s="230"/>
      <c r="AB1874" s="230"/>
      <c r="AC1874" s="230"/>
      <c r="AD1874" s="230"/>
    </row>
    <row r="1875" spans="1:30" ht="15.75" x14ac:dyDescent="0.25">
      <c r="A1875" s="230"/>
      <c r="B1875" s="234"/>
      <c r="C1875" s="234"/>
      <c r="D1875" s="234"/>
      <c r="E1875" s="230"/>
      <c r="F1875" s="230"/>
      <c r="G1875" s="230"/>
      <c r="H1875" s="230"/>
      <c r="I1875" s="230"/>
      <c r="J1875" s="230"/>
      <c r="K1875" s="230"/>
      <c r="L1875" s="230"/>
      <c r="M1875" s="230"/>
      <c r="N1875" s="230"/>
      <c r="O1875" s="230"/>
      <c r="P1875" s="230"/>
      <c r="Q1875" s="230"/>
      <c r="R1875" s="230"/>
      <c r="S1875" s="230"/>
      <c r="T1875" s="230"/>
      <c r="U1875" s="230"/>
      <c r="V1875" s="230"/>
      <c r="W1875" s="230"/>
      <c r="X1875" s="230"/>
      <c r="Y1875" s="230"/>
      <c r="Z1875" s="230"/>
      <c r="AA1875" s="230"/>
      <c r="AB1875" s="230"/>
      <c r="AC1875" s="230"/>
      <c r="AD1875" s="230"/>
    </row>
    <row r="1876" spans="1:30" ht="15.75" x14ac:dyDescent="0.25">
      <c r="A1876" s="230"/>
      <c r="B1876" s="234"/>
      <c r="C1876" s="234"/>
      <c r="D1876" s="234"/>
      <c r="E1876" s="230"/>
      <c r="F1876" s="230"/>
      <c r="G1876" s="230"/>
      <c r="H1876" s="230"/>
      <c r="I1876" s="230"/>
      <c r="J1876" s="230"/>
      <c r="K1876" s="230"/>
      <c r="L1876" s="230"/>
      <c r="M1876" s="230"/>
      <c r="N1876" s="230"/>
      <c r="O1876" s="230"/>
      <c r="P1876" s="230"/>
      <c r="Q1876" s="230"/>
      <c r="R1876" s="230"/>
      <c r="S1876" s="230"/>
      <c r="T1876" s="230"/>
      <c r="U1876" s="230"/>
      <c r="V1876" s="230"/>
      <c r="W1876" s="230"/>
      <c r="X1876" s="230"/>
      <c r="Y1876" s="230"/>
      <c r="Z1876" s="230"/>
      <c r="AA1876" s="230"/>
      <c r="AB1876" s="230"/>
      <c r="AC1876" s="230"/>
      <c r="AD1876" s="230"/>
    </row>
    <row r="1877" spans="1:30" ht="15.75" x14ac:dyDescent="0.25">
      <c r="A1877" s="230"/>
      <c r="B1877" s="234"/>
      <c r="C1877" s="234"/>
      <c r="D1877" s="234"/>
      <c r="E1877" s="230"/>
      <c r="F1877" s="230"/>
      <c r="G1877" s="230"/>
      <c r="H1877" s="230"/>
      <c r="I1877" s="230"/>
      <c r="J1877" s="230"/>
      <c r="K1877" s="230"/>
      <c r="L1877" s="230"/>
      <c r="M1877" s="230"/>
      <c r="N1877" s="230"/>
      <c r="O1877" s="230"/>
      <c r="P1877" s="230"/>
      <c r="Q1877" s="230"/>
      <c r="R1877" s="230"/>
      <c r="S1877" s="230"/>
      <c r="T1877" s="230"/>
      <c r="U1877" s="230"/>
      <c r="V1877" s="230"/>
      <c r="W1877" s="230"/>
      <c r="X1877" s="230"/>
      <c r="Y1877" s="230"/>
      <c r="Z1877" s="230"/>
      <c r="AA1877" s="230"/>
      <c r="AB1877" s="230"/>
      <c r="AC1877" s="230"/>
      <c r="AD1877" s="230"/>
    </row>
    <row r="1878" spans="1:30" ht="15.75" x14ac:dyDescent="0.25">
      <c r="A1878" s="230"/>
      <c r="B1878" s="234"/>
      <c r="C1878" s="234"/>
      <c r="D1878" s="234"/>
      <c r="E1878" s="230"/>
      <c r="F1878" s="230"/>
      <c r="G1878" s="230"/>
      <c r="H1878" s="230"/>
      <c r="I1878" s="230"/>
      <c r="J1878" s="230"/>
      <c r="K1878" s="230"/>
      <c r="L1878" s="230"/>
      <c r="M1878" s="230"/>
      <c r="N1878" s="230"/>
      <c r="O1878" s="230"/>
      <c r="P1878" s="230"/>
      <c r="Q1878" s="230"/>
      <c r="R1878" s="230"/>
      <c r="S1878" s="230"/>
      <c r="T1878" s="230"/>
      <c r="U1878" s="230"/>
      <c r="V1878" s="230"/>
      <c r="W1878" s="230"/>
      <c r="X1878" s="230"/>
      <c r="Y1878" s="230"/>
      <c r="Z1878" s="230"/>
      <c r="AA1878" s="230"/>
      <c r="AB1878" s="230"/>
      <c r="AC1878" s="230"/>
      <c r="AD1878" s="230"/>
    </row>
    <row r="1879" spans="1:30" ht="15.75" x14ac:dyDescent="0.25">
      <c r="A1879" s="230"/>
      <c r="B1879" s="234"/>
      <c r="C1879" s="234"/>
      <c r="D1879" s="234"/>
      <c r="E1879" s="230"/>
      <c r="F1879" s="230"/>
      <c r="G1879" s="230"/>
      <c r="H1879" s="230"/>
      <c r="I1879" s="230"/>
      <c r="J1879" s="230"/>
      <c r="K1879" s="230"/>
      <c r="L1879" s="230"/>
      <c r="M1879" s="230"/>
      <c r="N1879" s="230"/>
      <c r="O1879" s="230"/>
      <c r="P1879" s="230"/>
      <c r="Q1879" s="230"/>
      <c r="R1879" s="230"/>
      <c r="S1879" s="230"/>
      <c r="T1879" s="230"/>
      <c r="U1879" s="230"/>
      <c r="V1879" s="230"/>
      <c r="W1879" s="230"/>
      <c r="X1879" s="230"/>
      <c r="Y1879" s="230"/>
      <c r="Z1879" s="230"/>
      <c r="AA1879" s="230"/>
      <c r="AB1879" s="230"/>
      <c r="AC1879" s="230"/>
      <c r="AD1879" s="230"/>
    </row>
    <row r="1880" spans="1:30" ht="15.75" x14ac:dyDescent="0.25">
      <c r="A1880" s="230"/>
      <c r="B1880" s="234"/>
      <c r="C1880" s="234"/>
      <c r="D1880" s="234"/>
      <c r="E1880" s="230"/>
      <c r="F1880" s="230"/>
      <c r="G1880" s="230"/>
      <c r="H1880" s="230"/>
      <c r="I1880" s="230"/>
      <c r="J1880" s="230"/>
      <c r="K1880" s="230"/>
      <c r="L1880" s="230"/>
      <c r="M1880" s="230"/>
      <c r="N1880" s="230"/>
      <c r="O1880" s="230"/>
      <c r="P1880" s="230"/>
      <c r="Q1880" s="230"/>
      <c r="R1880" s="230"/>
      <c r="S1880" s="230"/>
      <c r="T1880" s="230"/>
      <c r="U1880" s="230"/>
      <c r="V1880" s="230"/>
      <c r="W1880" s="230"/>
      <c r="X1880" s="230"/>
      <c r="Y1880" s="230"/>
      <c r="Z1880" s="230"/>
      <c r="AA1880" s="230"/>
      <c r="AB1880" s="230"/>
      <c r="AC1880" s="230"/>
      <c r="AD1880" s="230"/>
    </row>
    <row r="1881" spans="1:30" ht="15.75" x14ac:dyDescent="0.25">
      <c r="A1881" s="230"/>
      <c r="B1881" s="234"/>
      <c r="C1881" s="234"/>
      <c r="D1881" s="234"/>
      <c r="E1881" s="230"/>
      <c r="F1881" s="230"/>
      <c r="G1881" s="230"/>
      <c r="H1881" s="230"/>
      <c r="I1881" s="230"/>
      <c r="J1881" s="230"/>
      <c r="K1881" s="230"/>
      <c r="L1881" s="230"/>
      <c r="M1881" s="230"/>
      <c r="N1881" s="230"/>
      <c r="O1881" s="230"/>
      <c r="P1881" s="230"/>
      <c r="Q1881" s="230"/>
      <c r="R1881" s="230"/>
      <c r="S1881" s="230"/>
      <c r="T1881" s="230"/>
      <c r="U1881" s="230"/>
      <c r="V1881" s="230"/>
      <c r="W1881" s="230"/>
      <c r="X1881" s="230"/>
      <c r="Y1881" s="230"/>
      <c r="Z1881" s="230"/>
      <c r="AA1881" s="230"/>
      <c r="AB1881" s="230"/>
      <c r="AC1881" s="230"/>
      <c r="AD1881" s="230"/>
    </row>
    <row r="1882" spans="1:30" ht="15.75" x14ac:dyDescent="0.25">
      <c r="A1882" s="230"/>
      <c r="B1882" s="234"/>
      <c r="C1882" s="234"/>
      <c r="D1882" s="234"/>
      <c r="E1882" s="230"/>
      <c r="F1882" s="230"/>
      <c r="G1882" s="230"/>
      <c r="H1882" s="230"/>
      <c r="I1882" s="230"/>
      <c r="J1882" s="230"/>
      <c r="K1882" s="230"/>
      <c r="L1882" s="230"/>
      <c r="M1882" s="230"/>
      <c r="N1882" s="230"/>
      <c r="O1882" s="230"/>
      <c r="P1882" s="230"/>
      <c r="Q1882" s="230"/>
      <c r="R1882" s="230"/>
      <c r="S1882" s="230"/>
      <c r="T1882" s="230"/>
      <c r="U1882" s="230"/>
      <c r="V1882" s="230"/>
      <c r="W1882" s="230"/>
      <c r="X1882" s="230"/>
      <c r="Y1882" s="230"/>
      <c r="Z1882" s="230"/>
      <c r="AA1882" s="230"/>
      <c r="AB1882" s="230"/>
      <c r="AC1882" s="230"/>
      <c r="AD1882" s="230"/>
    </row>
    <row r="1883" spans="1:30" ht="15.75" x14ac:dyDescent="0.25">
      <c r="A1883" s="230"/>
      <c r="B1883" s="234"/>
      <c r="C1883" s="234"/>
      <c r="D1883" s="234"/>
      <c r="E1883" s="230"/>
      <c r="F1883" s="230"/>
      <c r="G1883" s="230"/>
      <c r="H1883" s="230"/>
      <c r="I1883" s="230"/>
      <c r="J1883" s="230"/>
      <c r="K1883" s="230"/>
      <c r="L1883" s="230"/>
      <c r="M1883" s="230"/>
      <c r="N1883" s="230"/>
      <c r="O1883" s="230"/>
      <c r="P1883" s="230"/>
      <c r="Q1883" s="230"/>
      <c r="R1883" s="230"/>
      <c r="S1883" s="230"/>
      <c r="T1883" s="230"/>
      <c r="U1883" s="230"/>
      <c r="V1883" s="230"/>
      <c r="W1883" s="230"/>
      <c r="X1883" s="230"/>
      <c r="Y1883" s="230"/>
      <c r="Z1883" s="230"/>
      <c r="AA1883" s="230"/>
      <c r="AB1883" s="230"/>
      <c r="AC1883" s="230"/>
      <c r="AD1883" s="230"/>
    </row>
    <row r="1884" spans="1:30" ht="15.75" x14ac:dyDescent="0.25">
      <c r="A1884" s="230"/>
      <c r="B1884" s="234"/>
      <c r="C1884" s="234"/>
      <c r="D1884" s="234"/>
      <c r="E1884" s="230"/>
      <c r="F1884" s="230"/>
      <c r="G1884" s="230"/>
      <c r="H1884" s="230"/>
      <c r="I1884" s="230"/>
      <c r="J1884" s="230"/>
      <c r="K1884" s="230"/>
      <c r="L1884" s="230"/>
      <c r="M1884" s="230"/>
      <c r="N1884" s="230"/>
      <c r="O1884" s="230"/>
      <c r="P1884" s="230"/>
      <c r="Q1884" s="230"/>
      <c r="R1884" s="230"/>
      <c r="S1884" s="230"/>
      <c r="T1884" s="230"/>
      <c r="U1884" s="230"/>
      <c r="V1884" s="230"/>
      <c r="W1884" s="230"/>
      <c r="X1884" s="230"/>
      <c r="Y1884" s="230"/>
      <c r="Z1884" s="230"/>
      <c r="AA1884" s="230"/>
      <c r="AB1884" s="230"/>
      <c r="AC1884" s="230"/>
      <c r="AD1884" s="230"/>
    </row>
    <row r="1885" spans="1:30" ht="15.75" x14ac:dyDescent="0.25">
      <c r="A1885" s="230"/>
      <c r="B1885" s="234"/>
      <c r="C1885" s="234"/>
      <c r="D1885" s="234"/>
      <c r="E1885" s="230"/>
      <c r="F1885" s="230"/>
      <c r="G1885" s="230"/>
      <c r="H1885" s="230"/>
      <c r="I1885" s="230"/>
      <c r="J1885" s="230"/>
      <c r="K1885" s="230"/>
      <c r="L1885" s="230"/>
      <c r="M1885" s="230"/>
      <c r="N1885" s="230"/>
      <c r="O1885" s="230"/>
      <c r="P1885" s="230"/>
      <c r="Q1885" s="230"/>
      <c r="R1885" s="230"/>
      <c r="S1885" s="230"/>
      <c r="T1885" s="230"/>
      <c r="U1885" s="230"/>
      <c r="V1885" s="230"/>
      <c r="W1885" s="230"/>
      <c r="X1885" s="230"/>
      <c r="Y1885" s="230"/>
      <c r="Z1885" s="230"/>
      <c r="AA1885" s="230"/>
      <c r="AB1885" s="230"/>
      <c r="AC1885" s="230"/>
      <c r="AD1885" s="230"/>
    </row>
    <row r="1886" spans="1:30" ht="15.75" x14ac:dyDescent="0.25">
      <c r="A1886" s="230"/>
      <c r="B1886" s="234"/>
      <c r="C1886" s="234"/>
      <c r="D1886" s="234"/>
      <c r="E1886" s="230"/>
      <c r="F1886" s="230"/>
      <c r="G1886" s="230"/>
      <c r="H1886" s="230"/>
      <c r="I1886" s="230"/>
      <c r="J1886" s="230"/>
      <c r="K1886" s="230"/>
      <c r="L1886" s="230"/>
      <c r="M1886" s="230"/>
      <c r="N1886" s="230"/>
      <c r="O1886" s="230"/>
      <c r="P1886" s="230"/>
      <c r="Q1886" s="230"/>
      <c r="R1886" s="230"/>
      <c r="S1886" s="230"/>
      <c r="T1886" s="230"/>
      <c r="U1886" s="230"/>
      <c r="V1886" s="230"/>
      <c r="W1886" s="230"/>
      <c r="X1886" s="230"/>
      <c r="Y1886" s="230"/>
      <c r="Z1886" s="230"/>
      <c r="AA1886" s="230"/>
      <c r="AB1886" s="230"/>
      <c r="AC1886" s="230"/>
      <c r="AD1886" s="230"/>
    </row>
    <row r="1887" spans="1:30" ht="15.75" x14ac:dyDescent="0.25">
      <c r="A1887" s="230"/>
      <c r="B1887" s="234"/>
      <c r="C1887" s="234"/>
      <c r="D1887" s="234"/>
      <c r="E1887" s="230"/>
      <c r="F1887" s="230"/>
      <c r="G1887" s="230"/>
      <c r="H1887" s="230"/>
      <c r="I1887" s="230"/>
      <c r="J1887" s="230"/>
      <c r="K1887" s="230"/>
      <c r="L1887" s="230"/>
      <c r="M1887" s="230"/>
      <c r="N1887" s="230"/>
      <c r="O1887" s="230"/>
      <c r="P1887" s="230"/>
      <c r="Q1887" s="230"/>
      <c r="R1887" s="230"/>
      <c r="S1887" s="230"/>
      <c r="T1887" s="230"/>
      <c r="U1887" s="230"/>
      <c r="V1887" s="230"/>
      <c r="W1887" s="230"/>
      <c r="X1887" s="230"/>
      <c r="Y1887" s="230"/>
      <c r="Z1887" s="230"/>
      <c r="AA1887" s="230"/>
      <c r="AB1887" s="230"/>
      <c r="AC1887" s="230"/>
      <c r="AD1887" s="230"/>
    </row>
    <row r="1888" spans="1:30" ht="15.75" x14ac:dyDescent="0.25">
      <c r="A1888" s="230"/>
      <c r="B1888" s="234"/>
      <c r="C1888" s="234"/>
      <c r="D1888" s="234"/>
      <c r="E1888" s="230"/>
      <c r="F1888" s="230"/>
      <c r="G1888" s="230"/>
      <c r="H1888" s="230"/>
      <c r="I1888" s="230"/>
      <c r="J1888" s="230"/>
      <c r="K1888" s="230"/>
      <c r="L1888" s="230"/>
      <c r="M1888" s="230"/>
      <c r="N1888" s="230"/>
      <c r="O1888" s="230"/>
      <c r="P1888" s="230"/>
      <c r="Q1888" s="230"/>
      <c r="R1888" s="230"/>
      <c r="S1888" s="230"/>
      <c r="T1888" s="230"/>
      <c r="U1888" s="230"/>
      <c r="V1888" s="230"/>
      <c r="W1888" s="230"/>
      <c r="X1888" s="230"/>
      <c r="Y1888" s="230"/>
      <c r="Z1888" s="230"/>
      <c r="AA1888" s="230"/>
      <c r="AB1888" s="230"/>
      <c r="AC1888" s="230"/>
      <c r="AD1888" s="230"/>
    </row>
    <row r="1889" spans="1:30" ht="15.75" x14ac:dyDescent="0.25">
      <c r="A1889" s="230"/>
      <c r="B1889" s="234"/>
      <c r="C1889" s="234"/>
      <c r="D1889" s="234"/>
      <c r="E1889" s="230"/>
      <c r="F1889" s="230"/>
      <c r="G1889" s="230"/>
      <c r="H1889" s="230"/>
      <c r="I1889" s="230"/>
      <c r="J1889" s="230"/>
      <c r="K1889" s="230"/>
      <c r="L1889" s="230"/>
      <c r="M1889" s="230"/>
      <c r="N1889" s="230"/>
      <c r="O1889" s="230"/>
      <c r="P1889" s="230"/>
      <c r="Q1889" s="230"/>
      <c r="R1889" s="230"/>
      <c r="S1889" s="230"/>
      <c r="T1889" s="230"/>
      <c r="U1889" s="230"/>
      <c r="V1889" s="230"/>
      <c r="W1889" s="230"/>
      <c r="X1889" s="230"/>
      <c r="Y1889" s="230"/>
      <c r="Z1889" s="230"/>
      <c r="AA1889" s="230"/>
      <c r="AB1889" s="230"/>
      <c r="AC1889" s="230"/>
      <c r="AD1889" s="230"/>
    </row>
    <row r="1890" spans="1:30" ht="15.75" x14ac:dyDescent="0.25">
      <c r="A1890" s="230"/>
      <c r="B1890" s="234"/>
      <c r="C1890" s="234"/>
      <c r="D1890" s="234"/>
      <c r="E1890" s="230"/>
      <c r="F1890" s="230"/>
      <c r="G1890" s="230"/>
      <c r="H1890" s="230"/>
      <c r="I1890" s="230"/>
      <c r="J1890" s="230"/>
      <c r="K1890" s="230"/>
      <c r="L1890" s="230"/>
      <c r="M1890" s="230"/>
      <c r="N1890" s="230"/>
      <c r="O1890" s="230"/>
      <c r="P1890" s="230"/>
      <c r="Q1890" s="230"/>
      <c r="R1890" s="230"/>
      <c r="S1890" s="230"/>
      <c r="T1890" s="230"/>
      <c r="U1890" s="230"/>
      <c r="V1890" s="230"/>
      <c r="W1890" s="230"/>
      <c r="X1890" s="230"/>
      <c r="Y1890" s="230"/>
      <c r="Z1890" s="230"/>
      <c r="AA1890" s="230"/>
      <c r="AB1890" s="230"/>
      <c r="AC1890" s="230"/>
      <c r="AD1890" s="230"/>
    </row>
    <row r="1891" spans="1:30" ht="15.75" x14ac:dyDescent="0.25">
      <c r="A1891" s="230"/>
      <c r="B1891" s="234"/>
      <c r="C1891" s="234"/>
      <c r="D1891" s="234"/>
      <c r="E1891" s="230"/>
      <c r="F1891" s="230"/>
      <c r="G1891" s="230"/>
      <c r="H1891" s="230"/>
      <c r="I1891" s="230"/>
      <c r="J1891" s="230"/>
      <c r="K1891" s="230"/>
      <c r="L1891" s="230"/>
      <c r="M1891" s="230"/>
      <c r="N1891" s="230"/>
      <c r="O1891" s="230"/>
      <c r="P1891" s="230"/>
      <c r="Q1891" s="230"/>
      <c r="R1891" s="230"/>
      <c r="S1891" s="230"/>
      <c r="T1891" s="230"/>
      <c r="U1891" s="230"/>
      <c r="V1891" s="230"/>
      <c r="W1891" s="230"/>
      <c r="X1891" s="230"/>
      <c r="Y1891" s="230"/>
      <c r="Z1891" s="230"/>
      <c r="AA1891" s="230"/>
      <c r="AB1891" s="230"/>
      <c r="AC1891" s="230"/>
      <c r="AD1891" s="230"/>
    </row>
    <row r="1892" spans="1:30" ht="15.75" x14ac:dyDescent="0.25">
      <c r="A1892" s="230"/>
      <c r="B1892" s="234"/>
      <c r="C1892" s="234"/>
      <c r="D1892" s="234"/>
      <c r="E1892" s="230"/>
      <c r="F1892" s="230"/>
      <c r="G1892" s="230"/>
      <c r="H1892" s="230"/>
      <c r="I1892" s="230"/>
      <c r="J1892" s="230"/>
      <c r="K1892" s="230"/>
      <c r="L1892" s="230"/>
      <c r="M1892" s="230"/>
      <c r="N1892" s="230"/>
      <c r="O1892" s="230"/>
      <c r="P1892" s="230"/>
      <c r="Q1892" s="230"/>
      <c r="R1892" s="230"/>
      <c r="S1892" s="230"/>
      <c r="T1892" s="230"/>
      <c r="U1892" s="230"/>
      <c r="V1892" s="230"/>
      <c r="W1892" s="230"/>
      <c r="X1892" s="230"/>
      <c r="Y1892" s="230"/>
      <c r="Z1892" s="230"/>
      <c r="AA1892" s="230"/>
      <c r="AB1892" s="230"/>
      <c r="AC1892" s="230"/>
      <c r="AD1892" s="230"/>
    </row>
    <row r="1893" spans="1:30" ht="15.75" x14ac:dyDescent="0.25">
      <c r="A1893" s="230"/>
      <c r="B1893" s="234"/>
      <c r="C1893" s="234"/>
      <c r="D1893" s="234"/>
      <c r="E1893" s="230"/>
      <c r="F1893" s="230"/>
      <c r="G1893" s="230"/>
      <c r="H1893" s="230"/>
      <c r="I1893" s="230"/>
      <c r="J1893" s="230"/>
      <c r="K1893" s="230"/>
      <c r="L1893" s="230"/>
      <c r="M1893" s="230"/>
      <c r="N1893" s="230"/>
      <c r="O1893" s="230"/>
      <c r="P1893" s="230"/>
      <c r="Q1893" s="230"/>
      <c r="R1893" s="230"/>
      <c r="S1893" s="230"/>
      <c r="T1893" s="230"/>
      <c r="U1893" s="230"/>
      <c r="V1893" s="230"/>
      <c r="W1893" s="230"/>
      <c r="X1893" s="230"/>
      <c r="Y1893" s="230"/>
      <c r="Z1893" s="230"/>
      <c r="AA1893" s="230"/>
      <c r="AB1893" s="230"/>
      <c r="AC1893" s="230"/>
      <c r="AD1893" s="230"/>
    </row>
    <row r="1894" spans="1:30" ht="15.75" x14ac:dyDescent="0.25">
      <c r="A1894" s="230"/>
      <c r="B1894" s="234"/>
      <c r="C1894" s="234"/>
      <c r="D1894" s="234"/>
      <c r="E1894" s="230"/>
      <c r="F1894" s="230"/>
      <c r="G1894" s="230"/>
      <c r="H1894" s="230"/>
      <c r="I1894" s="230"/>
      <c r="J1894" s="230"/>
      <c r="K1894" s="230"/>
      <c r="L1894" s="230"/>
      <c r="M1894" s="230"/>
      <c r="N1894" s="230"/>
      <c r="O1894" s="230"/>
      <c r="P1894" s="230"/>
      <c r="Q1894" s="230"/>
      <c r="R1894" s="230"/>
      <c r="S1894" s="230"/>
      <c r="T1894" s="230"/>
      <c r="U1894" s="230"/>
      <c r="V1894" s="230"/>
      <c r="W1894" s="230"/>
      <c r="X1894" s="230"/>
      <c r="Y1894" s="230"/>
      <c r="Z1894" s="230"/>
      <c r="AA1894" s="230"/>
      <c r="AB1894" s="230"/>
      <c r="AC1894" s="230"/>
      <c r="AD1894" s="230"/>
    </row>
    <row r="1895" spans="1:30" ht="15.75" x14ac:dyDescent="0.25">
      <c r="A1895" s="230"/>
      <c r="B1895" s="234"/>
      <c r="C1895" s="234"/>
      <c r="D1895" s="234"/>
      <c r="E1895" s="230"/>
      <c r="F1895" s="230"/>
      <c r="G1895" s="230"/>
      <c r="H1895" s="230"/>
      <c r="I1895" s="230"/>
      <c r="J1895" s="230"/>
      <c r="K1895" s="230"/>
      <c r="L1895" s="230"/>
      <c r="M1895" s="230"/>
      <c r="N1895" s="230"/>
      <c r="O1895" s="230"/>
      <c r="P1895" s="230"/>
      <c r="Q1895" s="230"/>
      <c r="R1895" s="230"/>
      <c r="S1895" s="230"/>
      <c r="T1895" s="230"/>
      <c r="U1895" s="230"/>
      <c r="V1895" s="230"/>
      <c r="W1895" s="230"/>
      <c r="X1895" s="230"/>
      <c r="Y1895" s="230"/>
      <c r="Z1895" s="230"/>
      <c r="AA1895" s="230"/>
      <c r="AB1895" s="230"/>
      <c r="AC1895" s="230"/>
      <c r="AD1895" s="230"/>
    </row>
    <row r="1896" spans="1:30" ht="15.75" x14ac:dyDescent="0.25">
      <c r="A1896" s="230"/>
      <c r="B1896" s="234"/>
      <c r="C1896" s="234"/>
      <c r="D1896" s="234"/>
      <c r="E1896" s="230"/>
      <c r="F1896" s="230"/>
      <c r="G1896" s="230"/>
      <c r="H1896" s="230"/>
      <c r="I1896" s="230"/>
      <c r="J1896" s="230"/>
      <c r="K1896" s="230"/>
      <c r="L1896" s="230"/>
      <c r="M1896" s="230"/>
      <c r="N1896" s="230"/>
      <c r="O1896" s="230"/>
      <c r="P1896" s="230"/>
      <c r="Q1896" s="230"/>
      <c r="R1896" s="230"/>
      <c r="S1896" s="230"/>
      <c r="T1896" s="230"/>
      <c r="U1896" s="230"/>
      <c r="V1896" s="230"/>
      <c r="W1896" s="230"/>
      <c r="X1896" s="230"/>
      <c r="Y1896" s="230"/>
      <c r="Z1896" s="230"/>
      <c r="AA1896" s="230"/>
      <c r="AB1896" s="230"/>
      <c r="AC1896" s="230"/>
      <c r="AD1896" s="230"/>
    </row>
    <row r="1897" spans="1:30" ht="15.75" x14ac:dyDescent="0.25">
      <c r="A1897" s="230"/>
      <c r="B1897" s="234"/>
      <c r="C1897" s="234"/>
      <c r="D1897" s="234"/>
      <c r="E1897" s="230"/>
      <c r="F1897" s="230"/>
      <c r="G1897" s="230"/>
      <c r="H1897" s="230"/>
      <c r="I1897" s="230"/>
      <c r="J1897" s="230"/>
      <c r="K1897" s="230"/>
      <c r="L1897" s="230"/>
      <c r="M1897" s="230"/>
      <c r="N1897" s="230"/>
      <c r="O1897" s="230"/>
      <c r="P1897" s="230"/>
      <c r="Q1897" s="230"/>
      <c r="R1897" s="230"/>
      <c r="S1897" s="230"/>
      <c r="T1897" s="230"/>
      <c r="U1897" s="230"/>
      <c r="V1897" s="230"/>
      <c r="W1897" s="230"/>
      <c r="X1897" s="230"/>
      <c r="Y1897" s="230"/>
      <c r="Z1897" s="230"/>
      <c r="AA1897" s="230"/>
      <c r="AB1897" s="230"/>
      <c r="AC1897" s="230"/>
      <c r="AD1897" s="230"/>
    </row>
    <row r="1898" spans="1:30" ht="15.75" x14ac:dyDescent="0.25">
      <c r="A1898" s="230"/>
      <c r="B1898" s="234"/>
      <c r="C1898" s="234"/>
      <c r="D1898" s="234"/>
      <c r="E1898" s="230"/>
      <c r="F1898" s="230"/>
      <c r="G1898" s="230"/>
      <c r="H1898" s="230"/>
      <c r="I1898" s="230"/>
      <c r="J1898" s="230"/>
      <c r="K1898" s="230"/>
      <c r="L1898" s="230"/>
      <c r="M1898" s="230"/>
      <c r="N1898" s="230"/>
      <c r="O1898" s="230"/>
      <c r="P1898" s="230"/>
      <c r="Q1898" s="230"/>
      <c r="R1898" s="230"/>
      <c r="S1898" s="230"/>
      <c r="T1898" s="230"/>
      <c r="U1898" s="230"/>
      <c r="V1898" s="230"/>
      <c r="W1898" s="230"/>
      <c r="X1898" s="230"/>
      <c r="Y1898" s="230"/>
      <c r="Z1898" s="230"/>
      <c r="AA1898" s="230"/>
      <c r="AB1898" s="230"/>
      <c r="AC1898" s="230"/>
      <c r="AD1898" s="230"/>
    </row>
    <row r="1899" spans="1:30" ht="15.75" x14ac:dyDescent="0.25">
      <c r="A1899" s="230"/>
      <c r="B1899" s="234"/>
      <c r="C1899" s="234"/>
      <c r="D1899" s="234"/>
      <c r="E1899" s="230"/>
      <c r="F1899" s="230"/>
      <c r="G1899" s="230"/>
      <c r="H1899" s="230"/>
      <c r="I1899" s="230"/>
      <c r="J1899" s="230"/>
      <c r="K1899" s="230"/>
      <c r="L1899" s="230"/>
      <c r="M1899" s="230"/>
      <c r="N1899" s="230"/>
      <c r="O1899" s="230"/>
      <c r="P1899" s="230"/>
      <c r="Q1899" s="230"/>
      <c r="R1899" s="230"/>
      <c r="S1899" s="230"/>
      <c r="T1899" s="230"/>
      <c r="U1899" s="230"/>
      <c r="V1899" s="230"/>
      <c r="W1899" s="230"/>
      <c r="X1899" s="230"/>
      <c r="Y1899" s="230"/>
      <c r="Z1899" s="230"/>
      <c r="AA1899" s="230"/>
      <c r="AB1899" s="230"/>
      <c r="AC1899" s="230"/>
      <c r="AD1899" s="230"/>
    </row>
    <row r="1900" spans="1:30" ht="15.75" x14ac:dyDescent="0.25">
      <c r="A1900" s="230"/>
      <c r="B1900" s="234"/>
      <c r="C1900" s="234"/>
      <c r="D1900" s="234"/>
      <c r="E1900" s="230"/>
      <c r="F1900" s="230"/>
      <c r="G1900" s="230"/>
      <c r="H1900" s="230"/>
      <c r="I1900" s="230"/>
      <c r="J1900" s="230"/>
      <c r="K1900" s="230"/>
      <c r="L1900" s="230"/>
      <c r="M1900" s="230"/>
      <c r="N1900" s="230"/>
      <c r="O1900" s="230"/>
      <c r="P1900" s="230"/>
      <c r="Q1900" s="230"/>
      <c r="R1900" s="230"/>
      <c r="S1900" s="230"/>
      <c r="T1900" s="230"/>
      <c r="U1900" s="230"/>
      <c r="V1900" s="230"/>
      <c r="W1900" s="230"/>
      <c r="X1900" s="230"/>
      <c r="Y1900" s="230"/>
      <c r="Z1900" s="230"/>
      <c r="AA1900" s="230"/>
      <c r="AB1900" s="230"/>
      <c r="AC1900" s="230"/>
      <c r="AD1900" s="230"/>
    </row>
    <row r="1901" spans="1:30" ht="15.75" x14ac:dyDescent="0.25">
      <c r="A1901" s="230"/>
      <c r="B1901" s="234"/>
      <c r="C1901" s="234"/>
      <c r="D1901" s="234"/>
      <c r="E1901" s="230"/>
      <c r="F1901" s="230"/>
      <c r="G1901" s="230"/>
      <c r="H1901" s="230"/>
      <c r="I1901" s="230"/>
      <c r="J1901" s="230"/>
      <c r="K1901" s="230"/>
      <c r="L1901" s="230"/>
      <c r="M1901" s="230"/>
      <c r="N1901" s="230"/>
      <c r="O1901" s="230"/>
      <c r="P1901" s="230"/>
      <c r="Q1901" s="230"/>
      <c r="R1901" s="230"/>
      <c r="S1901" s="230"/>
      <c r="T1901" s="230"/>
      <c r="U1901" s="230"/>
      <c r="V1901" s="230"/>
      <c r="W1901" s="230"/>
      <c r="X1901" s="230"/>
      <c r="Y1901" s="230"/>
      <c r="Z1901" s="230"/>
      <c r="AA1901" s="230"/>
      <c r="AB1901" s="230"/>
      <c r="AC1901" s="230"/>
      <c r="AD1901" s="230"/>
    </row>
    <row r="1902" spans="1:30" ht="15.75" x14ac:dyDescent="0.25">
      <c r="A1902" s="230"/>
      <c r="B1902" s="234"/>
      <c r="C1902" s="234"/>
      <c r="D1902" s="234"/>
      <c r="E1902" s="230"/>
      <c r="F1902" s="230"/>
      <c r="G1902" s="230"/>
      <c r="H1902" s="230"/>
      <c r="I1902" s="230"/>
      <c r="J1902" s="230"/>
      <c r="K1902" s="230"/>
      <c r="L1902" s="230"/>
      <c r="M1902" s="230"/>
      <c r="N1902" s="230"/>
      <c r="O1902" s="230"/>
      <c r="P1902" s="230"/>
      <c r="Q1902" s="230"/>
      <c r="R1902" s="230"/>
      <c r="S1902" s="230"/>
      <c r="T1902" s="230"/>
      <c r="U1902" s="230"/>
      <c r="V1902" s="230"/>
      <c r="W1902" s="230"/>
      <c r="X1902" s="230"/>
      <c r="Y1902" s="230"/>
      <c r="Z1902" s="230"/>
      <c r="AA1902" s="230"/>
      <c r="AB1902" s="230"/>
      <c r="AC1902" s="230"/>
      <c r="AD1902" s="230"/>
    </row>
    <row r="1903" spans="1:30" ht="15.75" x14ac:dyDescent="0.25">
      <c r="A1903" s="230"/>
      <c r="B1903" s="234"/>
      <c r="C1903" s="234"/>
      <c r="D1903" s="234"/>
      <c r="E1903" s="230"/>
      <c r="F1903" s="230"/>
      <c r="G1903" s="230"/>
      <c r="H1903" s="230"/>
      <c r="I1903" s="230"/>
      <c r="J1903" s="230"/>
      <c r="K1903" s="230"/>
      <c r="L1903" s="230"/>
      <c r="M1903" s="230"/>
      <c r="N1903" s="230"/>
      <c r="O1903" s="230"/>
      <c r="P1903" s="230"/>
      <c r="Q1903" s="230"/>
      <c r="R1903" s="230"/>
      <c r="S1903" s="230"/>
      <c r="T1903" s="230"/>
      <c r="U1903" s="230"/>
      <c r="V1903" s="230"/>
      <c r="W1903" s="230"/>
      <c r="X1903" s="230"/>
      <c r="Y1903" s="230"/>
      <c r="Z1903" s="230"/>
      <c r="AA1903" s="230"/>
      <c r="AB1903" s="230"/>
      <c r="AC1903" s="230"/>
      <c r="AD1903" s="230"/>
    </row>
    <row r="1904" spans="1:30" ht="15.75" x14ac:dyDescent="0.25">
      <c r="A1904" s="230"/>
      <c r="B1904" s="234"/>
      <c r="C1904" s="234"/>
      <c r="D1904" s="234"/>
      <c r="E1904" s="230"/>
      <c r="F1904" s="230"/>
      <c r="G1904" s="230"/>
      <c r="H1904" s="230"/>
      <c r="I1904" s="230"/>
      <c r="J1904" s="230"/>
      <c r="K1904" s="230"/>
      <c r="L1904" s="230"/>
      <c r="M1904" s="230"/>
      <c r="N1904" s="230"/>
      <c r="O1904" s="230"/>
      <c r="P1904" s="230"/>
      <c r="Q1904" s="230"/>
      <c r="R1904" s="230"/>
      <c r="S1904" s="230"/>
      <c r="T1904" s="230"/>
      <c r="U1904" s="230"/>
      <c r="V1904" s="230"/>
      <c r="W1904" s="230"/>
      <c r="X1904" s="230"/>
      <c r="Y1904" s="230"/>
      <c r="Z1904" s="230"/>
      <c r="AA1904" s="230"/>
      <c r="AB1904" s="230"/>
      <c r="AC1904" s="230"/>
      <c r="AD1904" s="230"/>
    </row>
    <row r="1905" spans="1:30" ht="15.75" x14ac:dyDescent="0.25">
      <c r="A1905" s="230"/>
      <c r="B1905" s="234"/>
      <c r="C1905" s="234"/>
      <c r="D1905" s="234"/>
      <c r="E1905" s="230"/>
      <c r="F1905" s="230"/>
      <c r="G1905" s="230"/>
      <c r="H1905" s="230"/>
      <c r="I1905" s="230"/>
      <c r="J1905" s="230"/>
      <c r="K1905" s="230"/>
      <c r="L1905" s="230"/>
      <c r="M1905" s="230"/>
      <c r="N1905" s="230"/>
      <c r="O1905" s="230"/>
      <c r="P1905" s="230"/>
      <c r="Q1905" s="230"/>
      <c r="R1905" s="230"/>
      <c r="S1905" s="230"/>
      <c r="T1905" s="230"/>
      <c r="U1905" s="230"/>
      <c r="V1905" s="230"/>
      <c r="W1905" s="230"/>
      <c r="X1905" s="230"/>
      <c r="Y1905" s="230"/>
      <c r="Z1905" s="230"/>
      <c r="AA1905" s="230"/>
      <c r="AB1905" s="230"/>
      <c r="AC1905" s="230"/>
      <c r="AD1905" s="230"/>
    </row>
    <row r="1906" spans="1:30" ht="15.75" x14ac:dyDescent="0.25">
      <c r="A1906" s="230"/>
      <c r="B1906" s="234"/>
      <c r="C1906" s="234"/>
      <c r="D1906" s="234"/>
      <c r="E1906" s="230"/>
      <c r="F1906" s="230"/>
      <c r="G1906" s="230"/>
      <c r="H1906" s="230"/>
      <c r="I1906" s="230"/>
      <c r="J1906" s="230"/>
      <c r="K1906" s="230"/>
      <c r="L1906" s="230"/>
      <c r="M1906" s="230"/>
      <c r="N1906" s="230"/>
      <c r="O1906" s="230"/>
      <c r="P1906" s="230"/>
      <c r="Q1906" s="230"/>
      <c r="R1906" s="230"/>
      <c r="S1906" s="230"/>
      <c r="T1906" s="230"/>
      <c r="U1906" s="230"/>
      <c r="V1906" s="230"/>
      <c r="W1906" s="230"/>
      <c r="X1906" s="230"/>
      <c r="Y1906" s="230"/>
      <c r="Z1906" s="230"/>
      <c r="AA1906" s="230"/>
      <c r="AB1906" s="230"/>
      <c r="AC1906" s="230"/>
      <c r="AD1906" s="230"/>
    </row>
    <row r="1907" spans="1:30" ht="15.75" x14ac:dyDescent="0.25">
      <c r="A1907" s="230"/>
      <c r="B1907" s="234"/>
      <c r="C1907" s="234"/>
      <c r="D1907" s="234"/>
      <c r="E1907" s="230"/>
      <c r="F1907" s="230"/>
      <c r="G1907" s="230"/>
      <c r="H1907" s="230"/>
      <c r="I1907" s="230"/>
      <c r="J1907" s="230"/>
      <c r="K1907" s="230"/>
      <c r="L1907" s="230"/>
      <c r="M1907" s="230"/>
      <c r="N1907" s="230"/>
      <c r="O1907" s="230"/>
      <c r="P1907" s="230"/>
      <c r="Q1907" s="230"/>
      <c r="R1907" s="230"/>
      <c r="S1907" s="230"/>
      <c r="T1907" s="230"/>
      <c r="U1907" s="230"/>
      <c r="V1907" s="230"/>
      <c r="W1907" s="230"/>
      <c r="X1907" s="230"/>
      <c r="Y1907" s="230"/>
      <c r="Z1907" s="230"/>
      <c r="AA1907" s="230"/>
      <c r="AB1907" s="230"/>
      <c r="AC1907" s="230"/>
      <c r="AD1907" s="230"/>
    </row>
    <row r="1908" spans="1:30" ht="15.75" x14ac:dyDescent="0.25">
      <c r="A1908" s="230"/>
      <c r="B1908" s="234"/>
      <c r="C1908" s="234"/>
      <c r="D1908" s="234"/>
      <c r="E1908" s="230"/>
      <c r="F1908" s="230"/>
      <c r="G1908" s="230"/>
      <c r="H1908" s="230"/>
      <c r="I1908" s="230"/>
      <c r="J1908" s="230"/>
      <c r="K1908" s="230"/>
      <c r="L1908" s="230"/>
      <c r="M1908" s="230"/>
      <c r="N1908" s="230"/>
      <c r="O1908" s="230"/>
      <c r="P1908" s="230"/>
      <c r="Q1908" s="230"/>
      <c r="R1908" s="230"/>
      <c r="S1908" s="230"/>
      <c r="T1908" s="230"/>
      <c r="U1908" s="230"/>
      <c r="V1908" s="230"/>
      <c r="W1908" s="230"/>
      <c r="X1908" s="230"/>
      <c r="Y1908" s="230"/>
      <c r="Z1908" s="230"/>
      <c r="AA1908" s="230"/>
      <c r="AB1908" s="230"/>
      <c r="AC1908" s="230"/>
      <c r="AD1908" s="230"/>
    </row>
    <row r="1909" spans="1:30" ht="15.75" x14ac:dyDescent="0.25">
      <c r="A1909" s="230"/>
      <c r="B1909" s="234"/>
      <c r="C1909" s="234"/>
      <c r="D1909" s="234"/>
      <c r="E1909" s="230"/>
      <c r="F1909" s="230"/>
      <c r="G1909" s="230"/>
      <c r="H1909" s="230"/>
      <c r="I1909" s="230"/>
      <c r="J1909" s="230"/>
      <c r="K1909" s="230"/>
      <c r="L1909" s="230"/>
      <c r="M1909" s="230"/>
      <c r="N1909" s="230"/>
      <c r="O1909" s="230"/>
      <c r="P1909" s="230"/>
      <c r="Q1909" s="230"/>
      <c r="R1909" s="230"/>
      <c r="S1909" s="230"/>
      <c r="T1909" s="230"/>
      <c r="U1909" s="230"/>
      <c r="V1909" s="230"/>
      <c r="W1909" s="230"/>
      <c r="X1909" s="230"/>
      <c r="Y1909" s="230"/>
      <c r="Z1909" s="230"/>
      <c r="AA1909" s="230"/>
      <c r="AB1909" s="230"/>
      <c r="AC1909" s="230"/>
      <c r="AD1909" s="230"/>
    </row>
    <row r="1910" spans="1:30" ht="15.75" x14ac:dyDescent="0.25">
      <c r="A1910" s="230"/>
      <c r="B1910" s="234"/>
      <c r="C1910" s="234"/>
      <c r="D1910" s="234"/>
      <c r="E1910" s="230"/>
      <c r="F1910" s="230"/>
      <c r="G1910" s="230"/>
      <c r="H1910" s="230"/>
      <c r="I1910" s="230"/>
      <c r="J1910" s="230"/>
      <c r="K1910" s="230"/>
      <c r="L1910" s="230"/>
      <c r="M1910" s="230"/>
      <c r="N1910" s="230"/>
      <c r="O1910" s="230"/>
      <c r="P1910" s="230"/>
      <c r="Q1910" s="230"/>
      <c r="R1910" s="230"/>
      <c r="S1910" s="230"/>
      <c r="T1910" s="230"/>
      <c r="U1910" s="230"/>
      <c r="V1910" s="230"/>
      <c r="W1910" s="230"/>
      <c r="X1910" s="230"/>
      <c r="Y1910" s="230"/>
      <c r="Z1910" s="230"/>
      <c r="AA1910" s="230"/>
      <c r="AB1910" s="230"/>
      <c r="AC1910" s="230"/>
      <c r="AD1910" s="230"/>
    </row>
    <row r="1911" spans="1:30" ht="15.75" x14ac:dyDescent="0.25">
      <c r="A1911" s="230"/>
      <c r="B1911" s="234"/>
      <c r="C1911" s="234"/>
      <c r="D1911" s="234"/>
      <c r="E1911" s="230"/>
      <c r="F1911" s="230"/>
      <c r="G1911" s="230"/>
      <c r="H1911" s="230"/>
      <c r="I1911" s="230"/>
      <c r="J1911" s="230"/>
      <c r="K1911" s="230"/>
      <c r="L1911" s="230"/>
      <c r="M1911" s="230"/>
      <c r="N1911" s="230"/>
      <c r="O1911" s="230"/>
      <c r="P1911" s="230"/>
      <c r="Q1911" s="230"/>
      <c r="R1911" s="230"/>
      <c r="S1911" s="230"/>
      <c r="T1911" s="230"/>
      <c r="U1911" s="230"/>
      <c r="V1911" s="230"/>
      <c r="W1911" s="230"/>
      <c r="X1911" s="230"/>
      <c r="Y1911" s="230"/>
      <c r="Z1911" s="230"/>
      <c r="AA1911" s="230"/>
      <c r="AB1911" s="230"/>
      <c r="AC1911" s="230"/>
      <c r="AD1911" s="230"/>
    </row>
    <row r="1912" spans="1:30" ht="15.75" x14ac:dyDescent="0.25">
      <c r="A1912" s="230"/>
      <c r="B1912" s="234"/>
      <c r="C1912" s="234"/>
      <c r="D1912" s="234"/>
      <c r="E1912" s="230"/>
      <c r="F1912" s="230"/>
      <c r="G1912" s="230"/>
      <c r="H1912" s="230"/>
      <c r="I1912" s="230"/>
      <c r="J1912" s="230"/>
      <c r="K1912" s="230"/>
      <c r="L1912" s="230"/>
      <c r="M1912" s="230"/>
      <c r="N1912" s="230"/>
      <c r="O1912" s="230"/>
      <c r="P1912" s="230"/>
      <c r="Q1912" s="230"/>
      <c r="R1912" s="230"/>
      <c r="S1912" s="230"/>
      <c r="T1912" s="230"/>
      <c r="U1912" s="230"/>
      <c r="V1912" s="230"/>
      <c r="W1912" s="230"/>
      <c r="X1912" s="230"/>
      <c r="Y1912" s="230"/>
      <c r="Z1912" s="230"/>
      <c r="AA1912" s="230"/>
      <c r="AB1912" s="230"/>
      <c r="AC1912" s="230"/>
      <c r="AD1912" s="230"/>
    </row>
    <row r="1913" spans="1:30" ht="15.75" x14ac:dyDescent="0.25">
      <c r="A1913" s="230"/>
      <c r="B1913" s="234"/>
      <c r="C1913" s="234"/>
      <c r="D1913" s="234"/>
      <c r="E1913" s="230"/>
      <c r="F1913" s="230"/>
      <c r="G1913" s="230"/>
      <c r="H1913" s="230"/>
      <c r="I1913" s="230"/>
      <c r="J1913" s="230"/>
      <c r="K1913" s="230"/>
      <c r="L1913" s="230"/>
      <c r="M1913" s="230"/>
      <c r="N1913" s="230"/>
      <c r="O1913" s="230"/>
      <c r="P1913" s="230"/>
      <c r="Q1913" s="230"/>
      <c r="R1913" s="230"/>
      <c r="S1913" s="230"/>
      <c r="T1913" s="230"/>
      <c r="U1913" s="230"/>
      <c r="V1913" s="230"/>
      <c r="W1913" s="230"/>
      <c r="X1913" s="230"/>
      <c r="Y1913" s="230"/>
      <c r="Z1913" s="230"/>
      <c r="AA1913" s="230"/>
      <c r="AB1913" s="230"/>
      <c r="AC1913" s="230"/>
      <c r="AD1913" s="230"/>
    </row>
    <row r="1914" spans="1:30" ht="15.75" x14ac:dyDescent="0.25">
      <c r="A1914" s="230"/>
      <c r="B1914" s="234"/>
      <c r="C1914" s="234"/>
      <c r="D1914" s="234"/>
      <c r="E1914" s="230"/>
      <c r="F1914" s="230"/>
      <c r="G1914" s="230"/>
      <c r="H1914" s="230"/>
      <c r="I1914" s="230"/>
      <c r="J1914" s="230"/>
      <c r="K1914" s="230"/>
      <c r="L1914" s="230"/>
      <c r="M1914" s="230"/>
      <c r="N1914" s="230"/>
      <c r="O1914" s="230"/>
      <c r="P1914" s="230"/>
      <c r="Q1914" s="230"/>
      <c r="R1914" s="230"/>
      <c r="S1914" s="230"/>
      <c r="T1914" s="230"/>
      <c r="U1914" s="230"/>
      <c r="V1914" s="230"/>
      <c r="W1914" s="230"/>
      <c r="X1914" s="230"/>
      <c r="Y1914" s="230"/>
      <c r="Z1914" s="230"/>
      <c r="AA1914" s="230"/>
      <c r="AB1914" s="230"/>
      <c r="AC1914" s="230"/>
      <c r="AD1914" s="230"/>
    </row>
    <row r="1915" spans="1:30" ht="15.75" x14ac:dyDescent="0.25">
      <c r="A1915" s="230"/>
      <c r="B1915" s="234"/>
      <c r="C1915" s="234"/>
      <c r="D1915" s="234"/>
      <c r="E1915" s="230"/>
      <c r="F1915" s="230"/>
      <c r="G1915" s="230"/>
      <c r="H1915" s="230"/>
      <c r="I1915" s="230"/>
      <c r="J1915" s="230"/>
      <c r="K1915" s="230"/>
      <c r="L1915" s="230"/>
      <c r="M1915" s="230"/>
      <c r="N1915" s="230"/>
      <c r="O1915" s="230"/>
      <c r="P1915" s="230"/>
      <c r="Q1915" s="230"/>
      <c r="R1915" s="230"/>
      <c r="S1915" s="230"/>
      <c r="T1915" s="230"/>
      <c r="U1915" s="230"/>
      <c r="V1915" s="230"/>
      <c r="W1915" s="230"/>
      <c r="X1915" s="230"/>
      <c r="Y1915" s="230"/>
      <c r="Z1915" s="230"/>
      <c r="AA1915" s="230"/>
      <c r="AB1915" s="230"/>
      <c r="AC1915" s="230"/>
      <c r="AD1915" s="230"/>
    </row>
    <row r="1916" spans="1:30" ht="15.75" x14ac:dyDescent="0.25">
      <c r="A1916" s="230"/>
      <c r="B1916" s="234"/>
      <c r="C1916" s="234"/>
      <c r="D1916" s="234"/>
      <c r="E1916" s="230"/>
      <c r="F1916" s="230"/>
      <c r="G1916" s="230"/>
      <c r="H1916" s="230"/>
      <c r="I1916" s="230"/>
      <c r="J1916" s="230"/>
      <c r="K1916" s="230"/>
      <c r="L1916" s="230"/>
      <c r="M1916" s="230"/>
      <c r="N1916" s="230"/>
      <c r="O1916" s="230"/>
      <c r="P1916" s="230"/>
      <c r="Q1916" s="230"/>
      <c r="R1916" s="230"/>
      <c r="S1916" s="230"/>
      <c r="T1916" s="230"/>
      <c r="U1916" s="230"/>
      <c r="V1916" s="230"/>
      <c r="W1916" s="230"/>
      <c r="X1916" s="230"/>
      <c r="Y1916" s="230"/>
      <c r="Z1916" s="230"/>
      <c r="AA1916" s="230"/>
      <c r="AB1916" s="230"/>
      <c r="AC1916" s="230"/>
      <c r="AD1916" s="230"/>
    </row>
    <row r="1917" spans="1:30" ht="15.75" x14ac:dyDescent="0.25">
      <c r="A1917" s="230"/>
      <c r="B1917" s="234"/>
      <c r="C1917" s="234"/>
      <c r="D1917" s="234"/>
      <c r="E1917" s="230"/>
      <c r="F1917" s="230"/>
      <c r="G1917" s="230"/>
      <c r="H1917" s="230"/>
      <c r="I1917" s="230"/>
      <c r="J1917" s="230"/>
      <c r="K1917" s="230"/>
      <c r="L1917" s="230"/>
      <c r="M1917" s="230"/>
      <c r="N1917" s="230"/>
      <c r="O1917" s="230"/>
      <c r="P1917" s="230"/>
      <c r="Q1917" s="230"/>
      <c r="R1917" s="230"/>
      <c r="S1917" s="230"/>
      <c r="T1917" s="230"/>
      <c r="U1917" s="230"/>
      <c r="V1917" s="230"/>
      <c r="W1917" s="230"/>
      <c r="X1917" s="230"/>
      <c r="Y1917" s="230"/>
      <c r="Z1917" s="230"/>
      <c r="AA1917" s="230"/>
      <c r="AB1917" s="230"/>
      <c r="AC1917" s="230"/>
      <c r="AD1917" s="230"/>
    </row>
    <row r="1918" spans="1:30" ht="15.75" x14ac:dyDescent="0.25">
      <c r="A1918" s="230"/>
      <c r="B1918" s="234"/>
      <c r="C1918" s="234"/>
      <c r="D1918" s="234"/>
      <c r="E1918" s="230"/>
      <c r="F1918" s="230"/>
      <c r="G1918" s="230"/>
      <c r="H1918" s="230"/>
      <c r="I1918" s="230"/>
      <c r="J1918" s="230"/>
      <c r="K1918" s="230"/>
      <c r="L1918" s="230"/>
      <c r="M1918" s="230"/>
      <c r="N1918" s="230"/>
      <c r="O1918" s="230"/>
      <c r="P1918" s="230"/>
      <c r="Q1918" s="230"/>
      <c r="R1918" s="230"/>
      <c r="S1918" s="230"/>
      <c r="T1918" s="230"/>
      <c r="U1918" s="230"/>
      <c r="V1918" s="230"/>
      <c r="W1918" s="230"/>
      <c r="X1918" s="230"/>
      <c r="Y1918" s="230"/>
      <c r="Z1918" s="230"/>
      <c r="AA1918" s="230"/>
      <c r="AB1918" s="230"/>
      <c r="AC1918" s="230"/>
      <c r="AD1918" s="230"/>
    </row>
    <row r="1919" spans="1:30" ht="15.75" x14ac:dyDescent="0.25">
      <c r="A1919" s="230"/>
      <c r="B1919" s="234"/>
      <c r="C1919" s="234"/>
      <c r="D1919" s="234"/>
      <c r="E1919" s="230"/>
      <c r="F1919" s="230"/>
      <c r="G1919" s="230"/>
      <c r="H1919" s="230"/>
      <c r="I1919" s="230"/>
      <c r="J1919" s="230"/>
      <c r="K1919" s="230"/>
      <c r="L1919" s="230"/>
      <c r="M1919" s="230"/>
      <c r="N1919" s="230"/>
      <c r="O1919" s="230"/>
      <c r="P1919" s="230"/>
      <c r="Q1919" s="230"/>
      <c r="R1919" s="230"/>
      <c r="S1919" s="230"/>
      <c r="T1919" s="230"/>
      <c r="U1919" s="230"/>
      <c r="V1919" s="230"/>
      <c r="W1919" s="230"/>
      <c r="X1919" s="230"/>
      <c r="Y1919" s="230"/>
      <c r="Z1919" s="230"/>
      <c r="AA1919" s="230"/>
      <c r="AB1919" s="230"/>
      <c r="AC1919" s="230"/>
      <c r="AD1919" s="230"/>
    </row>
    <row r="1920" spans="1:30" ht="15.75" x14ac:dyDescent="0.25">
      <c r="A1920" s="230"/>
      <c r="B1920" s="234"/>
      <c r="C1920" s="234"/>
      <c r="D1920" s="234"/>
      <c r="E1920" s="230"/>
      <c r="F1920" s="230"/>
      <c r="G1920" s="230"/>
      <c r="H1920" s="230"/>
      <c r="I1920" s="230"/>
      <c r="J1920" s="230"/>
      <c r="K1920" s="230"/>
      <c r="L1920" s="230"/>
      <c r="M1920" s="230"/>
      <c r="N1920" s="230"/>
      <c r="O1920" s="230"/>
      <c r="P1920" s="230"/>
      <c r="Q1920" s="230"/>
      <c r="R1920" s="230"/>
      <c r="S1920" s="230"/>
      <c r="T1920" s="230"/>
      <c r="U1920" s="230"/>
      <c r="V1920" s="230"/>
      <c r="W1920" s="230"/>
      <c r="X1920" s="230"/>
      <c r="Y1920" s="230"/>
      <c r="Z1920" s="230"/>
      <c r="AA1920" s="230"/>
      <c r="AB1920" s="230"/>
      <c r="AC1920" s="230"/>
      <c r="AD1920" s="230"/>
    </row>
    <row r="1921" spans="1:30" ht="15.75" x14ac:dyDescent="0.25">
      <c r="A1921" s="230"/>
      <c r="B1921" s="234"/>
      <c r="C1921" s="234"/>
      <c r="D1921" s="234"/>
      <c r="E1921" s="230"/>
      <c r="F1921" s="230"/>
      <c r="G1921" s="230"/>
      <c r="H1921" s="230"/>
      <c r="I1921" s="230"/>
      <c r="J1921" s="230"/>
      <c r="K1921" s="230"/>
      <c r="L1921" s="230"/>
      <c r="M1921" s="230"/>
      <c r="N1921" s="230"/>
      <c r="O1921" s="230"/>
      <c r="P1921" s="230"/>
      <c r="Q1921" s="230"/>
      <c r="R1921" s="230"/>
      <c r="S1921" s="230"/>
      <c r="T1921" s="230"/>
      <c r="U1921" s="230"/>
      <c r="V1921" s="230"/>
      <c r="W1921" s="230"/>
      <c r="X1921" s="230"/>
      <c r="Y1921" s="230"/>
      <c r="Z1921" s="230"/>
      <c r="AA1921" s="230"/>
      <c r="AB1921" s="230"/>
      <c r="AC1921" s="230"/>
      <c r="AD1921" s="230"/>
    </row>
    <row r="1922" spans="1:30" ht="15.75" x14ac:dyDescent="0.25">
      <c r="A1922" s="230"/>
      <c r="B1922" s="234"/>
      <c r="C1922" s="234"/>
      <c r="D1922" s="234"/>
      <c r="E1922" s="230"/>
      <c r="F1922" s="230"/>
      <c r="G1922" s="230"/>
      <c r="H1922" s="230"/>
      <c r="I1922" s="230"/>
      <c r="J1922" s="230"/>
      <c r="K1922" s="230"/>
      <c r="L1922" s="230"/>
      <c r="M1922" s="230"/>
      <c r="N1922" s="230"/>
      <c r="O1922" s="230"/>
      <c r="P1922" s="230"/>
      <c r="Q1922" s="230"/>
      <c r="R1922" s="230"/>
      <c r="S1922" s="230"/>
      <c r="T1922" s="230"/>
      <c r="U1922" s="230"/>
      <c r="V1922" s="230"/>
      <c r="W1922" s="230"/>
      <c r="X1922" s="230"/>
      <c r="Y1922" s="230"/>
      <c r="Z1922" s="230"/>
      <c r="AA1922" s="230"/>
      <c r="AB1922" s="230"/>
      <c r="AC1922" s="230"/>
      <c r="AD1922" s="230"/>
    </row>
    <row r="1923" spans="1:30" ht="15.75" x14ac:dyDescent="0.25">
      <c r="A1923" s="230"/>
      <c r="B1923" s="234"/>
      <c r="C1923" s="234"/>
      <c r="D1923" s="234"/>
      <c r="E1923" s="230"/>
      <c r="F1923" s="230"/>
      <c r="G1923" s="230"/>
      <c r="H1923" s="230"/>
      <c r="I1923" s="230"/>
      <c r="J1923" s="230"/>
      <c r="K1923" s="230"/>
      <c r="L1923" s="230"/>
      <c r="M1923" s="230"/>
      <c r="N1923" s="230"/>
      <c r="O1923" s="230"/>
      <c r="P1923" s="230"/>
      <c r="Q1923" s="230"/>
      <c r="R1923" s="230"/>
      <c r="S1923" s="230"/>
      <c r="T1923" s="230"/>
      <c r="U1923" s="230"/>
      <c r="V1923" s="230"/>
      <c r="W1923" s="230"/>
      <c r="X1923" s="230"/>
      <c r="Y1923" s="230"/>
      <c r="Z1923" s="230"/>
      <c r="AA1923" s="230"/>
      <c r="AB1923" s="230"/>
      <c r="AC1923" s="230"/>
      <c r="AD1923" s="230"/>
    </row>
    <row r="1924" spans="1:30" ht="15.75" x14ac:dyDescent="0.25">
      <c r="A1924" s="230"/>
      <c r="B1924" s="234"/>
      <c r="C1924" s="234"/>
      <c r="D1924" s="234"/>
      <c r="E1924" s="230"/>
      <c r="F1924" s="230"/>
      <c r="G1924" s="230"/>
      <c r="H1924" s="230"/>
      <c r="I1924" s="230"/>
      <c r="J1924" s="230"/>
      <c r="K1924" s="230"/>
      <c r="L1924" s="230"/>
      <c r="M1924" s="230"/>
      <c r="N1924" s="230"/>
      <c r="O1924" s="230"/>
      <c r="P1924" s="230"/>
      <c r="Q1924" s="230"/>
      <c r="R1924" s="230"/>
      <c r="S1924" s="230"/>
      <c r="T1924" s="230"/>
      <c r="U1924" s="230"/>
      <c r="V1924" s="230"/>
      <c r="W1924" s="230"/>
      <c r="X1924" s="230"/>
      <c r="Y1924" s="230"/>
      <c r="Z1924" s="230"/>
      <c r="AA1924" s="230"/>
      <c r="AB1924" s="230"/>
      <c r="AC1924" s="230"/>
      <c r="AD1924" s="230"/>
    </row>
    <row r="1925" spans="1:30" ht="15.75" x14ac:dyDescent="0.25">
      <c r="A1925" s="230"/>
      <c r="B1925" s="234"/>
      <c r="C1925" s="234"/>
      <c r="D1925" s="234"/>
      <c r="E1925" s="230"/>
      <c r="F1925" s="230"/>
      <c r="G1925" s="230"/>
      <c r="H1925" s="230"/>
      <c r="I1925" s="230"/>
      <c r="J1925" s="230"/>
      <c r="K1925" s="230"/>
      <c r="L1925" s="230"/>
      <c r="M1925" s="230"/>
      <c r="N1925" s="230"/>
      <c r="O1925" s="230"/>
      <c r="P1925" s="230"/>
      <c r="Q1925" s="230"/>
      <c r="R1925" s="230"/>
      <c r="S1925" s="230"/>
      <c r="T1925" s="230"/>
      <c r="U1925" s="230"/>
      <c r="V1925" s="230"/>
      <c r="W1925" s="230"/>
      <c r="X1925" s="230"/>
      <c r="Y1925" s="230"/>
      <c r="Z1925" s="230"/>
      <c r="AA1925" s="230"/>
      <c r="AB1925" s="230"/>
      <c r="AC1925" s="230"/>
      <c r="AD1925" s="230"/>
    </row>
    <row r="1926" spans="1:30" ht="15.75" x14ac:dyDescent="0.25">
      <c r="A1926" s="230"/>
      <c r="B1926" s="234"/>
      <c r="C1926" s="234"/>
      <c r="D1926" s="234"/>
      <c r="E1926" s="230"/>
      <c r="F1926" s="230"/>
      <c r="G1926" s="230"/>
      <c r="H1926" s="230"/>
      <c r="I1926" s="230"/>
      <c r="J1926" s="230"/>
      <c r="K1926" s="230"/>
      <c r="L1926" s="230"/>
      <c r="M1926" s="230"/>
      <c r="N1926" s="230"/>
      <c r="O1926" s="230"/>
      <c r="P1926" s="230"/>
      <c r="Q1926" s="230"/>
      <c r="R1926" s="230"/>
      <c r="S1926" s="230"/>
      <c r="T1926" s="230"/>
      <c r="U1926" s="230"/>
      <c r="V1926" s="230"/>
      <c r="W1926" s="230"/>
      <c r="X1926" s="230"/>
      <c r="Y1926" s="230"/>
      <c r="Z1926" s="230"/>
      <c r="AA1926" s="230"/>
      <c r="AB1926" s="230"/>
      <c r="AC1926" s="230"/>
      <c r="AD1926" s="230"/>
    </row>
    <row r="1927" spans="1:30" ht="15.75" x14ac:dyDescent="0.25">
      <c r="A1927" s="230"/>
      <c r="B1927" s="234"/>
      <c r="C1927" s="234"/>
      <c r="D1927" s="234"/>
      <c r="E1927" s="230"/>
      <c r="F1927" s="230"/>
      <c r="G1927" s="230"/>
      <c r="H1927" s="230"/>
      <c r="I1927" s="230"/>
      <c r="J1927" s="230"/>
      <c r="K1927" s="230"/>
      <c r="L1927" s="230"/>
      <c r="M1927" s="230"/>
      <c r="N1927" s="230"/>
      <c r="O1927" s="230"/>
      <c r="P1927" s="230"/>
      <c r="Q1927" s="230"/>
      <c r="R1927" s="230"/>
      <c r="S1927" s="230"/>
      <c r="T1927" s="230"/>
      <c r="U1927" s="230"/>
      <c r="V1927" s="230"/>
      <c r="W1927" s="230"/>
      <c r="X1927" s="230"/>
      <c r="Y1927" s="230"/>
      <c r="Z1927" s="230"/>
      <c r="AA1927" s="230"/>
      <c r="AB1927" s="230"/>
      <c r="AC1927" s="230"/>
      <c r="AD1927" s="230"/>
    </row>
    <row r="1928" spans="1:30" ht="15.75" x14ac:dyDescent="0.25">
      <c r="A1928" s="230"/>
      <c r="B1928" s="234"/>
      <c r="C1928" s="234"/>
      <c r="D1928" s="234"/>
      <c r="E1928" s="230"/>
      <c r="F1928" s="230"/>
      <c r="G1928" s="230"/>
      <c r="H1928" s="230"/>
      <c r="I1928" s="230"/>
      <c r="J1928" s="230"/>
      <c r="K1928" s="230"/>
      <c r="L1928" s="230"/>
      <c r="M1928" s="230"/>
      <c r="N1928" s="230"/>
      <c r="O1928" s="230"/>
      <c r="P1928" s="230"/>
      <c r="Q1928" s="230"/>
      <c r="R1928" s="230"/>
      <c r="S1928" s="230"/>
      <c r="T1928" s="230"/>
      <c r="U1928" s="230"/>
      <c r="V1928" s="230"/>
      <c r="W1928" s="230"/>
      <c r="X1928" s="230"/>
      <c r="Y1928" s="230"/>
      <c r="Z1928" s="230"/>
      <c r="AA1928" s="230"/>
      <c r="AB1928" s="230"/>
      <c r="AC1928" s="230"/>
      <c r="AD1928" s="230"/>
    </row>
    <row r="1929" spans="1:30" ht="15.75" x14ac:dyDescent="0.25">
      <c r="A1929" s="230"/>
      <c r="B1929" s="234"/>
      <c r="C1929" s="234"/>
      <c r="D1929" s="234"/>
      <c r="E1929" s="230"/>
      <c r="F1929" s="230"/>
      <c r="G1929" s="230"/>
      <c r="H1929" s="230"/>
      <c r="I1929" s="230"/>
      <c r="J1929" s="230"/>
      <c r="K1929" s="230"/>
      <c r="L1929" s="230"/>
      <c r="M1929" s="230"/>
      <c r="N1929" s="230"/>
      <c r="O1929" s="230"/>
      <c r="P1929" s="230"/>
      <c r="Q1929" s="230"/>
      <c r="R1929" s="230"/>
      <c r="S1929" s="230"/>
      <c r="T1929" s="230"/>
      <c r="U1929" s="230"/>
      <c r="V1929" s="230"/>
      <c r="W1929" s="230"/>
      <c r="X1929" s="230"/>
      <c r="Y1929" s="230"/>
      <c r="Z1929" s="230"/>
      <c r="AA1929" s="230"/>
      <c r="AB1929" s="230"/>
      <c r="AC1929" s="230"/>
      <c r="AD1929" s="230"/>
    </row>
    <row r="1930" spans="1:30" ht="15.75" x14ac:dyDescent="0.25">
      <c r="A1930" s="230"/>
      <c r="B1930" s="234"/>
      <c r="C1930" s="234"/>
      <c r="D1930" s="234"/>
      <c r="E1930" s="230"/>
      <c r="F1930" s="230"/>
      <c r="G1930" s="230"/>
      <c r="H1930" s="230"/>
      <c r="I1930" s="230"/>
      <c r="J1930" s="230"/>
      <c r="K1930" s="230"/>
      <c r="L1930" s="230"/>
      <c r="M1930" s="230"/>
      <c r="N1930" s="230"/>
      <c r="O1930" s="230"/>
      <c r="P1930" s="230"/>
      <c r="Q1930" s="230"/>
      <c r="R1930" s="230"/>
      <c r="S1930" s="230"/>
      <c r="T1930" s="230"/>
      <c r="U1930" s="230"/>
      <c r="V1930" s="230"/>
      <c r="W1930" s="230"/>
      <c r="X1930" s="230"/>
      <c r="Y1930" s="230"/>
      <c r="Z1930" s="230"/>
      <c r="AA1930" s="230"/>
      <c r="AB1930" s="230"/>
      <c r="AC1930" s="230"/>
      <c r="AD1930" s="230"/>
    </row>
    <row r="1931" spans="1:30" ht="15.75" x14ac:dyDescent="0.25">
      <c r="A1931" s="230"/>
      <c r="B1931" s="234"/>
      <c r="C1931" s="234"/>
      <c r="D1931" s="234"/>
      <c r="E1931" s="230"/>
      <c r="F1931" s="230"/>
      <c r="G1931" s="230"/>
      <c r="H1931" s="230"/>
      <c r="I1931" s="230"/>
      <c r="J1931" s="230"/>
      <c r="K1931" s="230"/>
      <c r="L1931" s="230"/>
      <c r="M1931" s="230"/>
      <c r="N1931" s="230"/>
      <c r="O1931" s="230"/>
      <c r="P1931" s="230"/>
      <c r="Q1931" s="230"/>
      <c r="R1931" s="230"/>
      <c r="S1931" s="230"/>
      <c r="T1931" s="230"/>
      <c r="U1931" s="230"/>
      <c r="V1931" s="230"/>
      <c r="W1931" s="230"/>
      <c r="X1931" s="230"/>
      <c r="Y1931" s="230"/>
      <c r="Z1931" s="230"/>
      <c r="AA1931" s="230"/>
      <c r="AB1931" s="230"/>
      <c r="AC1931" s="230"/>
      <c r="AD1931" s="230"/>
    </row>
    <row r="1932" spans="1:30" ht="15.75" x14ac:dyDescent="0.25">
      <c r="A1932" s="230"/>
      <c r="B1932" s="234"/>
      <c r="C1932" s="234"/>
      <c r="D1932" s="234"/>
      <c r="E1932" s="230"/>
      <c r="F1932" s="230"/>
      <c r="G1932" s="230"/>
      <c r="H1932" s="230"/>
      <c r="I1932" s="230"/>
      <c r="J1932" s="230"/>
      <c r="K1932" s="230"/>
      <c r="L1932" s="230"/>
      <c r="M1932" s="230"/>
      <c r="N1932" s="230"/>
      <c r="O1932" s="230"/>
      <c r="P1932" s="230"/>
      <c r="Q1932" s="230"/>
      <c r="R1932" s="230"/>
      <c r="S1932" s="230"/>
      <c r="T1932" s="230"/>
      <c r="U1932" s="230"/>
      <c r="V1932" s="230"/>
      <c r="W1932" s="230"/>
      <c r="X1932" s="230"/>
      <c r="Y1932" s="230"/>
      <c r="Z1932" s="230"/>
      <c r="AA1932" s="230"/>
      <c r="AB1932" s="230"/>
      <c r="AC1932" s="230"/>
      <c r="AD1932" s="230"/>
    </row>
    <row r="1933" spans="1:30" ht="15.75" x14ac:dyDescent="0.25">
      <c r="A1933" s="230"/>
      <c r="B1933" s="234"/>
      <c r="C1933" s="234"/>
      <c r="D1933" s="234"/>
      <c r="E1933" s="230"/>
      <c r="F1933" s="230"/>
      <c r="G1933" s="230"/>
      <c r="H1933" s="230"/>
      <c r="I1933" s="230"/>
      <c r="J1933" s="230"/>
      <c r="K1933" s="230"/>
      <c r="L1933" s="230"/>
      <c r="M1933" s="230"/>
      <c r="N1933" s="230"/>
      <c r="O1933" s="230"/>
      <c r="P1933" s="230"/>
      <c r="Q1933" s="230"/>
      <c r="R1933" s="230"/>
      <c r="S1933" s="230"/>
      <c r="T1933" s="230"/>
      <c r="U1933" s="230"/>
      <c r="V1933" s="230"/>
      <c r="W1933" s="230"/>
      <c r="X1933" s="230"/>
      <c r="Y1933" s="230"/>
      <c r="Z1933" s="230"/>
      <c r="AA1933" s="230"/>
      <c r="AB1933" s="230"/>
      <c r="AC1933" s="230"/>
      <c r="AD1933" s="230"/>
    </row>
    <row r="1934" spans="1:30" ht="15.75" x14ac:dyDescent="0.25">
      <c r="A1934" s="230"/>
      <c r="B1934" s="234"/>
      <c r="C1934" s="234"/>
      <c r="D1934" s="234"/>
      <c r="E1934" s="230"/>
      <c r="F1934" s="230"/>
      <c r="G1934" s="230"/>
      <c r="H1934" s="230"/>
      <c r="I1934" s="230"/>
      <c r="J1934" s="230"/>
      <c r="K1934" s="230"/>
      <c r="L1934" s="230"/>
      <c r="M1934" s="230"/>
      <c r="N1934" s="230"/>
      <c r="O1934" s="230"/>
      <c r="P1934" s="230"/>
      <c r="Q1934" s="230"/>
      <c r="R1934" s="230"/>
      <c r="S1934" s="230"/>
      <c r="T1934" s="230"/>
      <c r="U1934" s="230"/>
      <c r="V1934" s="230"/>
      <c r="W1934" s="230"/>
      <c r="X1934" s="230"/>
      <c r="Y1934" s="230"/>
      <c r="Z1934" s="230"/>
      <c r="AA1934" s="230"/>
      <c r="AB1934" s="230"/>
      <c r="AC1934" s="230"/>
      <c r="AD1934" s="230"/>
    </row>
    <row r="1935" spans="1:30" ht="15.75" x14ac:dyDescent="0.25">
      <c r="A1935" s="230"/>
      <c r="B1935" s="234"/>
      <c r="C1935" s="234"/>
      <c r="D1935" s="234"/>
      <c r="E1935" s="230"/>
      <c r="F1935" s="230"/>
      <c r="G1935" s="230"/>
      <c r="H1935" s="230"/>
      <c r="I1935" s="230"/>
      <c r="J1935" s="230"/>
      <c r="K1935" s="230"/>
      <c r="L1935" s="230"/>
      <c r="M1935" s="230"/>
      <c r="N1935" s="230"/>
      <c r="O1935" s="230"/>
      <c r="P1935" s="230"/>
      <c r="Q1935" s="230"/>
      <c r="R1935" s="230"/>
      <c r="S1935" s="230"/>
      <c r="T1935" s="230"/>
      <c r="U1935" s="230"/>
      <c r="V1935" s="230"/>
      <c r="W1935" s="230"/>
      <c r="X1935" s="230"/>
      <c r="Y1935" s="230"/>
      <c r="Z1935" s="230"/>
      <c r="AA1935" s="230"/>
      <c r="AB1935" s="230"/>
      <c r="AC1935" s="230"/>
      <c r="AD1935" s="230"/>
    </row>
    <row r="1936" spans="1:30" ht="15.75" x14ac:dyDescent="0.25">
      <c r="A1936" s="230"/>
      <c r="B1936" s="234"/>
      <c r="C1936" s="234"/>
      <c r="D1936" s="234"/>
      <c r="E1936" s="230"/>
      <c r="F1936" s="230"/>
      <c r="G1936" s="230"/>
      <c r="H1936" s="230"/>
      <c r="I1936" s="230"/>
      <c r="J1936" s="230"/>
      <c r="K1936" s="230"/>
      <c r="L1936" s="230"/>
      <c r="M1936" s="230"/>
      <c r="N1936" s="230"/>
      <c r="O1936" s="230"/>
      <c r="P1936" s="230"/>
      <c r="Q1936" s="230"/>
      <c r="R1936" s="230"/>
      <c r="S1936" s="230"/>
      <c r="T1936" s="230"/>
      <c r="U1936" s="230"/>
      <c r="V1936" s="230"/>
      <c r="W1936" s="230"/>
      <c r="X1936" s="230"/>
      <c r="Y1936" s="230"/>
      <c r="Z1936" s="230"/>
      <c r="AA1936" s="230"/>
      <c r="AB1936" s="230"/>
      <c r="AC1936" s="230"/>
      <c r="AD1936" s="230"/>
    </row>
    <row r="1937" spans="1:30" ht="15.75" x14ac:dyDescent="0.25">
      <c r="A1937" s="230"/>
      <c r="B1937" s="234"/>
      <c r="C1937" s="234"/>
      <c r="D1937" s="234"/>
      <c r="E1937" s="230"/>
      <c r="F1937" s="230"/>
      <c r="G1937" s="230"/>
      <c r="H1937" s="230"/>
      <c r="I1937" s="230"/>
      <c r="J1937" s="230"/>
      <c r="K1937" s="230"/>
      <c r="L1937" s="230"/>
      <c r="M1937" s="230"/>
      <c r="N1937" s="230"/>
      <c r="O1937" s="230"/>
      <c r="P1937" s="230"/>
      <c r="Q1937" s="230"/>
      <c r="R1937" s="230"/>
      <c r="S1937" s="230"/>
      <c r="T1937" s="230"/>
      <c r="U1937" s="230"/>
      <c r="V1937" s="230"/>
      <c r="W1937" s="230"/>
      <c r="X1937" s="230"/>
      <c r="Y1937" s="230"/>
      <c r="Z1937" s="230"/>
      <c r="AA1937" s="230"/>
      <c r="AB1937" s="230"/>
      <c r="AC1937" s="230"/>
      <c r="AD1937" s="230"/>
    </row>
    <row r="1938" spans="1:30" ht="15.75" x14ac:dyDescent="0.25">
      <c r="A1938" s="230"/>
      <c r="B1938" s="234"/>
      <c r="C1938" s="234"/>
      <c r="D1938" s="234"/>
      <c r="E1938" s="230"/>
      <c r="F1938" s="230"/>
      <c r="G1938" s="230"/>
      <c r="H1938" s="230"/>
      <c r="I1938" s="230"/>
      <c r="J1938" s="230"/>
      <c r="K1938" s="230"/>
      <c r="L1938" s="230"/>
      <c r="M1938" s="230"/>
      <c r="N1938" s="230"/>
      <c r="O1938" s="230"/>
      <c r="P1938" s="230"/>
      <c r="Q1938" s="230"/>
      <c r="R1938" s="230"/>
      <c r="S1938" s="230"/>
      <c r="T1938" s="230"/>
      <c r="U1938" s="230"/>
      <c r="V1938" s="230"/>
      <c r="W1938" s="230"/>
      <c r="X1938" s="230"/>
      <c r="Y1938" s="230"/>
      <c r="Z1938" s="230"/>
      <c r="AA1938" s="230"/>
      <c r="AB1938" s="230"/>
      <c r="AC1938" s="230"/>
      <c r="AD1938" s="230"/>
    </row>
    <row r="1939" spans="1:30" ht="15.75" x14ac:dyDescent="0.25">
      <c r="A1939" s="230"/>
      <c r="B1939" s="234"/>
      <c r="C1939" s="234"/>
      <c r="D1939" s="234"/>
      <c r="E1939" s="230"/>
      <c r="F1939" s="230"/>
      <c r="G1939" s="230"/>
      <c r="H1939" s="230"/>
      <c r="I1939" s="230"/>
      <c r="J1939" s="230"/>
      <c r="K1939" s="230"/>
      <c r="L1939" s="230"/>
      <c r="M1939" s="230"/>
      <c r="N1939" s="230"/>
      <c r="O1939" s="230"/>
      <c r="P1939" s="230"/>
      <c r="Q1939" s="230"/>
      <c r="R1939" s="230"/>
      <c r="S1939" s="230"/>
      <c r="T1939" s="230"/>
      <c r="U1939" s="230"/>
      <c r="V1939" s="230"/>
      <c r="W1939" s="230"/>
      <c r="X1939" s="230"/>
      <c r="Y1939" s="230"/>
      <c r="Z1939" s="230"/>
      <c r="AA1939" s="230"/>
      <c r="AB1939" s="230"/>
      <c r="AC1939" s="230"/>
      <c r="AD1939" s="230"/>
    </row>
    <row r="1940" spans="1:30" ht="15.75" x14ac:dyDescent="0.25">
      <c r="A1940" s="230"/>
      <c r="B1940" s="234"/>
      <c r="C1940" s="234"/>
      <c r="D1940" s="234"/>
      <c r="E1940" s="230"/>
      <c r="F1940" s="230"/>
      <c r="G1940" s="230"/>
      <c r="H1940" s="230"/>
      <c r="I1940" s="230"/>
      <c r="J1940" s="230"/>
      <c r="K1940" s="230"/>
      <c r="L1940" s="230"/>
      <c r="M1940" s="230"/>
      <c r="N1940" s="230"/>
      <c r="O1940" s="230"/>
      <c r="P1940" s="230"/>
      <c r="Q1940" s="230"/>
      <c r="R1940" s="230"/>
      <c r="S1940" s="230"/>
      <c r="T1940" s="230"/>
      <c r="U1940" s="230"/>
      <c r="V1940" s="230"/>
      <c r="W1940" s="230"/>
      <c r="X1940" s="230"/>
      <c r="Y1940" s="230"/>
      <c r="Z1940" s="230"/>
      <c r="AA1940" s="230"/>
      <c r="AB1940" s="230"/>
      <c r="AC1940" s="230"/>
      <c r="AD1940" s="230"/>
    </row>
    <row r="1941" spans="1:30" ht="15.75" x14ac:dyDescent="0.25">
      <c r="A1941" s="230"/>
      <c r="B1941" s="234"/>
      <c r="C1941" s="234"/>
      <c r="D1941" s="234"/>
      <c r="E1941" s="230"/>
      <c r="F1941" s="230"/>
      <c r="G1941" s="230"/>
      <c r="H1941" s="230"/>
      <c r="I1941" s="230"/>
      <c r="J1941" s="230"/>
      <c r="K1941" s="230"/>
      <c r="L1941" s="230"/>
      <c r="M1941" s="230"/>
      <c r="N1941" s="230"/>
      <c r="O1941" s="230"/>
      <c r="P1941" s="230"/>
      <c r="Q1941" s="230"/>
      <c r="R1941" s="230"/>
      <c r="S1941" s="230"/>
      <c r="T1941" s="230"/>
      <c r="U1941" s="230"/>
      <c r="V1941" s="230"/>
      <c r="W1941" s="230"/>
      <c r="X1941" s="230"/>
      <c r="Y1941" s="230"/>
      <c r="Z1941" s="230"/>
      <c r="AA1941" s="230"/>
      <c r="AB1941" s="230"/>
      <c r="AC1941" s="230"/>
      <c r="AD1941" s="230"/>
    </row>
    <row r="1942" spans="1:30" ht="15.75" x14ac:dyDescent="0.25">
      <c r="A1942" s="230"/>
      <c r="B1942" s="234"/>
      <c r="C1942" s="234"/>
      <c r="D1942" s="234"/>
      <c r="E1942" s="230"/>
      <c r="F1942" s="230"/>
      <c r="G1942" s="230"/>
      <c r="H1942" s="230"/>
      <c r="I1942" s="230"/>
      <c r="J1942" s="230"/>
      <c r="K1942" s="230"/>
      <c r="L1942" s="230"/>
      <c r="M1942" s="230"/>
      <c r="N1942" s="230"/>
      <c r="O1942" s="230"/>
      <c r="P1942" s="230"/>
      <c r="Q1942" s="230"/>
      <c r="R1942" s="230"/>
      <c r="S1942" s="230"/>
      <c r="T1942" s="230"/>
      <c r="U1942" s="230"/>
      <c r="V1942" s="230"/>
      <c r="W1942" s="230"/>
      <c r="X1942" s="230"/>
      <c r="Y1942" s="230"/>
      <c r="Z1942" s="230"/>
      <c r="AA1942" s="230"/>
      <c r="AB1942" s="230"/>
      <c r="AC1942" s="230"/>
      <c r="AD1942" s="230"/>
    </row>
    <row r="1943" spans="1:30" ht="15.75" x14ac:dyDescent="0.25">
      <c r="A1943" s="230"/>
      <c r="B1943" s="234"/>
      <c r="C1943" s="234"/>
      <c r="D1943" s="234"/>
      <c r="E1943" s="230"/>
      <c r="F1943" s="230"/>
      <c r="G1943" s="230"/>
      <c r="H1943" s="230"/>
      <c r="I1943" s="230"/>
      <c r="J1943" s="230"/>
      <c r="K1943" s="230"/>
      <c r="L1943" s="230"/>
      <c r="M1943" s="230"/>
      <c r="N1943" s="230"/>
      <c r="O1943" s="230"/>
      <c r="P1943" s="230"/>
      <c r="Q1943" s="230"/>
      <c r="R1943" s="230"/>
      <c r="S1943" s="230"/>
      <c r="T1943" s="230"/>
      <c r="U1943" s="230"/>
      <c r="V1943" s="230"/>
      <c r="W1943" s="230"/>
      <c r="X1943" s="230"/>
      <c r="Y1943" s="230"/>
      <c r="Z1943" s="230"/>
      <c r="AA1943" s="230"/>
      <c r="AB1943" s="230"/>
      <c r="AC1943" s="230"/>
      <c r="AD1943" s="230"/>
    </row>
    <row r="1944" spans="1:30" ht="15.75" x14ac:dyDescent="0.25">
      <c r="A1944" s="230"/>
      <c r="B1944" s="234"/>
      <c r="C1944" s="234"/>
      <c r="D1944" s="234"/>
      <c r="E1944" s="230"/>
      <c r="F1944" s="230"/>
      <c r="G1944" s="230"/>
      <c r="H1944" s="230"/>
      <c r="I1944" s="230"/>
      <c r="J1944" s="230"/>
      <c r="K1944" s="230"/>
      <c r="L1944" s="230"/>
      <c r="M1944" s="230"/>
      <c r="N1944" s="230"/>
      <c r="O1944" s="230"/>
      <c r="P1944" s="230"/>
      <c r="Q1944" s="230"/>
      <c r="R1944" s="230"/>
      <c r="S1944" s="230"/>
      <c r="T1944" s="230"/>
      <c r="U1944" s="230"/>
      <c r="V1944" s="230"/>
      <c r="W1944" s="230"/>
      <c r="X1944" s="230"/>
      <c r="Y1944" s="230"/>
      <c r="Z1944" s="230"/>
      <c r="AA1944" s="230"/>
      <c r="AB1944" s="230"/>
      <c r="AC1944" s="230"/>
      <c r="AD1944" s="230"/>
    </row>
    <row r="1945" spans="1:30" ht="15.75" x14ac:dyDescent="0.25">
      <c r="A1945" s="230"/>
      <c r="B1945" s="234"/>
      <c r="C1945" s="234"/>
      <c r="D1945" s="234"/>
      <c r="E1945" s="230"/>
      <c r="F1945" s="230"/>
      <c r="G1945" s="230"/>
      <c r="H1945" s="230"/>
      <c r="I1945" s="230"/>
      <c r="J1945" s="230"/>
      <c r="K1945" s="230"/>
      <c r="L1945" s="230"/>
      <c r="M1945" s="230"/>
      <c r="N1945" s="230"/>
      <c r="O1945" s="230"/>
      <c r="P1945" s="230"/>
      <c r="Q1945" s="230"/>
      <c r="R1945" s="230"/>
      <c r="S1945" s="230"/>
      <c r="T1945" s="230"/>
      <c r="U1945" s="230"/>
      <c r="V1945" s="230"/>
      <c r="W1945" s="230"/>
      <c r="X1945" s="230"/>
      <c r="Y1945" s="230"/>
      <c r="Z1945" s="230"/>
      <c r="AA1945" s="230"/>
      <c r="AB1945" s="230"/>
      <c r="AC1945" s="230"/>
      <c r="AD1945" s="230"/>
    </row>
    <row r="1946" spans="1:30" ht="15.75" x14ac:dyDescent="0.25">
      <c r="A1946" s="230"/>
      <c r="B1946" s="234"/>
      <c r="C1946" s="234"/>
      <c r="D1946" s="234"/>
      <c r="E1946" s="230"/>
      <c r="F1946" s="230"/>
      <c r="G1946" s="230"/>
      <c r="H1946" s="230"/>
      <c r="I1946" s="230"/>
      <c r="J1946" s="230"/>
      <c r="K1946" s="230"/>
      <c r="L1946" s="230"/>
      <c r="M1946" s="230"/>
      <c r="N1946" s="230"/>
      <c r="O1946" s="230"/>
      <c r="P1946" s="230"/>
      <c r="Q1946" s="230"/>
      <c r="R1946" s="230"/>
      <c r="S1946" s="230"/>
      <c r="T1946" s="230"/>
      <c r="U1946" s="230"/>
      <c r="V1946" s="230"/>
      <c r="W1946" s="230"/>
      <c r="X1946" s="230"/>
      <c r="Y1946" s="230"/>
      <c r="Z1946" s="230"/>
      <c r="AA1946" s="230"/>
      <c r="AB1946" s="230"/>
      <c r="AC1946" s="230"/>
      <c r="AD1946" s="230"/>
    </row>
    <row r="1947" spans="1:30" ht="15.75" x14ac:dyDescent="0.25">
      <c r="A1947" s="230"/>
      <c r="B1947" s="234"/>
      <c r="C1947" s="234"/>
      <c r="D1947" s="234"/>
      <c r="E1947" s="230"/>
      <c r="F1947" s="230"/>
      <c r="G1947" s="230"/>
      <c r="H1947" s="230"/>
      <c r="I1947" s="230"/>
      <c r="J1947" s="230"/>
      <c r="K1947" s="230"/>
      <c r="L1947" s="230"/>
      <c r="M1947" s="230"/>
      <c r="N1947" s="230"/>
      <c r="O1947" s="230"/>
      <c r="P1947" s="230"/>
      <c r="Q1947" s="230"/>
      <c r="R1947" s="230"/>
      <c r="S1947" s="230"/>
      <c r="T1947" s="230"/>
      <c r="U1947" s="230"/>
      <c r="V1947" s="230"/>
      <c r="W1947" s="230"/>
      <c r="X1947" s="230"/>
      <c r="Y1947" s="230"/>
      <c r="Z1947" s="230"/>
      <c r="AA1947" s="230"/>
      <c r="AB1947" s="230"/>
      <c r="AC1947" s="230"/>
      <c r="AD1947" s="230"/>
    </row>
    <row r="1948" spans="1:30" ht="15.75" x14ac:dyDescent="0.25">
      <c r="A1948" s="230"/>
      <c r="B1948" s="234"/>
      <c r="C1948" s="234"/>
      <c r="D1948" s="234"/>
      <c r="E1948" s="230"/>
      <c r="F1948" s="230"/>
      <c r="G1948" s="230"/>
      <c r="H1948" s="230"/>
      <c r="I1948" s="230"/>
      <c r="J1948" s="230"/>
      <c r="K1948" s="230"/>
      <c r="L1948" s="230"/>
      <c r="M1948" s="230"/>
      <c r="N1948" s="230"/>
      <c r="O1948" s="230"/>
      <c r="P1948" s="230"/>
      <c r="Q1948" s="230"/>
      <c r="R1948" s="230"/>
      <c r="S1948" s="230"/>
      <c r="T1948" s="230"/>
      <c r="U1948" s="230"/>
      <c r="V1948" s="230"/>
      <c r="W1948" s="230"/>
      <c r="X1948" s="230"/>
      <c r="Y1948" s="230"/>
      <c r="Z1948" s="230"/>
      <c r="AA1948" s="230"/>
      <c r="AB1948" s="230"/>
      <c r="AC1948" s="230"/>
      <c r="AD1948" s="230"/>
    </row>
    <row r="1949" spans="1:30" ht="15.75" x14ac:dyDescent="0.25">
      <c r="A1949" s="230"/>
      <c r="B1949" s="234"/>
      <c r="C1949" s="234"/>
      <c r="D1949" s="234"/>
      <c r="E1949" s="230"/>
      <c r="F1949" s="230"/>
      <c r="G1949" s="230"/>
      <c r="H1949" s="230"/>
      <c r="I1949" s="230"/>
      <c r="J1949" s="230"/>
      <c r="K1949" s="230"/>
      <c r="L1949" s="230"/>
      <c r="M1949" s="230"/>
      <c r="N1949" s="230"/>
      <c r="O1949" s="230"/>
      <c r="P1949" s="230"/>
      <c r="Q1949" s="230"/>
      <c r="R1949" s="230"/>
      <c r="S1949" s="230"/>
      <c r="T1949" s="230"/>
      <c r="U1949" s="230"/>
      <c r="V1949" s="230"/>
      <c r="W1949" s="230"/>
      <c r="X1949" s="230"/>
      <c r="Y1949" s="230"/>
      <c r="Z1949" s="230"/>
      <c r="AA1949" s="230"/>
      <c r="AB1949" s="230"/>
      <c r="AC1949" s="230"/>
      <c r="AD1949" s="230"/>
    </row>
    <row r="1950" spans="1:30" ht="15.75" x14ac:dyDescent="0.25">
      <c r="A1950" s="230"/>
      <c r="B1950" s="234"/>
      <c r="C1950" s="234"/>
      <c r="D1950" s="234"/>
      <c r="E1950" s="230"/>
      <c r="F1950" s="230"/>
      <c r="G1950" s="230"/>
      <c r="H1950" s="230"/>
      <c r="I1950" s="230"/>
      <c r="J1950" s="230"/>
      <c r="K1950" s="230"/>
      <c r="L1950" s="230"/>
      <c r="M1950" s="230"/>
      <c r="N1950" s="230"/>
      <c r="O1950" s="230"/>
      <c r="P1950" s="230"/>
      <c r="Q1950" s="230"/>
      <c r="R1950" s="230"/>
      <c r="S1950" s="230"/>
      <c r="T1950" s="230"/>
      <c r="U1950" s="230"/>
      <c r="V1950" s="230"/>
      <c r="W1950" s="230"/>
      <c r="X1950" s="230"/>
      <c r="Y1950" s="230"/>
      <c r="Z1950" s="230"/>
      <c r="AA1950" s="230"/>
      <c r="AB1950" s="230"/>
      <c r="AC1950" s="230"/>
      <c r="AD1950" s="230"/>
    </row>
    <row r="1951" spans="1:30" ht="15.75" x14ac:dyDescent="0.25">
      <c r="A1951" s="230"/>
      <c r="B1951" s="234"/>
      <c r="C1951" s="234"/>
      <c r="D1951" s="234"/>
      <c r="E1951" s="230"/>
      <c r="F1951" s="230"/>
      <c r="G1951" s="230"/>
      <c r="H1951" s="230"/>
      <c r="I1951" s="230"/>
      <c r="J1951" s="230"/>
      <c r="K1951" s="230"/>
      <c r="L1951" s="230"/>
      <c r="M1951" s="230"/>
      <c r="N1951" s="230"/>
      <c r="O1951" s="230"/>
      <c r="P1951" s="230"/>
      <c r="Q1951" s="230"/>
      <c r="R1951" s="230"/>
      <c r="S1951" s="230"/>
      <c r="T1951" s="230"/>
      <c r="U1951" s="230"/>
      <c r="V1951" s="230"/>
      <c r="W1951" s="230"/>
      <c r="X1951" s="230"/>
      <c r="Y1951" s="230"/>
      <c r="Z1951" s="230"/>
      <c r="AA1951" s="230"/>
      <c r="AB1951" s="230"/>
      <c r="AC1951" s="230"/>
      <c r="AD1951" s="230"/>
    </row>
    <row r="1952" spans="1:30" ht="15.75" x14ac:dyDescent="0.25">
      <c r="A1952" s="230"/>
      <c r="B1952" s="234"/>
      <c r="C1952" s="234"/>
      <c r="D1952" s="234"/>
      <c r="E1952" s="230"/>
      <c r="F1952" s="230"/>
      <c r="G1952" s="230"/>
      <c r="H1952" s="230"/>
      <c r="I1952" s="230"/>
      <c r="J1952" s="230"/>
      <c r="K1952" s="230"/>
      <c r="L1952" s="230"/>
      <c r="M1952" s="230"/>
      <c r="N1952" s="230"/>
      <c r="O1952" s="230"/>
      <c r="P1952" s="230"/>
      <c r="Q1952" s="230"/>
      <c r="R1952" s="230"/>
      <c r="S1952" s="230"/>
      <c r="T1952" s="230"/>
      <c r="U1952" s="230"/>
      <c r="V1952" s="230"/>
      <c r="W1952" s="230"/>
      <c r="X1952" s="230"/>
      <c r="Y1952" s="230"/>
      <c r="Z1952" s="230"/>
      <c r="AA1952" s="230"/>
      <c r="AB1952" s="230"/>
      <c r="AC1952" s="230"/>
      <c r="AD1952" s="230"/>
    </row>
    <row r="1953" spans="1:30" ht="15.75" x14ac:dyDescent="0.25">
      <c r="A1953" s="230"/>
      <c r="B1953" s="234"/>
      <c r="C1953" s="234"/>
      <c r="D1953" s="234"/>
      <c r="E1953" s="230"/>
      <c r="F1953" s="230"/>
      <c r="G1953" s="230"/>
      <c r="H1953" s="230"/>
      <c r="I1953" s="230"/>
      <c r="J1953" s="230"/>
      <c r="K1953" s="230"/>
      <c r="L1953" s="230"/>
      <c r="M1953" s="230"/>
      <c r="N1953" s="230"/>
      <c r="O1953" s="230"/>
      <c r="P1953" s="230"/>
      <c r="Q1953" s="230"/>
      <c r="R1953" s="230"/>
      <c r="S1953" s="230"/>
      <c r="T1953" s="230"/>
      <c r="U1953" s="230"/>
      <c r="V1953" s="230"/>
      <c r="W1953" s="230"/>
      <c r="X1953" s="230"/>
      <c r="Y1953" s="230"/>
      <c r="Z1953" s="230"/>
      <c r="AA1953" s="230"/>
      <c r="AB1953" s="230"/>
      <c r="AC1953" s="230"/>
      <c r="AD1953" s="230"/>
    </row>
    <row r="1954" spans="1:30" ht="15.75" x14ac:dyDescent="0.25">
      <c r="A1954" s="230"/>
      <c r="B1954" s="234"/>
      <c r="C1954" s="234"/>
      <c r="D1954" s="234"/>
      <c r="E1954" s="230"/>
      <c r="F1954" s="230"/>
      <c r="G1954" s="230"/>
      <c r="H1954" s="230"/>
      <c r="I1954" s="230"/>
      <c r="J1954" s="230"/>
      <c r="K1954" s="230"/>
      <c r="L1954" s="230"/>
      <c r="M1954" s="230"/>
      <c r="N1954" s="230"/>
      <c r="O1954" s="230"/>
      <c r="P1954" s="230"/>
      <c r="Q1954" s="230"/>
      <c r="R1954" s="230"/>
      <c r="S1954" s="230"/>
      <c r="T1954" s="230"/>
      <c r="U1954" s="230"/>
      <c r="V1954" s="230"/>
      <c r="W1954" s="230"/>
      <c r="X1954" s="230"/>
      <c r="Y1954" s="230"/>
      <c r="Z1954" s="230"/>
      <c r="AA1954" s="230"/>
      <c r="AB1954" s="230"/>
      <c r="AC1954" s="230"/>
      <c r="AD1954" s="230"/>
    </row>
    <row r="1955" spans="1:30" ht="15.75" x14ac:dyDescent="0.25">
      <c r="A1955" s="230"/>
      <c r="B1955" s="234"/>
      <c r="C1955" s="234"/>
      <c r="D1955" s="234"/>
      <c r="E1955" s="230"/>
      <c r="F1955" s="230"/>
      <c r="G1955" s="230"/>
      <c r="H1955" s="230"/>
      <c r="I1955" s="230"/>
      <c r="J1955" s="230"/>
      <c r="K1955" s="230"/>
      <c r="L1955" s="230"/>
      <c r="M1955" s="230"/>
      <c r="N1955" s="230"/>
      <c r="O1955" s="230"/>
      <c r="P1955" s="230"/>
      <c r="Q1955" s="230"/>
      <c r="R1955" s="230"/>
      <c r="S1955" s="230"/>
      <c r="T1955" s="230"/>
      <c r="U1955" s="230"/>
      <c r="V1955" s="230"/>
      <c r="W1955" s="230"/>
      <c r="X1955" s="230"/>
      <c r="Y1955" s="230"/>
      <c r="Z1955" s="230"/>
      <c r="AA1955" s="230"/>
      <c r="AB1955" s="230"/>
      <c r="AC1955" s="230"/>
      <c r="AD1955" s="230"/>
    </row>
    <row r="1956" spans="1:30" ht="15.75" x14ac:dyDescent="0.25">
      <c r="A1956" s="230"/>
      <c r="B1956" s="234"/>
      <c r="C1956" s="234"/>
      <c r="D1956" s="234"/>
      <c r="E1956" s="230"/>
      <c r="F1956" s="230"/>
      <c r="G1956" s="230"/>
      <c r="H1956" s="230"/>
      <c r="I1956" s="230"/>
      <c r="J1956" s="230"/>
      <c r="K1956" s="230"/>
      <c r="L1956" s="230"/>
      <c r="M1956" s="230"/>
      <c r="N1956" s="230"/>
      <c r="O1956" s="230"/>
      <c r="P1956" s="230"/>
      <c r="Q1956" s="230"/>
      <c r="R1956" s="230"/>
      <c r="S1956" s="230"/>
      <c r="T1956" s="230"/>
      <c r="U1956" s="230"/>
      <c r="V1956" s="230"/>
      <c r="W1956" s="230"/>
      <c r="X1956" s="230"/>
      <c r="Y1956" s="230"/>
      <c r="Z1956" s="230"/>
      <c r="AA1956" s="230"/>
      <c r="AB1956" s="230"/>
      <c r="AC1956" s="230"/>
      <c r="AD1956" s="230"/>
    </row>
    <row r="1957" spans="1:30" ht="15.75" x14ac:dyDescent="0.25">
      <c r="A1957" s="230"/>
      <c r="B1957" s="234"/>
      <c r="C1957" s="234"/>
      <c r="D1957" s="234"/>
      <c r="E1957" s="230"/>
      <c r="F1957" s="230"/>
      <c r="G1957" s="230"/>
      <c r="H1957" s="230"/>
      <c r="I1957" s="230"/>
      <c r="J1957" s="230"/>
      <c r="K1957" s="230"/>
      <c r="L1957" s="230"/>
      <c r="M1957" s="230"/>
      <c r="N1957" s="230"/>
      <c r="O1957" s="230"/>
      <c r="P1957" s="230"/>
      <c r="Q1957" s="230"/>
      <c r="R1957" s="230"/>
      <c r="S1957" s="230"/>
      <c r="T1957" s="230"/>
      <c r="U1957" s="230"/>
      <c r="V1957" s="230"/>
      <c r="W1957" s="230"/>
      <c r="X1957" s="230"/>
      <c r="Y1957" s="230"/>
      <c r="Z1957" s="230"/>
      <c r="AA1957" s="230"/>
      <c r="AB1957" s="230"/>
      <c r="AC1957" s="230"/>
      <c r="AD1957" s="230"/>
    </row>
    <row r="1958" spans="1:30" ht="15.75" x14ac:dyDescent="0.25">
      <c r="A1958" s="230"/>
      <c r="B1958" s="234"/>
      <c r="C1958" s="234"/>
      <c r="D1958" s="234"/>
      <c r="E1958" s="230"/>
      <c r="F1958" s="230"/>
      <c r="G1958" s="230"/>
      <c r="H1958" s="230"/>
      <c r="I1958" s="230"/>
      <c r="J1958" s="230"/>
      <c r="K1958" s="230"/>
      <c r="L1958" s="230"/>
      <c r="M1958" s="230"/>
      <c r="N1958" s="230"/>
      <c r="O1958" s="230"/>
      <c r="P1958" s="230"/>
      <c r="Q1958" s="230"/>
      <c r="R1958" s="230"/>
      <c r="S1958" s="230"/>
      <c r="T1958" s="230"/>
      <c r="U1958" s="230"/>
      <c r="V1958" s="230"/>
      <c r="W1958" s="230"/>
      <c r="X1958" s="230"/>
      <c r="Y1958" s="230"/>
      <c r="Z1958" s="230"/>
      <c r="AA1958" s="230"/>
      <c r="AB1958" s="230"/>
      <c r="AC1958" s="230"/>
      <c r="AD1958" s="230"/>
    </row>
    <row r="1959" spans="1:30" ht="15.75" x14ac:dyDescent="0.25">
      <c r="A1959" s="230"/>
      <c r="B1959" s="234"/>
      <c r="C1959" s="234"/>
      <c r="D1959" s="234"/>
      <c r="E1959" s="230"/>
      <c r="F1959" s="230"/>
      <c r="G1959" s="230"/>
      <c r="H1959" s="230"/>
      <c r="I1959" s="230"/>
      <c r="J1959" s="230"/>
      <c r="K1959" s="230"/>
      <c r="L1959" s="230"/>
      <c r="M1959" s="230"/>
      <c r="N1959" s="230"/>
      <c r="O1959" s="230"/>
      <c r="P1959" s="230"/>
      <c r="Q1959" s="230"/>
      <c r="R1959" s="230"/>
      <c r="S1959" s="230"/>
      <c r="T1959" s="230"/>
      <c r="U1959" s="230"/>
      <c r="V1959" s="230"/>
      <c r="W1959" s="230"/>
      <c r="X1959" s="230"/>
      <c r="Y1959" s="230"/>
      <c r="Z1959" s="230"/>
      <c r="AA1959" s="230"/>
      <c r="AB1959" s="230"/>
      <c r="AC1959" s="230"/>
      <c r="AD1959" s="230"/>
    </row>
    <row r="1960" spans="1:30" ht="15.75" x14ac:dyDescent="0.25">
      <c r="A1960" s="230"/>
      <c r="B1960" s="234"/>
      <c r="C1960" s="234"/>
      <c r="D1960" s="234"/>
      <c r="E1960" s="230"/>
      <c r="F1960" s="230"/>
      <c r="G1960" s="230"/>
      <c r="H1960" s="230"/>
      <c r="I1960" s="230"/>
      <c r="J1960" s="230"/>
      <c r="K1960" s="230"/>
      <c r="L1960" s="230"/>
      <c r="M1960" s="230"/>
      <c r="N1960" s="230"/>
      <c r="O1960" s="230"/>
      <c r="P1960" s="230"/>
      <c r="Q1960" s="230"/>
      <c r="R1960" s="230"/>
      <c r="S1960" s="230"/>
      <c r="T1960" s="230"/>
      <c r="U1960" s="230"/>
      <c r="V1960" s="230"/>
      <c r="W1960" s="230"/>
      <c r="X1960" s="230"/>
      <c r="Y1960" s="230"/>
      <c r="Z1960" s="230"/>
      <c r="AA1960" s="230"/>
      <c r="AB1960" s="230"/>
      <c r="AC1960" s="230"/>
      <c r="AD1960" s="230"/>
    </row>
    <row r="1961" spans="1:30" ht="15.75" x14ac:dyDescent="0.25">
      <c r="A1961" s="230"/>
      <c r="B1961" s="234"/>
      <c r="C1961" s="234"/>
      <c r="D1961" s="234"/>
      <c r="E1961" s="230"/>
      <c r="F1961" s="230"/>
      <c r="G1961" s="230"/>
      <c r="H1961" s="230"/>
      <c r="I1961" s="230"/>
      <c r="J1961" s="230"/>
      <c r="K1961" s="230"/>
      <c r="L1961" s="230"/>
      <c r="M1961" s="230"/>
      <c r="N1961" s="230"/>
      <c r="O1961" s="230"/>
      <c r="P1961" s="230"/>
      <c r="Q1961" s="230"/>
      <c r="R1961" s="230"/>
      <c r="S1961" s="230"/>
      <c r="T1961" s="230"/>
      <c r="U1961" s="230"/>
      <c r="V1961" s="230"/>
      <c r="W1961" s="230"/>
      <c r="X1961" s="230"/>
      <c r="Y1961" s="230"/>
      <c r="Z1961" s="230"/>
      <c r="AA1961" s="230"/>
      <c r="AB1961" s="230"/>
      <c r="AC1961" s="230"/>
      <c r="AD1961" s="230"/>
    </row>
    <row r="1962" spans="1:30" ht="15.75" x14ac:dyDescent="0.25">
      <c r="A1962" s="230"/>
      <c r="B1962" s="234"/>
      <c r="C1962" s="234"/>
      <c r="D1962" s="234"/>
      <c r="E1962" s="230"/>
      <c r="F1962" s="230"/>
      <c r="G1962" s="230"/>
      <c r="H1962" s="230"/>
      <c r="I1962" s="230"/>
      <c r="J1962" s="230"/>
      <c r="K1962" s="230"/>
      <c r="L1962" s="230"/>
      <c r="M1962" s="230"/>
      <c r="N1962" s="230"/>
      <c r="O1962" s="230"/>
      <c r="P1962" s="230"/>
      <c r="Q1962" s="230"/>
      <c r="R1962" s="230"/>
      <c r="S1962" s="230"/>
      <c r="T1962" s="230"/>
      <c r="U1962" s="230"/>
      <c r="V1962" s="230"/>
      <c r="W1962" s="230"/>
      <c r="X1962" s="230"/>
      <c r="Y1962" s="230"/>
      <c r="Z1962" s="230"/>
      <c r="AA1962" s="230"/>
      <c r="AB1962" s="230"/>
      <c r="AC1962" s="230"/>
      <c r="AD1962" s="230"/>
    </row>
    <row r="1963" spans="1:30" ht="15.75" x14ac:dyDescent="0.25">
      <c r="A1963" s="230"/>
      <c r="B1963" s="234"/>
      <c r="C1963" s="234"/>
      <c r="D1963" s="234"/>
      <c r="E1963" s="230"/>
      <c r="F1963" s="230"/>
      <c r="G1963" s="230"/>
      <c r="H1963" s="230"/>
      <c r="I1963" s="230"/>
      <c r="J1963" s="230"/>
      <c r="K1963" s="230"/>
      <c r="L1963" s="230"/>
      <c r="M1963" s="230"/>
      <c r="N1963" s="230"/>
      <c r="O1963" s="230"/>
      <c r="P1963" s="230"/>
      <c r="Q1963" s="230"/>
      <c r="R1963" s="230"/>
      <c r="S1963" s="230"/>
      <c r="T1963" s="230"/>
      <c r="U1963" s="230"/>
      <c r="V1963" s="230"/>
      <c r="W1963" s="230"/>
      <c r="X1963" s="230"/>
      <c r="Y1963" s="230"/>
      <c r="Z1963" s="230"/>
      <c r="AA1963" s="230"/>
      <c r="AB1963" s="230"/>
      <c r="AC1963" s="230"/>
      <c r="AD1963" s="230"/>
    </row>
    <row r="1964" spans="1:30" ht="15.75" x14ac:dyDescent="0.25">
      <c r="A1964" s="230"/>
      <c r="B1964" s="234"/>
      <c r="C1964" s="234"/>
      <c r="D1964" s="234"/>
      <c r="E1964" s="230"/>
      <c r="F1964" s="230"/>
      <c r="G1964" s="230"/>
      <c r="H1964" s="230"/>
      <c r="I1964" s="230"/>
      <c r="J1964" s="230"/>
      <c r="K1964" s="230"/>
      <c r="L1964" s="230"/>
      <c r="M1964" s="230"/>
      <c r="N1964" s="230"/>
      <c r="O1964" s="230"/>
      <c r="P1964" s="230"/>
      <c r="Q1964" s="230"/>
      <c r="R1964" s="230"/>
      <c r="S1964" s="230"/>
      <c r="T1964" s="230"/>
      <c r="U1964" s="230"/>
      <c r="V1964" s="230"/>
      <c r="W1964" s="230"/>
      <c r="X1964" s="230"/>
      <c r="Y1964" s="230"/>
      <c r="Z1964" s="230"/>
      <c r="AA1964" s="230"/>
      <c r="AB1964" s="230"/>
      <c r="AC1964" s="230"/>
      <c r="AD1964" s="230"/>
    </row>
    <row r="1965" spans="1:30" ht="15.75" x14ac:dyDescent="0.25">
      <c r="A1965" s="230"/>
      <c r="B1965" s="234"/>
      <c r="C1965" s="234"/>
      <c r="D1965" s="234"/>
      <c r="E1965" s="230"/>
      <c r="F1965" s="230"/>
      <c r="G1965" s="230"/>
      <c r="H1965" s="230"/>
      <c r="I1965" s="230"/>
      <c r="J1965" s="230"/>
      <c r="K1965" s="230"/>
      <c r="L1965" s="230"/>
      <c r="M1965" s="230"/>
      <c r="N1965" s="230"/>
      <c r="O1965" s="230"/>
      <c r="P1965" s="230"/>
      <c r="Q1965" s="230"/>
      <c r="R1965" s="230"/>
      <c r="S1965" s="230"/>
      <c r="T1965" s="230"/>
      <c r="U1965" s="230"/>
      <c r="V1965" s="230"/>
      <c r="W1965" s="230"/>
      <c r="X1965" s="230"/>
      <c r="Y1965" s="230"/>
      <c r="Z1965" s="230"/>
      <c r="AA1965" s="230"/>
      <c r="AB1965" s="230"/>
      <c r="AC1965" s="230"/>
      <c r="AD1965" s="230"/>
    </row>
    <row r="1966" spans="1:30" ht="15.75" x14ac:dyDescent="0.25">
      <c r="A1966" s="230"/>
      <c r="B1966" s="234"/>
      <c r="C1966" s="234"/>
      <c r="D1966" s="234"/>
      <c r="E1966" s="230"/>
      <c r="F1966" s="230"/>
      <c r="G1966" s="230"/>
      <c r="H1966" s="230"/>
      <c r="I1966" s="230"/>
      <c r="J1966" s="230"/>
      <c r="K1966" s="230"/>
      <c r="L1966" s="230"/>
      <c r="M1966" s="230"/>
      <c r="N1966" s="230"/>
      <c r="O1966" s="230"/>
      <c r="P1966" s="230"/>
      <c r="Q1966" s="230"/>
      <c r="R1966" s="230"/>
      <c r="S1966" s="230"/>
      <c r="T1966" s="230"/>
      <c r="U1966" s="230"/>
      <c r="V1966" s="230"/>
      <c r="W1966" s="230"/>
      <c r="X1966" s="230"/>
      <c r="Y1966" s="230"/>
      <c r="Z1966" s="230"/>
      <c r="AA1966" s="230"/>
      <c r="AB1966" s="230"/>
      <c r="AC1966" s="230"/>
      <c r="AD1966" s="230"/>
    </row>
    <row r="1967" spans="1:30" ht="15.75" x14ac:dyDescent="0.25">
      <c r="A1967" s="230"/>
      <c r="B1967" s="234"/>
      <c r="C1967" s="234"/>
      <c r="D1967" s="234"/>
      <c r="E1967" s="230"/>
      <c r="F1967" s="230"/>
      <c r="G1967" s="230"/>
      <c r="H1967" s="230"/>
      <c r="I1967" s="230"/>
      <c r="J1967" s="230"/>
      <c r="K1967" s="230"/>
      <c r="L1967" s="230"/>
      <c r="M1967" s="230"/>
      <c r="N1967" s="230"/>
      <c r="O1967" s="230"/>
      <c r="P1967" s="230"/>
      <c r="Q1967" s="230"/>
      <c r="R1967" s="230"/>
      <c r="S1967" s="230"/>
      <c r="T1967" s="230"/>
      <c r="U1967" s="230"/>
      <c r="V1967" s="230"/>
      <c r="W1967" s="230"/>
      <c r="X1967" s="230"/>
      <c r="Y1967" s="230"/>
      <c r="Z1967" s="230"/>
      <c r="AA1967" s="230"/>
      <c r="AB1967" s="230"/>
      <c r="AC1967" s="230"/>
      <c r="AD1967" s="230"/>
    </row>
    <row r="1968" spans="1:30" ht="15.75" x14ac:dyDescent="0.25">
      <c r="A1968" s="230"/>
      <c r="B1968" s="234"/>
      <c r="C1968" s="234"/>
      <c r="D1968" s="234"/>
      <c r="E1968" s="230"/>
      <c r="F1968" s="230"/>
      <c r="G1968" s="230"/>
      <c r="H1968" s="230"/>
      <c r="I1968" s="230"/>
      <c r="J1968" s="230"/>
      <c r="K1968" s="230"/>
      <c r="L1968" s="230"/>
      <c r="M1968" s="230"/>
      <c r="N1968" s="230"/>
      <c r="O1968" s="230"/>
      <c r="P1968" s="230"/>
      <c r="Q1968" s="230"/>
      <c r="R1968" s="230"/>
      <c r="S1968" s="230"/>
      <c r="T1968" s="230"/>
      <c r="U1968" s="230"/>
      <c r="V1968" s="230"/>
      <c r="W1968" s="230"/>
      <c r="X1968" s="230"/>
      <c r="Y1968" s="230"/>
      <c r="Z1968" s="230"/>
      <c r="AA1968" s="230"/>
      <c r="AB1968" s="230"/>
      <c r="AC1968" s="230"/>
      <c r="AD1968" s="230"/>
    </row>
    <row r="1969" spans="1:30" ht="15.75" x14ac:dyDescent="0.25">
      <c r="A1969" s="230"/>
      <c r="B1969" s="234"/>
      <c r="C1969" s="234"/>
      <c r="D1969" s="234"/>
      <c r="E1969" s="230"/>
      <c r="F1969" s="230"/>
      <c r="G1969" s="230"/>
      <c r="H1969" s="230"/>
      <c r="I1969" s="230"/>
      <c r="J1969" s="230"/>
      <c r="K1969" s="230"/>
      <c r="L1969" s="230"/>
      <c r="M1969" s="230"/>
      <c r="N1969" s="230"/>
      <c r="O1969" s="230"/>
      <c r="P1969" s="230"/>
      <c r="Q1969" s="230"/>
      <c r="R1969" s="230"/>
      <c r="S1969" s="230"/>
      <c r="T1969" s="230"/>
      <c r="U1969" s="230"/>
      <c r="V1969" s="230"/>
      <c r="W1969" s="230"/>
      <c r="X1969" s="230"/>
      <c r="Y1969" s="230"/>
      <c r="Z1969" s="230"/>
      <c r="AA1969" s="230"/>
      <c r="AB1969" s="230"/>
      <c r="AC1969" s="230"/>
      <c r="AD1969" s="230"/>
    </row>
    <row r="1970" spans="1:30" ht="15.75" x14ac:dyDescent="0.25">
      <c r="A1970" s="230"/>
      <c r="B1970" s="234"/>
      <c r="C1970" s="234"/>
      <c r="D1970" s="234"/>
      <c r="E1970" s="230"/>
      <c r="F1970" s="230"/>
      <c r="G1970" s="230"/>
      <c r="H1970" s="230"/>
      <c r="I1970" s="230"/>
      <c r="J1970" s="230"/>
      <c r="K1970" s="230"/>
      <c r="L1970" s="230"/>
      <c r="M1970" s="230"/>
      <c r="N1970" s="230"/>
      <c r="O1970" s="230"/>
      <c r="P1970" s="230"/>
      <c r="Q1970" s="230"/>
      <c r="R1970" s="230"/>
      <c r="S1970" s="230"/>
      <c r="T1970" s="230"/>
      <c r="U1970" s="230"/>
      <c r="V1970" s="230"/>
      <c r="W1970" s="230"/>
      <c r="X1970" s="230"/>
      <c r="Y1970" s="230"/>
      <c r="Z1970" s="230"/>
      <c r="AA1970" s="230"/>
      <c r="AB1970" s="230"/>
      <c r="AC1970" s="230"/>
      <c r="AD1970" s="230"/>
    </row>
    <row r="1971" spans="1:30" ht="15.75" x14ac:dyDescent="0.25">
      <c r="A1971" s="230"/>
      <c r="B1971" s="234"/>
      <c r="C1971" s="234"/>
      <c r="D1971" s="234"/>
      <c r="E1971" s="230"/>
      <c r="F1971" s="230"/>
      <c r="G1971" s="230"/>
      <c r="H1971" s="230"/>
      <c r="I1971" s="230"/>
      <c r="J1971" s="230"/>
      <c r="K1971" s="230"/>
      <c r="L1971" s="230"/>
      <c r="M1971" s="230"/>
      <c r="N1971" s="230"/>
      <c r="O1971" s="230"/>
      <c r="P1971" s="230"/>
      <c r="Q1971" s="230"/>
      <c r="R1971" s="230"/>
      <c r="S1971" s="230"/>
      <c r="T1971" s="230"/>
      <c r="U1971" s="230"/>
      <c r="V1971" s="230"/>
      <c r="W1971" s="230"/>
      <c r="X1971" s="230"/>
      <c r="Y1971" s="230"/>
      <c r="Z1971" s="230"/>
      <c r="AA1971" s="230"/>
      <c r="AB1971" s="230"/>
      <c r="AC1971" s="230"/>
      <c r="AD1971" s="230"/>
    </row>
    <row r="1972" spans="1:30" ht="15.75" x14ac:dyDescent="0.25">
      <c r="A1972" s="230"/>
      <c r="B1972" s="234"/>
      <c r="C1972" s="234"/>
      <c r="D1972" s="234"/>
      <c r="E1972" s="230"/>
      <c r="F1972" s="230"/>
      <c r="G1972" s="230"/>
      <c r="H1972" s="230"/>
      <c r="I1972" s="230"/>
      <c r="J1972" s="230"/>
      <c r="K1972" s="230"/>
      <c r="L1972" s="230"/>
      <c r="M1972" s="230"/>
      <c r="N1972" s="230"/>
      <c r="O1972" s="230"/>
      <c r="P1972" s="230"/>
      <c r="Q1972" s="230"/>
      <c r="R1972" s="230"/>
      <c r="S1972" s="230"/>
      <c r="T1972" s="230"/>
      <c r="U1972" s="230"/>
      <c r="V1972" s="230"/>
      <c r="W1972" s="230"/>
      <c r="X1972" s="230"/>
      <c r="Y1972" s="230"/>
      <c r="Z1972" s="230"/>
      <c r="AA1972" s="230"/>
      <c r="AB1972" s="230"/>
      <c r="AC1972" s="230"/>
      <c r="AD1972" s="230"/>
    </row>
    <row r="1973" spans="1:30" ht="15.75" x14ac:dyDescent="0.25">
      <c r="A1973" s="230"/>
      <c r="B1973" s="234"/>
      <c r="C1973" s="234"/>
      <c r="D1973" s="234"/>
      <c r="E1973" s="230"/>
      <c r="F1973" s="230"/>
      <c r="G1973" s="230"/>
      <c r="H1973" s="230"/>
      <c r="I1973" s="230"/>
      <c r="J1973" s="230"/>
      <c r="K1973" s="230"/>
      <c r="L1973" s="230"/>
      <c r="M1973" s="230"/>
      <c r="N1973" s="230"/>
      <c r="O1973" s="230"/>
      <c r="P1973" s="230"/>
      <c r="Q1973" s="230"/>
      <c r="R1973" s="230"/>
      <c r="S1973" s="230"/>
      <c r="T1973" s="230"/>
      <c r="U1973" s="230"/>
      <c r="V1973" s="230"/>
      <c r="W1973" s="230"/>
      <c r="X1973" s="230"/>
      <c r="Y1973" s="230"/>
      <c r="Z1973" s="230"/>
      <c r="AA1973" s="230"/>
      <c r="AB1973" s="230"/>
      <c r="AC1973" s="230"/>
      <c r="AD1973" s="230"/>
    </row>
    <row r="1974" spans="1:30" ht="15.75" x14ac:dyDescent="0.25">
      <c r="A1974" s="230"/>
      <c r="B1974" s="234"/>
      <c r="C1974" s="234"/>
      <c r="D1974" s="234"/>
      <c r="E1974" s="230"/>
      <c r="F1974" s="230"/>
      <c r="G1974" s="230"/>
      <c r="H1974" s="230"/>
      <c r="I1974" s="230"/>
      <c r="J1974" s="230"/>
      <c r="K1974" s="230"/>
      <c r="L1974" s="230"/>
      <c r="M1974" s="230"/>
      <c r="N1974" s="230"/>
      <c r="O1974" s="230"/>
      <c r="P1974" s="230"/>
      <c r="Q1974" s="230"/>
      <c r="R1974" s="230"/>
      <c r="S1974" s="230"/>
      <c r="T1974" s="230"/>
      <c r="U1974" s="230"/>
      <c r="V1974" s="230"/>
      <c r="W1974" s="230"/>
      <c r="X1974" s="230"/>
      <c r="Y1974" s="230"/>
      <c r="Z1974" s="230"/>
      <c r="AA1974" s="230"/>
      <c r="AB1974" s="230"/>
      <c r="AC1974" s="230"/>
      <c r="AD1974" s="230"/>
    </row>
    <row r="1975" spans="1:30" ht="15.75" x14ac:dyDescent="0.25">
      <c r="A1975" s="230"/>
      <c r="B1975" s="234"/>
      <c r="C1975" s="234"/>
      <c r="D1975" s="234"/>
      <c r="E1975" s="230"/>
      <c r="F1975" s="230"/>
      <c r="G1975" s="230"/>
      <c r="H1975" s="230"/>
      <c r="I1975" s="230"/>
      <c r="J1975" s="230"/>
      <c r="K1975" s="230"/>
      <c r="L1975" s="230"/>
      <c r="M1975" s="230"/>
      <c r="N1975" s="230"/>
      <c r="O1975" s="230"/>
      <c r="P1975" s="230"/>
      <c r="Q1975" s="230"/>
      <c r="R1975" s="230"/>
      <c r="S1975" s="230"/>
      <c r="T1975" s="230"/>
      <c r="U1975" s="230"/>
      <c r="V1975" s="230"/>
      <c r="W1975" s="230"/>
      <c r="X1975" s="230"/>
      <c r="Y1975" s="230"/>
      <c r="Z1975" s="230"/>
      <c r="AA1975" s="230"/>
      <c r="AB1975" s="230"/>
      <c r="AC1975" s="230"/>
      <c r="AD1975" s="230"/>
    </row>
    <row r="1976" spans="1:30" ht="15.75" x14ac:dyDescent="0.25">
      <c r="A1976" s="230"/>
      <c r="B1976" s="234"/>
      <c r="C1976" s="234"/>
      <c r="D1976" s="234"/>
      <c r="E1976" s="230"/>
      <c r="F1976" s="230"/>
      <c r="G1976" s="230"/>
      <c r="H1976" s="230"/>
      <c r="I1976" s="230"/>
      <c r="J1976" s="230"/>
      <c r="K1976" s="230"/>
      <c r="L1976" s="230"/>
      <c r="M1976" s="230"/>
      <c r="N1976" s="230"/>
      <c r="O1976" s="230"/>
      <c r="P1976" s="230"/>
      <c r="Q1976" s="230"/>
      <c r="R1976" s="230"/>
      <c r="S1976" s="230"/>
      <c r="T1976" s="230"/>
      <c r="U1976" s="230"/>
      <c r="V1976" s="230"/>
      <c r="W1976" s="230"/>
      <c r="X1976" s="230"/>
      <c r="Y1976" s="230"/>
      <c r="Z1976" s="230"/>
      <c r="AA1976" s="230"/>
      <c r="AB1976" s="230"/>
      <c r="AC1976" s="230"/>
      <c r="AD1976" s="230"/>
    </row>
    <row r="1977" spans="1:30" ht="15.75" x14ac:dyDescent="0.25">
      <c r="A1977" s="230"/>
      <c r="B1977" s="234"/>
      <c r="C1977" s="234"/>
      <c r="D1977" s="234"/>
      <c r="E1977" s="230"/>
      <c r="F1977" s="230"/>
      <c r="G1977" s="230"/>
      <c r="H1977" s="230"/>
      <c r="I1977" s="230"/>
      <c r="J1977" s="230"/>
      <c r="K1977" s="230"/>
      <c r="L1977" s="230"/>
      <c r="M1977" s="230"/>
      <c r="N1977" s="230"/>
      <c r="O1977" s="230"/>
      <c r="P1977" s="230"/>
      <c r="Q1977" s="230"/>
      <c r="R1977" s="230"/>
      <c r="S1977" s="230"/>
      <c r="T1977" s="230"/>
      <c r="U1977" s="230"/>
      <c r="V1977" s="230"/>
      <c r="W1977" s="230"/>
      <c r="X1977" s="230"/>
      <c r="Y1977" s="230"/>
      <c r="Z1977" s="230"/>
      <c r="AA1977" s="230"/>
      <c r="AB1977" s="230"/>
      <c r="AC1977" s="230"/>
      <c r="AD1977" s="230"/>
    </row>
    <row r="1978" spans="1:30" ht="15.75" x14ac:dyDescent="0.25">
      <c r="A1978" s="230"/>
      <c r="B1978" s="234"/>
      <c r="C1978" s="234"/>
      <c r="D1978" s="234"/>
      <c r="E1978" s="230"/>
      <c r="F1978" s="230"/>
      <c r="G1978" s="230"/>
      <c r="H1978" s="230"/>
      <c r="I1978" s="230"/>
      <c r="J1978" s="230"/>
      <c r="K1978" s="230"/>
      <c r="L1978" s="230"/>
      <c r="M1978" s="230"/>
      <c r="N1978" s="230"/>
      <c r="O1978" s="230"/>
      <c r="P1978" s="230"/>
      <c r="Q1978" s="230"/>
      <c r="R1978" s="230"/>
      <c r="S1978" s="230"/>
      <c r="T1978" s="230"/>
      <c r="U1978" s="230"/>
      <c r="V1978" s="230"/>
      <c r="W1978" s="230"/>
      <c r="X1978" s="230"/>
      <c r="Y1978" s="230"/>
      <c r="Z1978" s="230"/>
      <c r="AA1978" s="230"/>
      <c r="AB1978" s="230"/>
      <c r="AC1978" s="230"/>
      <c r="AD1978" s="230"/>
    </row>
    <row r="1979" spans="1:30" ht="15.75" x14ac:dyDescent="0.25">
      <c r="A1979" s="230"/>
      <c r="B1979" s="234"/>
      <c r="C1979" s="234"/>
      <c r="D1979" s="234"/>
      <c r="E1979" s="230"/>
      <c r="F1979" s="230"/>
      <c r="G1979" s="230"/>
      <c r="H1979" s="230"/>
      <c r="I1979" s="230"/>
      <c r="J1979" s="230"/>
      <c r="K1979" s="230"/>
      <c r="L1979" s="230"/>
      <c r="M1979" s="230"/>
      <c r="N1979" s="230"/>
      <c r="O1979" s="230"/>
      <c r="P1979" s="230"/>
      <c r="Q1979" s="230"/>
      <c r="R1979" s="230"/>
      <c r="S1979" s="230"/>
      <c r="T1979" s="230"/>
      <c r="U1979" s="230"/>
      <c r="V1979" s="230"/>
      <c r="W1979" s="230"/>
      <c r="X1979" s="230"/>
      <c r="Y1979" s="230"/>
      <c r="Z1979" s="230"/>
      <c r="AA1979" s="230"/>
      <c r="AB1979" s="230"/>
      <c r="AC1979" s="230"/>
      <c r="AD1979" s="230"/>
    </row>
    <row r="1980" spans="1:30" ht="15.75" x14ac:dyDescent="0.25">
      <c r="A1980" s="230"/>
      <c r="B1980" s="234"/>
      <c r="C1980" s="234"/>
      <c r="D1980" s="234"/>
      <c r="E1980" s="230"/>
      <c r="F1980" s="230"/>
      <c r="G1980" s="230"/>
      <c r="H1980" s="230"/>
      <c r="I1980" s="230"/>
      <c r="J1980" s="230"/>
      <c r="K1980" s="230"/>
      <c r="L1980" s="230"/>
      <c r="M1980" s="230"/>
      <c r="N1980" s="230"/>
      <c r="O1980" s="230"/>
      <c r="P1980" s="230"/>
      <c r="Q1980" s="230"/>
      <c r="R1980" s="230"/>
      <c r="S1980" s="230"/>
      <c r="T1980" s="230"/>
      <c r="U1980" s="230"/>
      <c r="V1980" s="230"/>
      <c r="W1980" s="230"/>
      <c r="X1980" s="230"/>
      <c r="Y1980" s="230"/>
      <c r="Z1980" s="230"/>
      <c r="AA1980" s="230"/>
      <c r="AB1980" s="230"/>
      <c r="AC1980" s="230"/>
      <c r="AD1980" s="230"/>
    </row>
    <row r="1981" spans="1:30" ht="15.75" x14ac:dyDescent="0.25">
      <c r="A1981" s="230"/>
      <c r="B1981" s="234"/>
      <c r="C1981" s="234"/>
      <c r="D1981" s="234"/>
      <c r="E1981" s="230"/>
      <c r="F1981" s="230"/>
      <c r="G1981" s="230"/>
      <c r="H1981" s="230"/>
      <c r="I1981" s="230"/>
      <c r="J1981" s="230"/>
      <c r="K1981" s="230"/>
      <c r="L1981" s="230"/>
      <c r="M1981" s="230"/>
      <c r="N1981" s="230"/>
      <c r="O1981" s="230"/>
      <c r="P1981" s="230"/>
      <c r="Q1981" s="230"/>
      <c r="R1981" s="230"/>
      <c r="S1981" s="230"/>
      <c r="T1981" s="230"/>
      <c r="U1981" s="230"/>
      <c r="V1981" s="230"/>
      <c r="W1981" s="230"/>
      <c r="X1981" s="230"/>
      <c r="Y1981" s="230"/>
      <c r="Z1981" s="230"/>
      <c r="AA1981" s="230"/>
      <c r="AB1981" s="230"/>
      <c r="AC1981" s="230"/>
      <c r="AD1981" s="230"/>
    </row>
    <row r="1982" spans="1:30" ht="15.75" x14ac:dyDescent="0.25">
      <c r="A1982" s="230"/>
      <c r="B1982" s="234"/>
      <c r="C1982" s="234"/>
      <c r="D1982" s="234"/>
      <c r="E1982" s="230"/>
      <c r="F1982" s="230"/>
      <c r="G1982" s="230"/>
      <c r="H1982" s="230"/>
      <c r="I1982" s="230"/>
      <c r="J1982" s="230"/>
      <c r="K1982" s="230"/>
      <c r="L1982" s="230"/>
      <c r="M1982" s="230"/>
      <c r="N1982" s="230"/>
      <c r="O1982" s="230"/>
      <c r="P1982" s="230"/>
      <c r="Q1982" s="230"/>
      <c r="R1982" s="230"/>
      <c r="S1982" s="230"/>
      <c r="T1982" s="230"/>
      <c r="U1982" s="230"/>
      <c r="V1982" s="230"/>
      <c r="W1982" s="230"/>
      <c r="X1982" s="230"/>
      <c r="Y1982" s="230"/>
      <c r="Z1982" s="230"/>
      <c r="AA1982" s="230"/>
      <c r="AB1982" s="230"/>
      <c r="AC1982" s="230"/>
      <c r="AD1982" s="230"/>
    </row>
    <row r="1983" spans="1:30" ht="15.75" x14ac:dyDescent="0.25">
      <c r="A1983" s="230"/>
      <c r="B1983" s="234"/>
      <c r="C1983" s="234"/>
      <c r="D1983" s="234"/>
      <c r="E1983" s="230"/>
      <c r="F1983" s="230"/>
      <c r="G1983" s="230"/>
      <c r="H1983" s="230"/>
      <c r="I1983" s="230"/>
      <c r="J1983" s="230"/>
      <c r="K1983" s="230"/>
      <c r="L1983" s="230"/>
      <c r="M1983" s="230"/>
      <c r="N1983" s="230"/>
      <c r="O1983" s="230"/>
      <c r="P1983" s="230"/>
      <c r="Q1983" s="230"/>
      <c r="R1983" s="230"/>
      <c r="S1983" s="230"/>
      <c r="T1983" s="230"/>
      <c r="U1983" s="230"/>
      <c r="V1983" s="230"/>
      <c r="W1983" s="230"/>
      <c r="X1983" s="230"/>
      <c r="Y1983" s="230"/>
      <c r="Z1983" s="230"/>
      <c r="AA1983" s="230"/>
      <c r="AB1983" s="230"/>
      <c r="AC1983" s="230"/>
      <c r="AD1983" s="230"/>
    </row>
    <row r="1984" spans="1:30" ht="15.75" x14ac:dyDescent="0.25">
      <c r="A1984" s="230"/>
      <c r="B1984" s="234"/>
      <c r="C1984" s="234"/>
      <c r="D1984" s="234"/>
      <c r="E1984" s="230"/>
      <c r="F1984" s="230"/>
      <c r="G1984" s="230"/>
      <c r="H1984" s="230"/>
      <c r="I1984" s="230"/>
      <c r="J1984" s="230"/>
      <c r="K1984" s="230"/>
      <c r="L1984" s="230"/>
      <c r="M1984" s="230"/>
      <c r="N1984" s="230"/>
      <c r="O1984" s="230"/>
      <c r="P1984" s="230"/>
      <c r="Q1984" s="230"/>
      <c r="R1984" s="230"/>
      <c r="S1984" s="230"/>
      <c r="T1984" s="230"/>
      <c r="U1984" s="230"/>
      <c r="V1984" s="230"/>
      <c r="W1984" s="230"/>
      <c r="X1984" s="230"/>
      <c r="Y1984" s="230"/>
      <c r="Z1984" s="230"/>
      <c r="AA1984" s="230"/>
      <c r="AB1984" s="230"/>
      <c r="AC1984" s="230"/>
      <c r="AD1984" s="230"/>
    </row>
    <row r="1985" spans="1:30" ht="15.75" x14ac:dyDescent="0.25">
      <c r="A1985" s="230"/>
      <c r="B1985" s="234"/>
      <c r="C1985" s="234"/>
      <c r="D1985" s="234"/>
      <c r="E1985" s="230"/>
      <c r="F1985" s="230"/>
      <c r="G1985" s="230"/>
      <c r="H1985" s="230"/>
      <c r="I1985" s="230"/>
      <c r="J1985" s="230"/>
      <c r="K1985" s="230"/>
      <c r="L1985" s="230"/>
      <c r="M1985" s="230"/>
      <c r="N1985" s="230"/>
      <c r="O1985" s="230"/>
      <c r="P1985" s="230"/>
      <c r="Q1985" s="230"/>
      <c r="R1985" s="230"/>
      <c r="S1985" s="230"/>
      <c r="T1985" s="230"/>
      <c r="U1985" s="230"/>
      <c r="V1985" s="230"/>
      <c r="W1985" s="230"/>
      <c r="X1985" s="230"/>
      <c r="Y1985" s="230"/>
      <c r="Z1985" s="230"/>
      <c r="AA1985" s="230"/>
      <c r="AB1985" s="230"/>
      <c r="AC1985" s="230"/>
      <c r="AD1985" s="230"/>
    </row>
    <row r="1986" spans="1:30" ht="15.75" x14ac:dyDescent="0.25">
      <c r="A1986" s="230"/>
      <c r="B1986" s="234"/>
      <c r="C1986" s="234"/>
      <c r="D1986" s="234"/>
      <c r="E1986" s="230"/>
      <c r="F1986" s="230"/>
      <c r="G1986" s="230"/>
      <c r="H1986" s="230"/>
      <c r="I1986" s="230"/>
      <c r="J1986" s="230"/>
      <c r="K1986" s="230"/>
      <c r="L1986" s="230"/>
      <c r="M1986" s="230"/>
      <c r="N1986" s="230"/>
      <c r="O1986" s="230"/>
      <c r="P1986" s="230"/>
      <c r="Q1986" s="230"/>
      <c r="R1986" s="230"/>
      <c r="S1986" s="230"/>
      <c r="T1986" s="230"/>
      <c r="U1986" s="230"/>
      <c r="V1986" s="230"/>
      <c r="W1986" s="230"/>
      <c r="X1986" s="230"/>
      <c r="Y1986" s="230"/>
      <c r="Z1986" s="230"/>
      <c r="AA1986" s="230"/>
      <c r="AB1986" s="230"/>
      <c r="AC1986" s="230"/>
      <c r="AD1986" s="230"/>
    </row>
    <row r="1987" spans="1:30" ht="15.75" x14ac:dyDescent="0.25">
      <c r="A1987" s="230"/>
      <c r="B1987" s="234"/>
      <c r="C1987" s="234"/>
      <c r="D1987" s="234"/>
      <c r="E1987" s="230"/>
      <c r="F1987" s="230"/>
      <c r="G1987" s="230"/>
      <c r="H1987" s="230"/>
      <c r="I1987" s="230"/>
      <c r="J1987" s="230"/>
      <c r="K1987" s="230"/>
      <c r="L1987" s="230"/>
      <c r="M1987" s="230"/>
      <c r="N1987" s="230"/>
      <c r="O1987" s="230"/>
      <c r="P1987" s="230"/>
      <c r="Q1987" s="230"/>
      <c r="R1987" s="230"/>
      <c r="S1987" s="230"/>
      <c r="T1987" s="230"/>
      <c r="U1987" s="230"/>
      <c r="V1987" s="230"/>
      <c r="W1987" s="230"/>
      <c r="X1987" s="230"/>
      <c r="Y1987" s="230"/>
      <c r="Z1987" s="230"/>
      <c r="AA1987" s="230"/>
      <c r="AB1987" s="230"/>
      <c r="AC1987" s="230"/>
      <c r="AD1987" s="230"/>
    </row>
    <row r="1988" spans="1:30" ht="15.75" x14ac:dyDescent="0.25">
      <c r="A1988" s="230"/>
      <c r="B1988" s="234"/>
      <c r="C1988" s="234"/>
      <c r="D1988" s="234"/>
      <c r="E1988" s="230"/>
      <c r="F1988" s="230"/>
      <c r="G1988" s="230"/>
      <c r="H1988" s="230"/>
      <c r="I1988" s="230"/>
      <c r="J1988" s="230"/>
      <c r="K1988" s="230"/>
      <c r="L1988" s="230"/>
      <c r="M1988" s="230"/>
      <c r="N1988" s="230"/>
      <c r="O1988" s="230"/>
      <c r="P1988" s="230"/>
      <c r="Q1988" s="230"/>
      <c r="R1988" s="230"/>
      <c r="S1988" s="230"/>
      <c r="T1988" s="230"/>
      <c r="U1988" s="230"/>
      <c r="V1988" s="230"/>
      <c r="W1988" s="230"/>
      <c r="X1988" s="230"/>
      <c r="Y1988" s="230"/>
      <c r="Z1988" s="230"/>
      <c r="AA1988" s="230"/>
      <c r="AB1988" s="230"/>
      <c r="AC1988" s="230"/>
      <c r="AD1988" s="230"/>
    </row>
    <row r="1989" spans="1:30" ht="15.75" x14ac:dyDescent="0.25">
      <c r="A1989" s="230"/>
      <c r="B1989" s="234"/>
      <c r="C1989" s="234"/>
      <c r="D1989" s="234"/>
      <c r="E1989" s="230"/>
      <c r="F1989" s="230"/>
      <c r="G1989" s="230"/>
      <c r="H1989" s="230"/>
      <c r="I1989" s="230"/>
      <c r="J1989" s="230"/>
      <c r="K1989" s="230"/>
      <c r="L1989" s="230"/>
      <c r="M1989" s="230"/>
      <c r="N1989" s="230"/>
      <c r="O1989" s="230"/>
      <c r="P1989" s="230"/>
      <c r="Q1989" s="230"/>
      <c r="R1989" s="230"/>
      <c r="S1989" s="230"/>
      <c r="T1989" s="230"/>
      <c r="U1989" s="230"/>
      <c r="V1989" s="230"/>
      <c r="W1989" s="230"/>
      <c r="X1989" s="230"/>
      <c r="Y1989" s="230"/>
      <c r="Z1989" s="230"/>
      <c r="AA1989" s="230"/>
      <c r="AB1989" s="230"/>
      <c r="AC1989" s="230"/>
      <c r="AD1989" s="230"/>
    </row>
    <row r="1990" spans="1:30" ht="15.75" x14ac:dyDescent="0.25">
      <c r="A1990" s="230"/>
      <c r="B1990" s="234"/>
      <c r="C1990" s="234"/>
      <c r="D1990" s="234"/>
      <c r="E1990" s="230"/>
      <c r="F1990" s="230"/>
      <c r="G1990" s="230"/>
      <c r="H1990" s="230"/>
      <c r="I1990" s="230"/>
      <c r="J1990" s="230"/>
      <c r="K1990" s="230"/>
      <c r="L1990" s="230"/>
      <c r="M1990" s="230"/>
      <c r="N1990" s="230"/>
      <c r="O1990" s="230"/>
      <c r="P1990" s="230"/>
      <c r="Q1990" s="230"/>
      <c r="R1990" s="230"/>
      <c r="S1990" s="230"/>
      <c r="T1990" s="230"/>
      <c r="U1990" s="230"/>
      <c r="V1990" s="230"/>
      <c r="W1990" s="230"/>
      <c r="X1990" s="230"/>
      <c r="Y1990" s="230"/>
      <c r="Z1990" s="230"/>
      <c r="AA1990" s="230"/>
      <c r="AB1990" s="230"/>
      <c r="AC1990" s="230"/>
      <c r="AD1990" s="230"/>
    </row>
    <row r="1991" spans="1:30" ht="15.75" x14ac:dyDescent="0.25">
      <c r="A1991" s="230"/>
      <c r="B1991" s="234"/>
      <c r="C1991" s="234"/>
      <c r="D1991" s="234"/>
      <c r="E1991" s="230"/>
      <c r="F1991" s="230"/>
      <c r="G1991" s="230"/>
      <c r="H1991" s="230"/>
      <c r="I1991" s="230"/>
      <c r="J1991" s="230"/>
      <c r="K1991" s="230"/>
      <c r="L1991" s="230"/>
      <c r="M1991" s="230"/>
      <c r="N1991" s="230"/>
      <c r="O1991" s="230"/>
      <c r="P1991" s="230"/>
      <c r="Q1991" s="230"/>
      <c r="R1991" s="230"/>
      <c r="S1991" s="230"/>
      <c r="T1991" s="230"/>
      <c r="U1991" s="230"/>
      <c r="V1991" s="230"/>
      <c r="W1991" s="230"/>
      <c r="X1991" s="230"/>
      <c r="Y1991" s="230"/>
      <c r="Z1991" s="230"/>
      <c r="AA1991" s="230"/>
      <c r="AB1991" s="230"/>
      <c r="AC1991" s="230"/>
      <c r="AD1991" s="230"/>
    </row>
    <row r="1992" spans="1:30" ht="15.75" x14ac:dyDescent="0.25">
      <c r="A1992" s="230"/>
      <c r="B1992" s="234"/>
      <c r="C1992" s="234"/>
      <c r="D1992" s="234"/>
      <c r="E1992" s="230"/>
      <c r="F1992" s="230"/>
      <c r="G1992" s="230"/>
      <c r="H1992" s="230"/>
      <c r="I1992" s="230"/>
      <c r="J1992" s="230"/>
      <c r="K1992" s="230"/>
      <c r="L1992" s="230"/>
      <c r="M1992" s="230"/>
      <c r="N1992" s="230"/>
      <c r="O1992" s="230"/>
      <c r="P1992" s="230"/>
      <c r="Q1992" s="230"/>
      <c r="R1992" s="230"/>
      <c r="S1992" s="230"/>
      <c r="T1992" s="230"/>
      <c r="U1992" s="230"/>
      <c r="V1992" s="230"/>
      <c r="W1992" s="230"/>
      <c r="X1992" s="230"/>
      <c r="Y1992" s="230"/>
      <c r="Z1992" s="230"/>
      <c r="AA1992" s="230"/>
      <c r="AB1992" s="230"/>
      <c r="AC1992" s="230"/>
      <c r="AD1992" s="230"/>
    </row>
    <row r="1993" spans="1:30" ht="15.75" x14ac:dyDescent="0.25">
      <c r="A1993" s="230"/>
      <c r="B1993" s="234"/>
      <c r="C1993" s="234"/>
      <c r="D1993" s="234"/>
      <c r="E1993" s="230"/>
      <c r="F1993" s="230"/>
      <c r="G1993" s="230"/>
      <c r="H1993" s="230"/>
      <c r="I1993" s="230"/>
      <c r="J1993" s="230"/>
      <c r="K1993" s="230"/>
      <c r="L1993" s="230"/>
      <c r="M1993" s="230"/>
      <c r="N1993" s="230"/>
      <c r="O1993" s="230"/>
      <c r="P1993" s="230"/>
      <c r="Q1993" s="230"/>
      <c r="R1993" s="230"/>
      <c r="S1993" s="230"/>
      <c r="T1993" s="230"/>
      <c r="U1993" s="230"/>
      <c r="V1993" s="230"/>
      <c r="W1993" s="230"/>
      <c r="X1993" s="230"/>
      <c r="Y1993" s="230"/>
      <c r="Z1993" s="230"/>
      <c r="AA1993" s="230"/>
      <c r="AB1993" s="230"/>
      <c r="AC1993" s="230"/>
      <c r="AD1993" s="230"/>
    </row>
    <row r="1994" spans="1:30" ht="15.75" x14ac:dyDescent="0.25">
      <c r="A1994" s="230"/>
      <c r="B1994" s="234"/>
      <c r="C1994" s="234"/>
      <c r="D1994" s="234"/>
      <c r="E1994" s="230"/>
      <c r="F1994" s="230"/>
      <c r="G1994" s="230"/>
      <c r="H1994" s="230"/>
      <c r="I1994" s="230"/>
      <c r="J1994" s="230"/>
      <c r="K1994" s="230"/>
      <c r="L1994" s="230"/>
      <c r="M1994" s="230"/>
      <c r="N1994" s="230"/>
      <c r="O1994" s="230"/>
      <c r="P1994" s="230"/>
      <c r="Q1994" s="230"/>
      <c r="R1994" s="230"/>
      <c r="S1994" s="230"/>
      <c r="T1994" s="230"/>
      <c r="U1994" s="230"/>
      <c r="V1994" s="230"/>
      <c r="W1994" s="230"/>
      <c r="X1994" s="230"/>
      <c r="Y1994" s="230"/>
      <c r="Z1994" s="230"/>
      <c r="AA1994" s="230"/>
      <c r="AB1994" s="230"/>
      <c r="AC1994" s="230"/>
      <c r="AD1994" s="230"/>
    </row>
    <row r="1995" spans="1:30" ht="15.75" x14ac:dyDescent="0.25">
      <c r="A1995" s="230"/>
      <c r="B1995" s="234"/>
      <c r="C1995" s="234"/>
      <c r="D1995" s="234"/>
      <c r="E1995" s="230"/>
      <c r="F1995" s="230"/>
      <c r="G1995" s="230"/>
      <c r="H1995" s="230"/>
      <c r="I1995" s="230"/>
      <c r="J1995" s="230"/>
      <c r="K1995" s="230"/>
      <c r="L1995" s="230"/>
      <c r="M1995" s="230"/>
      <c r="N1995" s="230"/>
      <c r="O1995" s="230"/>
      <c r="P1995" s="230"/>
      <c r="Q1995" s="230"/>
      <c r="R1995" s="230"/>
      <c r="S1995" s="230"/>
      <c r="T1995" s="230"/>
      <c r="U1995" s="230"/>
      <c r="V1995" s="230"/>
      <c r="W1995" s="230"/>
      <c r="X1995" s="230"/>
      <c r="Y1995" s="230"/>
      <c r="Z1995" s="230"/>
      <c r="AA1995" s="230"/>
      <c r="AB1995" s="230"/>
      <c r="AC1995" s="230"/>
      <c r="AD1995" s="230"/>
    </row>
    <row r="1996" spans="1:30" ht="15.75" x14ac:dyDescent="0.25">
      <c r="A1996" s="230"/>
      <c r="B1996" s="234"/>
      <c r="C1996" s="234"/>
      <c r="D1996" s="234"/>
      <c r="E1996" s="230"/>
      <c r="F1996" s="230"/>
      <c r="G1996" s="230"/>
      <c r="H1996" s="230"/>
      <c r="I1996" s="230"/>
      <c r="J1996" s="230"/>
      <c r="K1996" s="230"/>
      <c r="L1996" s="230"/>
      <c r="M1996" s="230"/>
      <c r="N1996" s="230"/>
      <c r="O1996" s="230"/>
      <c r="P1996" s="230"/>
      <c r="Q1996" s="230"/>
      <c r="R1996" s="230"/>
      <c r="S1996" s="230"/>
      <c r="T1996" s="230"/>
      <c r="U1996" s="230"/>
      <c r="V1996" s="230"/>
      <c r="W1996" s="230"/>
      <c r="X1996" s="230"/>
      <c r="Y1996" s="230"/>
      <c r="Z1996" s="230"/>
      <c r="AA1996" s="230"/>
      <c r="AB1996" s="230"/>
      <c r="AC1996" s="230"/>
      <c r="AD1996" s="230"/>
    </row>
    <row r="1997" spans="1:30" ht="15.75" x14ac:dyDescent="0.25">
      <c r="A1997" s="230"/>
      <c r="B1997" s="234"/>
      <c r="C1997" s="234"/>
      <c r="D1997" s="234"/>
      <c r="E1997" s="230"/>
      <c r="F1997" s="230"/>
      <c r="G1997" s="230"/>
      <c r="H1997" s="230"/>
      <c r="I1997" s="230"/>
      <c r="J1997" s="230"/>
      <c r="K1997" s="230"/>
      <c r="L1997" s="230"/>
      <c r="M1997" s="230"/>
      <c r="N1997" s="230"/>
      <c r="O1997" s="230"/>
      <c r="P1997" s="230"/>
      <c r="Q1997" s="230"/>
      <c r="R1997" s="230"/>
      <c r="S1997" s="230"/>
      <c r="T1997" s="230"/>
      <c r="U1997" s="230"/>
      <c r="V1997" s="230"/>
      <c r="W1997" s="230"/>
      <c r="X1997" s="230"/>
      <c r="Y1997" s="230"/>
      <c r="Z1997" s="230"/>
      <c r="AA1997" s="230"/>
      <c r="AB1997" s="230"/>
      <c r="AC1997" s="230"/>
      <c r="AD1997" s="230"/>
    </row>
    <row r="1998" spans="1:30" ht="15.75" x14ac:dyDescent="0.25">
      <c r="A1998" s="230"/>
      <c r="B1998" s="234"/>
      <c r="C1998" s="234"/>
      <c r="D1998" s="234"/>
      <c r="E1998" s="230"/>
      <c r="F1998" s="230"/>
      <c r="G1998" s="230"/>
      <c r="H1998" s="230"/>
      <c r="I1998" s="230"/>
      <c r="J1998" s="230"/>
      <c r="K1998" s="230"/>
      <c r="L1998" s="230"/>
      <c r="M1998" s="230"/>
      <c r="N1998" s="230"/>
      <c r="O1998" s="230"/>
      <c r="P1998" s="230"/>
      <c r="Q1998" s="230"/>
      <c r="R1998" s="230"/>
      <c r="S1998" s="230"/>
      <c r="T1998" s="230"/>
      <c r="U1998" s="230"/>
      <c r="V1998" s="230"/>
      <c r="W1998" s="230"/>
      <c r="X1998" s="230"/>
      <c r="Y1998" s="230"/>
      <c r="Z1998" s="230"/>
      <c r="AA1998" s="230"/>
      <c r="AB1998" s="230"/>
      <c r="AC1998" s="230"/>
      <c r="AD1998" s="230"/>
    </row>
    <row r="1999" spans="1:30" ht="15.75" x14ac:dyDescent="0.25">
      <c r="A1999" s="230"/>
      <c r="B1999" s="234"/>
      <c r="C1999" s="234"/>
      <c r="D1999" s="234"/>
      <c r="E1999" s="230"/>
      <c r="F1999" s="230"/>
      <c r="G1999" s="230"/>
      <c r="H1999" s="230"/>
      <c r="I1999" s="230"/>
      <c r="J1999" s="230"/>
      <c r="K1999" s="230"/>
      <c r="L1999" s="230"/>
      <c r="M1999" s="230"/>
      <c r="N1999" s="230"/>
      <c r="O1999" s="230"/>
      <c r="P1999" s="230"/>
      <c r="Q1999" s="230"/>
      <c r="R1999" s="230"/>
      <c r="S1999" s="230"/>
      <c r="T1999" s="230"/>
      <c r="U1999" s="230"/>
      <c r="V1999" s="230"/>
      <c r="W1999" s="230"/>
      <c r="X1999" s="230"/>
      <c r="Y1999" s="230"/>
      <c r="Z1999" s="230"/>
      <c r="AA1999" s="230"/>
      <c r="AB1999" s="230"/>
      <c r="AC1999" s="230"/>
      <c r="AD1999" s="230"/>
    </row>
    <row r="2000" spans="1:30" ht="15.75" x14ac:dyDescent="0.25">
      <c r="A2000" s="230"/>
      <c r="B2000" s="234"/>
      <c r="C2000" s="234"/>
      <c r="D2000" s="234"/>
      <c r="E2000" s="230"/>
      <c r="F2000" s="230"/>
      <c r="G2000" s="230"/>
      <c r="H2000" s="230"/>
      <c r="I2000" s="230"/>
      <c r="J2000" s="230"/>
      <c r="K2000" s="230"/>
      <c r="L2000" s="230"/>
      <c r="M2000" s="230"/>
      <c r="N2000" s="230"/>
      <c r="O2000" s="230"/>
      <c r="P2000" s="230"/>
      <c r="Q2000" s="230"/>
      <c r="R2000" s="230"/>
      <c r="S2000" s="230"/>
      <c r="T2000" s="230"/>
      <c r="U2000" s="230"/>
      <c r="V2000" s="230"/>
      <c r="W2000" s="230"/>
      <c r="X2000" s="230"/>
      <c r="Y2000" s="230"/>
      <c r="Z2000" s="230"/>
      <c r="AA2000" s="230"/>
      <c r="AB2000" s="230"/>
      <c r="AC2000" s="230"/>
      <c r="AD2000" s="230"/>
    </row>
    <row r="2001" spans="1:30" ht="15.75" x14ac:dyDescent="0.25">
      <c r="A2001" s="230"/>
      <c r="B2001" s="234"/>
      <c r="C2001" s="234"/>
      <c r="D2001" s="234"/>
      <c r="E2001" s="230"/>
      <c r="F2001" s="230"/>
      <c r="G2001" s="230"/>
      <c r="H2001" s="230"/>
      <c r="I2001" s="230"/>
      <c r="J2001" s="230"/>
      <c r="K2001" s="230"/>
      <c r="L2001" s="230"/>
      <c r="M2001" s="230"/>
      <c r="N2001" s="230"/>
      <c r="O2001" s="230"/>
      <c r="P2001" s="230"/>
      <c r="Q2001" s="230"/>
      <c r="R2001" s="230"/>
      <c r="S2001" s="230"/>
      <c r="T2001" s="230"/>
      <c r="U2001" s="230"/>
      <c r="V2001" s="230"/>
      <c r="W2001" s="230"/>
      <c r="X2001" s="230"/>
      <c r="Y2001" s="230"/>
      <c r="Z2001" s="230"/>
      <c r="AA2001" s="230"/>
      <c r="AB2001" s="230"/>
      <c r="AC2001" s="230"/>
      <c r="AD2001" s="230"/>
    </row>
    <row r="2002" spans="1:30" ht="15.75" x14ac:dyDescent="0.25">
      <c r="A2002" s="230"/>
      <c r="B2002" s="234"/>
      <c r="C2002" s="234"/>
      <c r="D2002" s="234"/>
      <c r="E2002" s="230"/>
      <c r="F2002" s="230"/>
      <c r="G2002" s="230"/>
      <c r="H2002" s="230"/>
      <c r="I2002" s="230"/>
      <c r="J2002" s="230"/>
      <c r="K2002" s="230"/>
      <c r="L2002" s="230"/>
      <c r="M2002" s="230"/>
      <c r="N2002" s="230"/>
      <c r="O2002" s="230"/>
      <c r="P2002" s="230"/>
      <c r="Q2002" s="230"/>
      <c r="R2002" s="230"/>
      <c r="S2002" s="230"/>
      <c r="T2002" s="230"/>
      <c r="U2002" s="230"/>
      <c r="V2002" s="230"/>
      <c r="W2002" s="230"/>
      <c r="X2002" s="230"/>
      <c r="Y2002" s="230"/>
      <c r="Z2002" s="230"/>
      <c r="AA2002" s="230"/>
      <c r="AB2002" s="230"/>
      <c r="AC2002" s="230"/>
      <c r="AD2002" s="230"/>
    </row>
    <row r="2003" spans="1:30" ht="15.75" x14ac:dyDescent="0.25">
      <c r="A2003" s="230"/>
      <c r="B2003" s="230"/>
      <c r="C2003" s="230"/>
      <c r="D2003" s="230"/>
      <c r="E2003" s="230"/>
      <c r="F2003" s="230"/>
      <c r="G2003" s="230"/>
      <c r="H2003" s="230"/>
      <c r="I2003" s="230"/>
      <c r="J2003" s="230"/>
      <c r="K2003" s="230"/>
      <c r="L2003" s="230"/>
      <c r="M2003" s="230"/>
      <c r="N2003" s="230"/>
      <c r="O2003" s="230"/>
      <c r="P2003" s="230"/>
      <c r="Q2003" s="230"/>
      <c r="R2003" s="230"/>
      <c r="S2003" s="230"/>
      <c r="T2003" s="230"/>
      <c r="U2003" s="230"/>
      <c r="V2003" s="230"/>
      <c r="W2003" s="230"/>
      <c r="X2003" s="230"/>
      <c r="Y2003" s="230"/>
      <c r="Z2003" s="230"/>
      <c r="AA2003" s="230"/>
      <c r="AB2003" s="230"/>
      <c r="AC2003" s="230"/>
      <c r="AD2003" s="230"/>
    </row>
    <row r="2004" spans="1:30" ht="15.75" x14ac:dyDescent="0.25">
      <c r="A2004" s="230"/>
      <c r="B2004" s="230"/>
      <c r="C2004" s="230"/>
      <c r="D2004" s="230"/>
      <c r="E2004" s="230"/>
      <c r="F2004" s="230"/>
      <c r="G2004" s="230"/>
      <c r="H2004" s="230"/>
      <c r="I2004" s="230"/>
      <c r="J2004" s="230"/>
      <c r="K2004" s="230"/>
      <c r="L2004" s="230"/>
      <c r="M2004" s="230"/>
      <c r="N2004" s="230"/>
      <c r="O2004" s="230"/>
      <c r="P2004" s="230"/>
      <c r="Q2004" s="230"/>
      <c r="R2004" s="230"/>
      <c r="S2004" s="230"/>
      <c r="T2004" s="230"/>
      <c r="U2004" s="230"/>
      <c r="V2004" s="230"/>
      <c r="W2004" s="230"/>
      <c r="X2004" s="230"/>
      <c r="Y2004" s="230"/>
      <c r="Z2004" s="230"/>
      <c r="AA2004" s="230"/>
      <c r="AB2004" s="230"/>
      <c r="AC2004" s="230"/>
      <c r="AD2004" s="230"/>
    </row>
    <row r="2005" spans="1:30" ht="15.75" x14ac:dyDescent="0.25">
      <c r="A2005" s="230"/>
      <c r="B2005" s="230"/>
      <c r="C2005" s="230"/>
      <c r="D2005" s="230"/>
      <c r="E2005" s="230"/>
      <c r="F2005" s="230"/>
      <c r="G2005" s="230"/>
      <c r="H2005" s="230"/>
      <c r="I2005" s="230"/>
      <c r="J2005" s="230"/>
      <c r="K2005" s="230"/>
      <c r="L2005" s="230"/>
      <c r="M2005" s="230"/>
      <c r="N2005" s="230"/>
      <c r="O2005" s="230"/>
      <c r="P2005" s="230"/>
      <c r="Q2005" s="230"/>
      <c r="R2005" s="230"/>
      <c r="S2005" s="230"/>
      <c r="T2005" s="230"/>
      <c r="U2005" s="230"/>
      <c r="V2005" s="230"/>
      <c r="W2005" s="230"/>
      <c r="X2005" s="230"/>
      <c r="Y2005" s="230"/>
      <c r="Z2005" s="230"/>
      <c r="AA2005" s="230"/>
      <c r="AB2005" s="230"/>
      <c r="AC2005" s="230"/>
      <c r="AD2005" s="230"/>
    </row>
    <row r="2006" spans="1:30" ht="15.75" x14ac:dyDescent="0.25">
      <c r="A2006" s="230"/>
      <c r="B2006" s="230"/>
      <c r="C2006" s="230"/>
      <c r="D2006" s="230"/>
      <c r="E2006" s="230"/>
      <c r="F2006" s="230"/>
      <c r="G2006" s="230"/>
      <c r="H2006" s="230"/>
      <c r="I2006" s="230"/>
      <c r="J2006" s="230"/>
      <c r="K2006" s="230"/>
      <c r="L2006" s="230"/>
      <c r="M2006" s="230"/>
      <c r="N2006" s="230"/>
      <c r="O2006" s="230"/>
      <c r="P2006" s="230"/>
      <c r="Q2006" s="230"/>
      <c r="R2006" s="230"/>
      <c r="S2006" s="230"/>
      <c r="T2006" s="230"/>
      <c r="U2006" s="230"/>
      <c r="V2006" s="230"/>
      <c r="W2006" s="230"/>
      <c r="X2006" s="230"/>
      <c r="Y2006" s="230"/>
      <c r="Z2006" s="230"/>
      <c r="AA2006" s="230"/>
      <c r="AB2006" s="230"/>
      <c r="AC2006" s="230"/>
      <c r="AD2006" s="230"/>
    </row>
    <row r="2007" spans="1:30" ht="15.75" x14ac:dyDescent="0.25">
      <c r="A2007" s="230"/>
      <c r="B2007" s="230"/>
      <c r="C2007" s="230"/>
      <c r="D2007" s="230"/>
      <c r="E2007" s="230"/>
      <c r="F2007" s="230"/>
      <c r="G2007" s="230"/>
      <c r="H2007" s="230"/>
      <c r="I2007" s="230"/>
      <c r="J2007" s="230"/>
      <c r="K2007" s="230"/>
      <c r="L2007" s="230"/>
      <c r="M2007" s="230"/>
      <c r="N2007" s="230"/>
      <c r="O2007" s="230"/>
      <c r="P2007" s="230"/>
      <c r="Q2007" s="230"/>
      <c r="R2007" s="230"/>
      <c r="S2007" s="230"/>
      <c r="T2007" s="230"/>
      <c r="U2007" s="230"/>
      <c r="V2007" s="230"/>
      <c r="W2007" s="230"/>
      <c r="X2007" s="230"/>
      <c r="Y2007" s="230"/>
      <c r="Z2007" s="230"/>
      <c r="AA2007" s="230"/>
      <c r="AB2007" s="230"/>
      <c r="AC2007" s="230"/>
      <c r="AD2007" s="230"/>
    </row>
    <row r="2008" spans="1:30" ht="15.75" x14ac:dyDescent="0.25">
      <c r="A2008" s="230"/>
      <c r="B2008" s="230"/>
      <c r="C2008" s="230"/>
      <c r="D2008" s="230"/>
      <c r="E2008" s="230"/>
      <c r="F2008" s="230"/>
      <c r="G2008" s="230"/>
      <c r="H2008" s="230"/>
      <c r="I2008" s="230"/>
      <c r="J2008" s="230"/>
      <c r="K2008" s="230"/>
      <c r="L2008" s="230"/>
      <c r="M2008" s="230"/>
      <c r="N2008" s="230"/>
      <c r="O2008" s="230"/>
      <c r="P2008" s="230"/>
      <c r="Q2008" s="230"/>
      <c r="R2008" s="230"/>
      <c r="S2008" s="230"/>
      <c r="T2008" s="230"/>
      <c r="U2008" s="230"/>
      <c r="V2008" s="230"/>
      <c r="W2008" s="230"/>
      <c r="X2008" s="230"/>
      <c r="Y2008" s="230"/>
      <c r="Z2008" s="230"/>
      <c r="AA2008" s="230"/>
      <c r="AB2008" s="230"/>
      <c r="AC2008" s="230"/>
      <c r="AD2008" s="230"/>
    </row>
  </sheetData>
  <sheetProtection password="EFD2" sheet="1" objects="1" scenarios="1" selectLockedCells="1"/>
  <mergeCells count="5">
    <mergeCell ref="E3:V3"/>
    <mergeCell ref="F1:H1"/>
    <mergeCell ref="M1:O1"/>
    <mergeCell ref="F2:H2"/>
    <mergeCell ref="M2:O2"/>
  </mergeCells>
  <conditionalFormatting sqref="B7">
    <cfRule type="cellIs" dxfId="1826" priority="383" operator="equal">
      <formula>1</formula>
    </cfRule>
  </conditionalFormatting>
  <conditionalFormatting sqref="S11">
    <cfRule type="cellIs" dxfId="1825" priority="381" operator="equal">
      <formula>"DP"</formula>
    </cfRule>
  </conditionalFormatting>
  <conditionalFormatting sqref="R11">
    <cfRule type="cellIs" dxfId="1824" priority="373" operator="equal">
      <formula>"????"</formula>
    </cfRule>
  </conditionalFormatting>
  <conditionalFormatting sqref="V11">
    <cfRule type="cellIs" dxfId="1823" priority="352" operator="equal">
      <formula>"DE"</formula>
    </cfRule>
    <cfRule type="cellIs" dxfId="1822" priority="376" operator="lessThan">
      <formula>49.5</formula>
    </cfRule>
    <cfRule type="cellIs" dxfId="1821" priority="377" operator="equal">
      <formula>49.5</formula>
    </cfRule>
    <cfRule type="cellIs" dxfId="1820" priority="378" operator="greaterThan">
      <formula>49.5</formula>
    </cfRule>
  </conditionalFormatting>
  <conditionalFormatting sqref="AB11:AC11">
    <cfRule type="cellIs" dxfId="1819" priority="354" operator="equal">
      <formula>49.5</formula>
    </cfRule>
    <cfRule type="cellIs" dxfId="1818" priority="355" operator="greaterThan">
      <formula>49.5</formula>
    </cfRule>
    <cfRule type="cellIs" dxfId="1817" priority="356" operator="lessThan">
      <formula>49.5</formula>
    </cfRule>
  </conditionalFormatting>
  <conditionalFormatting sqref="W11">
    <cfRule type="cellIs" dxfId="1816" priority="353" operator="equal">
      <formula>"FS"</formula>
    </cfRule>
  </conditionalFormatting>
  <conditionalFormatting sqref="Z11:AC11">
    <cfRule type="cellIs" dxfId="1815" priority="350" operator="equal">
      <formula>"-"</formula>
    </cfRule>
  </conditionalFormatting>
  <conditionalFormatting sqref="E11:AC11">
    <cfRule type="cellIs" dxfId="1814" priority="379" operator="equal">
      <formula>"ABS"</formula>
    </cfRule>
    <cfRule type="cellIs" dxfId="1813" priority="380" operator="equal">
      <formula>"EXC"</formula>
    </cfRule>
  </conditionalFormatting>
  <conditionalFormatting sqref="S11:V11">
    <cfRule type="cellIs" dxfId="1812" priority="374" operator="equal">
      <formula>"DPR"</formula>
    </cfRule>
  </conditionalFormatting>
  <conditionalFormatting sqref="V11:AC11">
    <cfRule type="cellIs" dxfId="1811" priority="136" operator="equal">
      <formula>"AB"</formula>
    </cfRule>
  </conditionalFormatting>
  <conditionalFormatting sqref="S12">
    <cfRule type="cellIs" dxfId="1810" priority="135" operator="equal">
      <formula>"DP"</formula>
    </cfRule>
  </conditionalFormatting>
  <conditionalFormatting sqref="R12">
    <cfRule type="cellIs" dxfId="1809" priority="128" operator="equal">
      <formula>"????"</formula>
    </cfRule>
  </conditionalFormatting>
  <conditionalFormatting sqref="V12">
    <cfRule type="cellIs" dxfId="1808" priority="123" operator="equal">
      <formula>"DE"</formula>
    </cfRule>
    <cfRule type="cellIs" dxfId="1807" priority="130" operator="lessThan">
      <formula>49.5</formula>
    </cfRule>
    <cfRule type="cellIs" dxfId="1806" priority="131" operator="equal">
      <formula>49.5</formula>
    </cfRule>
    <cfRule type="cellIs" dxfId="1805" priority="132" operator="greaterThan">
      <formula>49.5</formula>
    </cfRule>
  </conditionalFormatting>
  <conditionalFormatting sqref="AB12:AC12">
    <cfRule type="cellIs" dxfId="1804" priority="125" operator="equal">
      <formula>49.5</formula>
    </cfRule>
    <cfRule type="cellIs" dxfId="1803" priority="126" operator="greaterThan">
      <formula>49.5</formula>
    </cfRule>
    <cfRule type="cellIs" dxfId="1802" priority="127" operator="lessThan">
      <formula>49.5</formula>
    </cfRule>
  </conditionalFormatting>
  <conditionalFormatting sqref="W12">
    <cfRule type="cellIs" dxfId="1801" priority="124" operator="equal">
      <formula>"FS"</formula>
    </cfRule>
  </conditionalFormatting>
  <conditionalFormatting sqref="Z12:AC12">
    <cfRule type="cellIs" dxfId="1800" priority="122" operator="equal">
      <formula>"-"</formula>
    </cfRule>
  </conditionalFormatting>
  <conditionalFormatting sqref="E12:AC12">
    <cfRule type="cellIs" dxfId="1799" priority="133" operator="equal">
      <formula>"ABS"</formula>
    </cfRule>
    <cfRule type="cellIs" dxfId="1798" priority="134" operator="equal">
      <formula>"EXC"</formula>
    </cfRule>
  </conditionalFormatting>
  <conditionalFormatting sqref="S12:V12">
    <cfRule type="cellIs" dxfId="1797" priority="129" operator="equal">
      <formula>"DPR"</formula>
    </cfRule>
  </conditionalFormatting>
  <conditionalFormatting sqref="V12:AC12">
    <cfRule type="cellIs" dxfId="1796" priority="121" operator="equal">
      <formula>"AB"</formula>
    </cfRule>
  </conditionalFormatting>
  <conditionalFormatting sqref="S13">
    <cfRule type="cellIs" dxfId="1795" priority="120" operator="equal">
      <formula>"DP"</formula>
    </cfRule>
  </conditionalFormatting>
  <conditionalFormatting sqref="R13">
    <cfRule type="cellIs" dxfId="1794" priority="113" operator="equal">
      <formula>"????"</formula>
    </cfRule>
  </conditionalFormatting>
  <conditionalFormatting sqref="V13">
    <cfRule type="cellIs" dxfId="1793" priority="108" operator="equal">
      <formula>"DE"</formula>
    </cfRule>
    <cfRule type="cellIs" dxfId="1792" priority="115" operator="lessThan">
      <formula>49.5</formula>
    </cfRule>
    <cfRule type="cellIs" dxfId="1791" priority="116" operator="equal">
      <formula>49.5</formula>
    </cfRule>
    <cfRule type="cellIs" dxfId="1790" priority="117" operator="greaterThan">
      <formula>49.5</formula>
    </cfRule>
  </conditionalFormatting>
  <conditionalFormatting sqref="AB13:AC13">
    <cfRule type="cellIs" dxfId="1789" priority="110" operator="equal">
      <formula>49.5</formula>
    </cfRule>
    <cfRule type="cellIs" dxfId="1788" priority="111" operator="greaterThan">
      <formula>49.5</formula>
    </cfRule>
    <cfRule type="cellIs" dxfId="1787" priority="112" operator="lessThan">
      <formula>49.5</formula>
    </cfRule>
  </conditionalFormatting>
  <conditionalFormatting sqref="W13">
    <cfRule type="cellIs" dxfId="1786" priority="109" operator="equal">
      <formula>"FS"</formula>
    </cfRule>
  </conditionalFormatting>
  <conditionalFormatting sqref="Z13:AC13">
    <cfRule type="cellIs" dxfId="1785" priority="107" operator="equal">
      <formula>"-"</formula>
    </cfRule>
  </conditionalFormatting>
  <conditionalFormatting sqref="E13:AC13">
    <cfRule type="cellIs" dxfId="1784" priority="118" operator="equal">
      <formula>"ABS"</formula>
    </cfRule>
    <cfRule type="cellIs" dxfId="1783" priority="119" operator="equal">
      <formula>"EXC"</formula>
    </cfRule>
  </conditionalFormatting>
  <conditionalFormatting sqref="S13:V13">
    <cfRule type="cellIs" dxfId="1782" priority="114" operator="equal">
      <formula>"DPR"</formula>
    </cfRule>
  </conditionalFormatting>
  <conditionalFormatting sqref="V13:AC13">
    <cfRule type="cellIs" dxfId="1781" priority="106" operator="equal">
      <formula>"AB"</formula>
    </cfRule>
  </conditionalFormatting>
  <conditionalFormatting sqref="S14">
    <cfRule type="cellIs" dxfId="1780" priority="105" operator="equal">
      <formula>"DP"</formula>
    </cfRule>
  </conditionalFormatting>
  <conditionalFormatting sqref="R14">
    <cfRule type="cellIs" dxfId="1779" priority="98" operator="equal">
      <formula>"????"</formula>
    </cfRule>
  </conditionalFormatting>
  <conditionalFormatting sqref="V14">
    <cfRule type="cellIs" dxfId="1778" priority="93" operator="equal">
      <formula>"DE"</formula>
    </cfRule>
    <cfRule type="cellIs" dxfId="1777" priority="100" operator="lessThan">
      <formula>49.5</formula>
    </cfRule>
    <cfRule type="cellIs" dxfId="1776" priority="101" operator="equal">
      <formula>49.5</formula>
    </cfRule>
    <cfRule type="cellIs" dxfId="1775" priority="102" operator="greaterThan">
      <formula>49.5</formula>
    </cfRule>
  </conditionalFormatting>
  <conditionalFormatting sqref="AB14:AC14">
    <cfRule type="cellIs" dxfId="1774" priority="95" operator="equal">
      <formula>49.5</formula>
    </cfRule>
    <cfRule type="cellIs" dxfId="1773" priority="96" operator="greaterThan">
      <formula>49.5</formula>
    </cfRule>
    <cfRule type="cellIs" dxfId="1772" priority="97" operator="lessThan">
      <formula>49.5</formula>
    </cfRule>
  </conditionalFormatting>
  <conditionalFormatting sqref="W14">
    <cfRule type="cellIs" dxfId="1771" priority="94" operator="equal">
      <formula>"FS"</formula>
    </cfRule>
  </conditionalFormatting>
  <conditionalFormatting sqref="Z14:AC14">
    <cfRule type="cellIs" dxfId="1770" priority="92" operator="equal">
      <formula>"-"</formula>
    </cfRule>
  </conditionalFormatting>
  <conditionalFormatting sqref="E14:AC14">
    <cfRule type="cellIs" dxfId="1769" priority="103" operator="equal">
      <formula>"ABS"</formula>
    </cfRule>
    <cfRule type="cellIs" dxfId="1768" priority="104" operator="equal">
      <formula>"EXC"</formula>
    </cfRule>
  </conditionalFormatting>
  <conditionalFormatting sqref="S14:V14">
    <cfRule type="cellIs" dxfId="1767" priority="99" operator="equal">
      <formula>"DPR"</formula>
    </cfRule>
  </conditionalFormatting>
  <conditionalFormatting sqref="V14:AC14">
    <cfRule type="cellIs" dxfId="1766" priority="91" operator="equal">
      <formula>"AB"</formula>
    </cfRule>
  </conditionalFormatting>
  <conditionalFormatting sqref="S15">
    <cfRule type="cellIs" dxfId="1765" priority="90" operator="equal">
      <formula>"DP"</formula>
    </cfRule>
  </conditionalFormatting>
  <conditionalFormatting sqref="R15">
    <cfRule type="cellIs" dxfId="1764" priority="83" operator="equal">
      <formula>"????"</formula>
    </cfRule>
  </conditionalFormatting>
  <conditionalFormatting sqref="V15">
    <cfRule type="cellIs" dxfId="1763" priority="78" operator="equal">
      <formula>"DE"</formula>
    </cfRule>
    <cfRule type="cellIs" dxfId="1762" priority="85" operator="lessThan">
      <formula>49.5</formula>
    </cfRule>
    <cfRule type="cellIs" dxfId="1761" priority="86" operator="equal">
      <formula>49.5</formula>
    </cfRule>
    <cfRule type="cellIs" dxfId="1760" priority="87" operator="greaterThan">
      <formula>49.5</formula>
    </cfRule>
  </conditionalFormatting>
  <conditionalFormatting sqref="AB15:AC15">
    <cfRule type="cellIs" dxfId="1759" priority="80" operator="equal">
      <formula>49.5</formula>
    </cfRule>
    <cfRule type="cellIs" dxfId="1758" priority="81" operator="greaterThan">
      <formula>49.5</formula>
    </cfRule>
    <cfRule type="cellIs" dxfId="1757" priority="82" operator="lessThan">
      <formula>49.5</formula>
    </cfRule>
  </conditionalFormatting>
  <conditionalFormatting sqref="W15">
    <cfRule type="cellIs" dxfId="1756" priority="79" operator="equal">
      <formula>"FS"</formula>
    </cfRule>
  </conditionalFormatting>
  <conditionalFormatting sqref="Z15:AC15">
    <cfRule type="cellIs" dxfId="1755" priority="77" operator="equal">
      <formula>"-"</formula>
    </cfRule>
  </conditionalFormatting>
  <conditionalFormatting sqref="E15:AC15">
    <cfRule type="cellIs" dxfId="1754" priority="88" operator="equal">
      <formula>"ABS"</formula>
    </cfRule>
    <cfRule type="cellIs" dxfId="1753" priority="89" operator="equal">
      <formula>"EXC"</formula>
    </cfRule>
  </conditionalFormatting>
  <conditionalFormatting sqref="S15:V15">
    <cfRule type="cellIs" dxfId="1752" priority="84" operator="equal">
      <formula>"DPR"</formula>
    </cfRule>
  </conditionalFormatting>
  <conditionalFormatting sqref="V15:AC15">
    <cfRule type="cellIs" dxfId="1751" priority="76" operator="equal">
      <formula>"AB"</formula>
    </cfRule>
  </conditionalFormatting>
  <conditionalFormatting sqref="S16">
    <cfRule type="cellIs" dxfId="1750" priority="75" operator="equal">
      <formula>"DP"</formula>
    </cfRule>
  </conditionalFormatting>
  <conditionalFormatting sqref="R16">
    <cfRule type="cellIs" dxfId="1749" priority="68" operator="equal">
      <formula>"????"</formula>
    </cfRule>
  </conditionalFormatting>
  <conditionalFormatting sqref="V16">
    <cfRule type="cellIs" dxfId="1748" priority="63" operator="equal">
      <formula>"DE"</formula>
    </cfRule>
    <cfRule type="cellIs" dxfId="1747" priority="70" operator="lessThan">
      <formula>49.5</formula>
    </cfRule>
    <cfRule type="cellIs" dxfId="1746" priority="71" operator="equal">
      <formula>49.5</formula>
    </cfRule>
    <cfRule type="cellIs" dxfId="1745" priority="72" operator="greaterThan">
      <formula>49.5</formula>
    </cfRule>
  </conditionalFormatting>
  <conditionalFormatting sqref="AB16:AC16">
    <cfRule type="cellIs" dxfId="1744" priority="65" operator="equal">
      <formula>49.5</formula>
    </cfRule>
    <cfRule type="cellIs" dxfId="1743" priority="66" operator="greaterThan">
      <formula>49.5</formula>
    </cfRule>
    <cfRule type="cellIs" dxfId="1742" priority="67" operator="lessThan">
      <formula>49.5</formula>
    </cfRule>
  </conditionalFormatting>
  <conditionalFormatting sqref="W16">
    <cfRule type="cellIs" dxfId="1741" priority="64" operator="equal">
      <formula>"FS"</formula>
    </cfRule>
  </conditionalFormatting>
  <conditionalFormatting sqref="Z16:AC16">
    <cfRule type="cellIs" dxfId="1740" priority="62" operator="equal">
      <formula>"-"</formula>
    </cfRule>
  </conditionalFormatting>
  <conditionalFormatting sqref="E16:AC16">
    <cfRule type="cellIs" dxfId="1739" priority="73" operator="equal">
      <formula>"ABS"</formula>
    </cfRule>
    <cfRule type="cellIs" dxfId="1738" priority="74" operator="equal">
      <formula>"EXC"</formula>
    </cfRule>
  </conditionalFormatting>
  <conditionalFormatting sqref="S16:V16">
    <cfRule type="cellIs" dxfId="1737" priority="69" operator="equal">
      <formula>"DPR"</formula>
    </cfRule>
  </conditionalFormatting>
  <conditionalFormatting sqref="V16:AC16">
    <cfRule type="cellIs" dxfId="1736" priority="61" operator="equal">
      <formula>"AB"</formula>
    </cfRule>
  </conditionalFormatting>
  <conditionalFormatting sqref="S17">
    <cfRule type="cellIs" dxfId="1735" priority="60" operator="equal">
      <formula>"DP"</formula>
    </cfRule>
  </conditionalFormatting>
  <conditionalFormatting sqref="R17">
    <cfRule type="cellIs" dxfId="1734" priority="53" operator="equal">
      <formula>"????"</formula>
    </cfRule>
  </conditionalFormatting>
  <conditionalFormatting sqref="V17">
    <cfRule type="cellIs" dxfId="1733" priority="48" operator="equal">
      <formula>"DE"</formula>
    </cfRule>
    <cfRule type="cellIs" dxfId="1732" priority="55" operator="lessThan">
      <formula>49.5</formula>
    </cfRule>
    <cfRule type="cellIs" dxfId="1731" priority="56" operator="equal">
      <formula>49.5</formula>
    </cfRule>
    <cfRule type="cellIs" dxfId="1730" priority="57" operator="greaterThan">
      <formula>49.5</formula>
    </cfRule>
  </conditionalFormatting>
  <conditionalFormatting sqref="AB17:AC17">
    <cfRule type="cellIs" dxfId="1729" priority="50" operator="equal">
      <formula>49.5</formula>
    </cfRule>
    <cfRule type="cellIs" dxfId="1728" priority="51" operator="greaterThan">
      <formula>49.5</formula>
    </cfRule>
    <cfRule type="cellIs" dxfId="1727" priority="52" operator="lessThan">
      <formula>49.5</formula>
    </cfRule>
  </conditionalFormatting>
  <conditionalFormatting sqref="W17">
    <cfRule type="cellIs" dxfId="1726" priority="49" operator="equal">
      <formula>"FS"</formula>
    </cfRule>
  </conditionalFormatting>
  <conditionalFormatting sqref="Z17:AC17">
    <cfRule type="cellIs" dxfId="1725" priority="47" operator="equal">
      <formula>"-"</formula>
    </cfRule>
  </conditionalFormatting>
  <conditionalFormatting sqref="E17:AC17">
    <cfRule type="cellIs" dxfId="1724" priority="58" operator="equal">
      <formula>"ABS"</formula>
    </cfRule>
    <cfRule type="cellIs" dxfId="1723" priority="59" operator="equal">
      <formula>"EXC"</formula>
    </cfRule>
  </conditionalFormatting>
  <conditionalFormatting sqref="S17:V17">
    <cfRule type="cellIs" dxfId="1722" priority="54" operator="equal">
      <formula>"DPR"</formula>
    </cfRule>
  </conditionalFormatting>
  <conditionalFormatting sqref="V17:AC17">
    <cfRule type="cellIs" dxfId="1721" priority="46" operator="equal">
      <formula>"AB"</formula>
    </cfRule>
  </conditionalFormatting>
  <conditionalFormatting sqref="S18">
    <cfRule type="cellIs" dxfId="1720" priority="45" operator="equal">
      <formula>"DP"</formula>
    </cfRule>
  </conditionalFormatting>
  <conditionalFormatting sqref="R18">
    <cfRule type="cellIs" dxfId="1719" priority="38" operator="equal">
      <formula>"????"</formula>
    </cfRule>
  </conditionalFormatting>
  <conditionalFormatting sqref="V18">
    <cfRule type="cellIs" dxfId="1718" priority="33" operator="equal">
      <formula>"DE"</formula>
    </cfRule>
    <cfRule type="cellIs" dxfId="1717" priority="40" operator="lessThan">
      <formula>49.5</formula>
    </cfRule>
    <cfRule type="cellIs" dxfId="1716" priority="41" operator="equal">
      <formula>49.5</formula>
    </cfRule>
    <cfRule type="cellIs" dxfId="1715" priority="42" operator="greaterThan">
      <formula>49.5</formula>
    </cfRule>
  </conditionalFormatting>
  <conditionalFormatting sqref="AB18:AC18">
    <cfRule type="cellIs" dxfId="1714" priority="35" operator="equal">
      <formula>49.5</formula>
    </cfRule>
    <cfRule type="cellIs" dxfId="1713" priority="36" operator="greaterThan">
      <formula>49.5</formula>
    </cfRule>
    <cfRule type="cellIs" dxfId="1712" priority="37" operator="lessThan">
      <formula>49.5</formula>
    </cfRule>
  </conditionalFormatting>
  <conditionalFormatting sqref="W18">
    <cfRule type="cellIs" dxfId="1711" priority="34" operator="equal">
      <formula>"FS"</formula>
    </cfRule>
  </conditionalFormatting>
  <conditionalFormatting sqref="Z18:AC18">
    <cfRule type="cellIs" dxfId="1710" priority="32" operator="equal">
      <formula>"-"</formula>
    </cfRule>
  </conditionalFormatting>
  <conditionalFormatting sqref="E18:AC18">
    <cfRule type="cellIs" dxfId="1709" priority="43" operator="equal">
      <formula>"ABS"</formula>
    </cfRule>
    <cfRule type="cellIs" dxfId="1708" priority="44" operator="equal">
      <formula>"EXC"</formula>
    </cfRule>
  </conditionalFormatting>
  <conditionalFormatting sqref="S18:V18">
    <cfRule type="cellIs" dxfId="1707" priority="39" operator="equal">
      <formula>"DPR"</formula>
    </cfRule>
  </conditionalFormatting>
  <conditionalFormatting sqref="V18:AC18">
    <cfRule type="cellIs" dxfId="1706" priority="31" operator="equal">
      <formula>"AB"</formula>
    </cfRule>
  </conditionalFormatting>
  <conditionalFormatting sqref="S19">
    <cfRule type="cellIs" dxfId="1705" priority="30" operator="equal">
      <formula>"DP"</formula>
    </cfRule>
  </conditionalFormatting>
  <conditionalFormatting sqref="R19">
    <cfRule type="cellIs" dxfId="1704" priority="23" operator="equal">
      <formula>"????"</formula>
    </cfRule>
  </conditionalFormatting>
  <conditionalFormatting sqref="V19">
    <cfRule type="cellIs" dxfId="1703" priority="18" operator="equal">
      <formula>"DE"</formula>
    </cfRule>
    <cfRule type="cellIs" dxfId="1702" priority="25" operator="lessThan">
      <formula>49.5</formula>
    </cfRule>
    <cfRule type="cellIs" dxfId="1701" priority="26" operator="equal">
      <formula>49.5</formula>
    </cfRule>
    <cfRule type="cellIs" dxfId="1700" priority="27" operator="greaterThan">
      <formula>49.5</formula>
    </cfRule>
  </conditionalFormatting>
  <conditionalFormatting sqref="AB19:AC19">
    <cfRule type="cellIs" dxfId="1699" priority="20" operator="equal">
      <formula>49.5</formula>
    </cfRule>
    <cfRule type="cellIs" dxfId="1698" priority="21" operator="greaterThan">
      <formula>49.5</formula>
    </cfRule>
    <cfRule type="cellIs" dxfId="1697" priority="22" operator="lessThan">
      <formula>49.5</formula>
    </cfRule>
  </conditionalFormatting>
  <conditionalFormatting sqref="W19">
    <cfRule type="cellIs" dxfId="1696" priority="19" operator="equal">
      <formula>"FS"</formula>
    </cfRule>
  </conditionalFormatting>
  <conditionalFormatting sqref="Z19:AC19">
    <cfRule type="cellIs" dxfId="1695" priority="17" operator="equal">
      <formula>"-"</formula>
    </cfRule>
  </conditionalFormatting>
  <conditionalFormatting sqref="E19:AC19">
    <cfRule type="cellIs" dxfId="1694" priority="28" operator="equal">
      <formula>"ABS"</formula>
    </cfRule>
    <cfRule type="cellIs" dxfId="1693" priority="29" operator="equal">
      <formula>"EXC"</formula>
    </cfRule>
  </conditionalFormatting>
  <conditionalFormatting sqref="S19:V19">
    <cfRule type="cellIs" dxfId="1692" priority="24" operator="equal">
      <formula>"DPR"</formula>
    </cfRule>
  </conditionalFormatting>
  <conditionalFormatting sqref="V19:AC19">
    <cfRule type="cellIs" dxfId="1691" priority="16" operator="equal">
      <formula>"AB"</formula>
    </cfRule>
  </conditionalFormatting>
  <conditionalFormatting sqref="S20">
    <cfRule type="cellIs" dxfId="1690" priority="15" operator="equal">
      <formula>"DP"</formula>
    </cfRule>
  </conditionalFormatting>
  <conditionalFormatting sqref="R20">
    <cfRule type="cellIs" dxfId="1689" priority="8" operator="equal">
      <formula>"????"</formula>
    </cfRule>
  </conditionalFormatting>
  <conditionalFormatting sqref="V20">
    <cfRule type="cellIs" dxfId="1688" priority="3" operator="equal">
      <formula>"DE"</formula>
    </cfRule>
    <cfRule type="cellIs" dxfId="1687" priority="10" operator="lessThan">
      <formula>49.5</formula>
    </cfRule>
    <cfRule type="cellIs" dxfId="1686" priority="11" operator="equal">
      <formula>49.5</formula>
    </cfRule>
    <cfRule type="cellIs" dxfId="1685" priority="12" operator="greaterThan">
      <formula>49.5</formula>
    </cfRule>
  </conditionalFormatting>
  <conditionalFormatting sqref="AB20:AC20">
    <cfRule type="cellIs" dxfId="1684" priority="5" operator="equal">
      <formula>49.5</formula>
    </cfRule>
    <cfRule type="cellIs" dxfId="1683" priority="6" operator="greaterThan">
      <formula>49.5</formula>
    </cfRule>
    <cfRule type="cellIs" dxfId="1682" priority="7" operator="lessThan">
      <formula>49.5</formula>
    </cfRule>
  </conditionalFormatting>
  <conditionalFormatting sqref="W20">
    <cfRule type="cellIs" dxfId="1681" priority="4" operator="equal">
      <formula>"FS"</formula>
    </cfRule>
  </conditionalFormatting>
  <conditionalFormatting sqref="Z20:AC20">
    <cfRule type="cellIs" dxfId="1680" priority="2" operator="equal">
      <formula>"-"</formula>
    </cfRule>
  </conditionalFormatting>
  <conditionalFormatting sqref="E20:AC20">
    <cfRule type="cellIs" dxfId="1679" priority="13" operator="equal">
      <formula>"ABS"</formula>
    </cfRule>
    <cfRule type="cellIs" dxfId="1678" priority="14" operator="equal">
      <formula>"EXC"</formula>
    </cfRule>
  </conditionalFormatting>
  <conditionalFormatting sqref="S20:V20">
    <cfRule type="cellIs" dxfId="1677" priority="9" operator="equal">
      <formula>"DPR"</formula>
    </cfRule>
  </conditionalFormatting>
  <conditionalFormatting sqref="V20:AC20">
    <cfRule type="cellIs" dxfId="1676" priority="1" operator="equal">
      <formula>"AB"</formula>
    </cfRule>
  </conditionalFormatting>
  <pageMargins left="0.70866141732283472" right="0.70866141732283472" top="0.74803149606299213" bottom="0.74803149606299213" header="0.31496062992125984" footer="0.31496062992125984"/>
  <pageSetup paperSize="9" scale="38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Y1802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5" sqref="F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10.140625" style="2" customWidth="1"/>
    <col min="6" max="25" width="9.140625" style="2"/>
  </cols>
  <sheetData>
    <row r="1" spans="1:7" ht="15.75" thickBot="1" x14ac:dyDescent="0.3">
      <c r="A1" s="1" t="s">
        <v>0</v>
      </c>
      <c r="D1" s="126" t="s">
        <v>1</v>
      </c>
      <c r="E1" s="215"/>
      <c r="F1" s="215"/>
      <c r="G1" s="215"/>
    </row>
    <row r="2" spans="1:7" ht="15.75" thickBot="1" x14ac:dyDescent="0.3">
      <c r="D2" s="3" t="s">
        <v>2</v>
      </c>
      <c r="E2" s="40">
        <v>50</v>
      </c>
      <c r="F2" s="4">
        <v>50</v>
      </c>
      <c r="G2" s="5">
        <v>100</v>
      </c>
    </row>
    <row r="3" spans="1:7" ht="15.75" thickBot="1" x14ac:dyDescent="0.3">
      <c r="D3" s="6" t="s">
        <v>3</v>
      </c>
      <c r="E3" s="7">
        <f>IF(SUM(E6:E2000)=0,"",AVERAGE(E6:E2000))</f>
        <v>30</v>
      </c>
      <c r="F3" s="7">
        <f t="shared" ref="F3:G3" si="0">IF(SUM(F6:F2000)=0,"",AVERAGE(F6:F2000))</f>
        <v>34.375</v>
      </c>
      <c r="G3" s="7">
        <f t="shared" si="0"/>
        <v>67.777777777777771</v>
      </c>
    </row>
    <row r="4" spans="1:7" ht="15.75" thickBot="1" x14ac:dyDescent="0.3">
      <c r="A4" s="8"/>
      <c r="B4" s="8"/>
      <c r="C4" s="8"/>
      <c r="D4" s="8"/>
      <c r="E4" s="9"/>
      <c r="F4" s="9"/>
      <c r="G4" s="9"/>
    </row>
    <row r="5" spans="1:7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9" t="s">
        <v>7</v>
      </c>
      <c r="F5" s="190" t="s">
        <v>8</v>
      </c>
      <c r="G5" s="187" t="s">
        <v>9</v>
      </c>
    </row>
    <row r="6" spans="1:7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3"/>
      <c r="F6" s="13">
        <v>50</v>
      </c>
      <c r="G6" s="14">
        <f t="shared" ref="G6:G15" si="1">IF(COUNTBLANK(E6)=0,E6/$E$2*100,IF(OR(F6="EXC",F6="ABS"),F6,F6/$F$2*100))</f>
        <v>100</v>
      </c>
    </row>
    <row r="7" spans="1:7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3"/>
      <c r="F7" s="13">
        <v>25</v>
      </c>
      <c r="G7" s="14">
        <f t="shared" si="1"/>
        <v>50</v>
      </c>
    </row>
    <row r="8" spans="1:7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3"/>
      <c r="F8" s="13">
        <v>0</v>
      </c>
      <c r="G8" s="14">
        <f t="shared" si="1"/>
        <v>0</v>
      </c>
    </row>
    <row r="9" spans="1:7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3"/>
      <c r="F9" s="13">
        <v>100</v>
      </c>
      <c r="G9" s="14">
        <f t="shared" si="1"/>
        <v>200</v>
      </c>
    </row>
    <row r="10" spans="1:7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3"/>
      <c r="F10" s="13" t="s">
        <v>245</v>
      </c>
      <c r="G10" s="14" t="str">
        <f t="shared" si="1"/>
        <v>ABS</v>
      </c>
    </row>
    <row r="11" spans="1:7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3"/>
      <c r="F11" s="13">
        <v>25</v>
      </c>
      <c r="G11" s="14">
        <f t="shared" si="1"/>
        <v>50</v>
      </c>
    </row>
    <row r="12" spans="1:7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3"/>
      <c r="F12" s="13">
        <v>25</v>
      </c>
      <c r="G12" s="14">
        <f t="shared" si="1"/>
        <v>50</v>
      </c>
    </row>
    <row r="13" spans="1:7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3">
        <v>30</v>
      </c>
      <c r="F13" s="13"/>
      <c r="G13" s="14">
        <f t="shared" si="1"/>
        <v>60</v>
      </c>
    </row>
    <row r="14" spans="1:7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3"/>
      <c r="F14" s="13">
        <v>25</v>
      </c>
      <c r="G14" s="14">
        <f t="shared" si="1"/>
        <v>50</v>
      </c>
    </row>
    <row r="15" spans="1:7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3"/>
      <c r="F15" s="13">
        <v>25</v>
      </c>
      <c r="G15" s="14">
        <f t="shared" si="1"/>
        <v>50</v>
      </c>
    </row>
    <row r="16" spans="1:7" x14ac:dyDescent="0.25">
      <c r="C16" s="180"/>
      <c r="D16" s="180"/>
      <c r="E16" s="144"/>
      <c r="F16" s="144"/>
    </row>
    <row r="17" spans="3:6" x14ac:dyDescent="0.25">
      <c r="C17" s="180"/>
      <c r="D17" s="180"/>
      <c r="E17" s="144"/>
      <c r="F17" s="144"/>
    </row>
    <row r="18" spans="3:6" x14ac:dyDescent="0.25">
      <c r="C18" s="180"/>
      <c r="D18" s="180"/>
      <c r="E18" s="144"/>
      <c r="F18" s="144"/>
    </row>
    <row r="19" spans="3:6" x14ac:dyDescent="0.25">
      <c r="C19" s="180"/>
      <c r="D19" s="180"/>
      <c r="E19" s="144"/>
      <c r="F19" s="144"/>
    </row>
    <row r="20" spans="3:6" x14ac:dyDescent="0.25">
      <c r="C20" s="180"/>
      <c r="D20" s="180"/>
      <c r="E20" s="144"/>
      <c r="F20" s="144"/>
    </row>
    <row r="21" spans="3:6" x14ac:dyDescent="0.25">
      <c r="C21" s="180"/>
      <c r="D21" s="180"/>
      <c r="E21" s="144"/>
      <c r="F21" s="144"/>
    </row>
    <row r="22" spans="3:6" x14ac:dyDescent="0.25">
      <c r="C22" s="180"/>
      <c r="D22" s="180"/>
      <c r="E22" s="144"/>
      <c r="F22" s="144"/>
    </row>
    <row r="23" spans="3:6" x14ac:dyDescent="0.25">
      <c r="C23" s="180"/>
      <c r="D23" s="180"/>
      <c r="E23" s="144"/>
      <c r="F23" s="144"/>
    </row>
    <row r="24" spans="3:6" x14ac:dyDescent="0.25">
      <c r="C24" s="180"/>
      <c r="D24" s="180"/>
      <c r="E24" s="144"/>
      <c r="F24" s="144"/>
    </row>
    <row r="25" spans="3:6" x14ac:dyDescent="0.25">
      <c r="C25" s="180"/>
      <c r="D25" s="180"/>
      <c r="E25" s="144"/>
      <c r="F25" s="144"/>
    </row>
    <row r="26" spans="3:6" x14ac:dyDescent="0.25">
      <c r="C26" s="180"/>
      <c r="D26" s="180"/>
      <c r="E26" s="144"/>
      <c r="F26" s="144"/>
    </row>
    <row r="27" spans="3:6" x14ac:dyDescent="0.25">
      <c r="C27" s="180"/>
      <c r="D27" s="180"/>
      <c r="E27" s="144"/>
      <c r="F27" s="144"/>
    </row>
    <row r="28" spans="3:6" x14ac:dyDescent="0.25">
      <c r="C28" s="180"/>
      <c r="D28" s="180"/>
      <c r="E28" s="144"/>
      <c r="F28" s="144"/>
    </row>
    <row r="29" spans="3:6" x14ac:dyDescent="0.25">
      <c r="C29" s="180"/>
      <c r="D29" s="180"/>
      <c r="E29" s="144"/>
      <c r="F29" s="144"/>
    </row>
    <row r="30" spans="3:6" x14ac:dyDescent="0.25">
      <c r="C30" s="180"/>
      <c r="D30" s="180"/>
      <c r="E30" s="144"/>
      <c r="F30" s="144"/>
    </row>
    <row r="31" spans="3:6" x14ac:dyDescent="0.25">
      <c r="C31" s="180"/>
      <c r="D31" s="180"/>
      <c r="E31" s="144"/>
      <c r="F31" s="144"/>
    </row>
    <row r="32" spans="3:6" x14ac:dyDescent="0.25">
      <c r="C32" s="180"/>
      <c r="D32" s="180"/>
      <c r="E32" s="144"/>
      <c r="F32" s="144"/>
    </row>
    <row r="33" spans="3:6" x14ac:dyDescent="0.25">
      <c r="C33" s="180"/>
      <c r="D33" s="180"/>
      <c r="E33" s="144"/>
      <c r="F33" s="144"/>
    </row>
    <row r="34" spans="3:6" x14ac:dyDescent="0.25">
      <c r="C34" s="180"/>
      <c r="D34" s="180"/>
      <c r="E34" s="144"/>
      <c r="F34" s="144"/>
    </row>
    <row r="35" spans="3:6" x14ac:dyDescent="0.25">
      <c r="C35" s="180"/>
      <c r="D35" s="180"/>
      <c r="E35" s="144"/>
      <c r="F35" s="144"/>
    </row>
    <row r="36" spans="3:6" x14ac:dyDescent="0.25">
      <c r="C36" s="180"/>
      <c r="D36" s="180"/>
      <c r="E36" s="144"/>
      <c r="F36" s="144"/>
    </row>
    <row r="37" spans="3:6" x14ac:dyDescent="0.25">
      <c r="C37" s="180"/>
      <c r="D37" s="180"/>
      <c r="E37" s="144"/>
      <c r="F37" s="144"/>
    </row>
    <row r="38" spans="3:6" x14ac:dyDescent="0.25">
      <c r="C38" s="180"/>
      <c r="D38" s="180"/>
      <c r="E38" s="144"/>
      <c r="F38" s="144"/>
    </row>
    <row r="39" spans="3:6" x14ac:dyDescent="0.25">
      <c r="C39" s="180"/>
      <c r="D39" s="180"/>
      <c r="E39" s="144"/>
      <c r="F39" s="144"/>
    </row>
    <row r="40" spans="3:6" x14ac:dyDescent="0.25">
      <c r="C40" s="180"/>
      <c r="D40" s="180"/>
      <c r="E40" s="144"/>
      <c r="F40" s="144"/>
    </row>
    <row r="41" spans="3:6" x14ac:dyDescent="0.25">
      <c r="C41" s="180"/>
      <c r="D41" s="180"/>
      <c r="E41" s="144"/>
      <c r="F41" s="144"/>
    </row>
    <row r="42" spans="3:6" x14ac:dyDescent="0.25">
      <c r="C42" s="180"/>
      <c r="D42" s="180"/>
      <c r="E42" s="144"/>
      <c r="F42" s="144"/>
    </row>
    <row r="43" spans="3:6" x14ac:dyDescent="0.25">
      <c r="C43" s="180"/>
      <c r="D43" s="180"/>
      <c r="E43" s="144"/>
      <c r="F43" s="144"/>
    </row>
    <row r="44" spans="3:6" x14ac:dyDescent="0.25">
      <c r="C44" s="180"/>
      <c r="D44" s="180"/>
      <c r="E44" s="144"/>
      <c r="F44" s="144"/>
    </row>
    <row r="45" spans="3:6" x14ac:dyDescent="0.25">
      <c r="C45" s="180"/>
      <c r="D45" s="180"/>
      <c r="E45" s="144"/>
      <c r="F45" s="144"/>
    </row>
    <row r="46" spans="3:6" x14ac:dyDescent="0.25">
      <c r="C46" s="180"/>
      <c r="D46" s="180"/>
      <c r="E46" s="144"/>
      <c r="F46" s="144"/>
    </row>
    <row r="47" spans="3:6" x14ac:dyDescent="0.25">
      <c r="C47" s="180"/>
      <c r="D47" s="180"/>
      <c r="E47" s="144"/>
      <c r="F47" s="144"/>
    </row>
    <row r="48" spans="3:6" x14ac:dyDescent="0.25">
      <c r="C48" s="180"/>
      <c r="D48" s="180"/>
      <c r="E48" s="144"/>
      <c r="F48" s="144"/>
    </row>
    <row r="49" spans="3:6" x14ac:dyDescent="0.25">
      <c r="C49" s="180"/>
      <c r="D49" s="180"/>
      <c r="E49" s="144"/>
      <c r="F49" s="144"/>
    </row>
    <row r="50" spans="3:6" x14ac:dyDescent="0.25">
      <c r="C50" s="180"/>
      <c r="D50" s="180"/>
      <c r="E50" s="144"/>
      <c r="F50" s="144"/>
    </row>
    <row r="51" spans="3:6" x14ac:dyDescent="0.25">
      <c r="C51" s="180"/>
      <c r="D51" s="180"/>
      <c r="E51" s="144"/>
      <c r="F51" s="144"/>
    </row>
    <row r="52" spans="3:6" x14ac:dyDescent="0.25">
      <c r="C52" s="180"/>
      <c r="D52" s="180"/>
      <c r="E52" s="144"/>
      <c r="F52" s="144"/>
    </row>
    <row r="53" spans="3:6" x14ac:dyDescent="0.25">
      <c r="C53" s="180"/>
      <c r="D53" s="180"/>
      <c r="E53" s="144"/>
      <c r="F53" s="144"/>
    </row>
    <row r="54" spans="3:6" x14ac:dyDescent="0.25">
      <c r="C54" s="180"/>
      <c r="D54" s="180"/>
      <c r="E54" s="144"/>
      <c r="F54" s="144"/>
    </row>
    <row r="55" spans="3:6" x14ac:dyDescent="0.25">
      <c r="C55" s="180"/>
      <c r="D55" s="180"/>
      <c r="E55" s="144"/>
      <c r="F55" s="144"/>
    </row>
    <row r="56" spans="3:6" x14ac:dyDescent="0.25">
      <c r="C56" s="180"/>
      <c r="D56" s="180"/>
      <c r="E56" s="144"/>
      <c r="F56" s="144"/>
    </row>
    <row r="57" spans="3:6" x14ac:dyDescent="0.25">
      <c r="C57" s="180"/>
      <c r="D57" s="180"/>
      <c r="E57" s="144"/>
      <c r="F57" s="144"/>
    </row>
    <row r="58" spans="3:6" x14ac:dyDescent="0.25">
      <c r="C58" s="180"/>
      <c r="D58" s="180"/>
      <c r="E58" s="144"/>
      <c r="F58" s="144"/>
    </row>
    <row r="59" spans="3:6" x14ac:dyDescent="0.25">
      <c r="C59" s="180"/>
      <c r="D59" s="180"/>
      <c r="E59" s="144"/>
      <c r="F59" s="144"/>
    </row>
    <row r="60" spans="3:6" x14ac:dyDescent="0.25">
      <c r="C60" s="180"/>
      <c r="D60" s="180"/>
      <c r="E60" s="144"/>
      <c r="F60" s="144"/>
    </row>
    <row r="61" spans="3:6" x14ac:dyDescent="0.25">
      <c r="C61" s="180"/>
      <c r="D61" s="180"/>
      <c r="E61" s="144"/>
      <c r="F61" s="144"/>
    </row>
    <row r="62" spans="3:6" x14ac:dyDescent="0.25">
      <c r="C62" s="180"/>
      <c r="D62" s="180"/>
      <c r="E62" s="144"/>
      <c r="F62" s="144"/>
    </row>
    <row r="63" spans="3:6" x14ac:dyDescent="0.25">
      <c r="C63" s="180"/>
      <c r="D63" s="180"/>
      <c r="E63" s="144"/>
      <c r="F63" s="144"/>
    </row>
    <row r="64" spans="3:6" x14ac:dyDescent="0.25">
      <c r="C64" s="180"/>
      <c r="D64" s="180"/>
      <c r="E64" s="144"/>
      <c r="F64" s="144"/>
    </row>
    <row r="65" spans="3:6" x14ac:dyDescent="0.25">
      <c r="C65" s="180"/>
      <c r="D65" s="180"/>
      <c r="E65" s="144"/>
      <c r="F65" s="144"/>
    </row>
    <row r="66" spans="3:6" x14ac:dyDescent="0.25">
      <c r="C66" s="180"/>
      <c r="D66" s="180"/>
      <c r="E66" s="144"/>
      <c r="F66" s="144"/>
    </row>
    <row r="67" spans="3:6" x14ac:dyDescent="0.25">
      <c r="C67" s="180"/>
      <c r="D67" s="180"/>
      <c r="E67" s="144"/>
      <c r="F67" s="144"/>
    </row>
    <row r="68" spans="3:6" x14ac:dyDescent="0.25">
      <c r="C68" s="180"/>
      <c r="D68" s="180"/>
      <c r="E68" s="144"/>
      <c r="F68" s="144"/>
    </row>
    <row r="69" spans="3:6" x14ac:dyDescent="0.25">
      <c r="C69" s="180"/>
      <c r="D69" s="180"/>
      <c r="E69" s="144"/>
      <c r="F69" s="144"/>
    </row>
    <row r="70" spans="3:6" x14ac:dyDescent="0.25">
      <c r="C70" s="180"/>
      <c r="D70" s="180"/>
      <c r="E70" s="144"/>
      <c r="F70" s="144"/>
    </row>
    <row r="71" spans="3:6" x14ac:dyDescent="0.25">
      <c r="C71" s="180"/>
      <c r="D71" s="180"/>
      <c r="E71" s="144"/>
      <c r="F71" s="144"/>
    </row>
    <row r="72" spans="3:6" x14ac:dyDescent="0.25">
      <c r="C72" s="180"/>
      <c r="D72" s="180"/>
      <c r="E72" s="144"/>
      <c r="F72" s="144"/>
    </row>
    <row r="73" spans="3:6" x14ac:dyDescent="0.25">
      <c r="C73" s="180"/>
      <c r="D73" s="180"/>
      <c r="E73" s="144"/>
      <c r="F73" s="144"/>
    </row>
    <row r="74" spans="3:6" x14ac:dyDescent="0.25">
      <c r="C74" s="180"/>
      <c r="D74" s="180"/>
      <c r="E74" s="144"/>
      <c r="F74" s="144"/>
    </row>
    <row r="75" spans="3:6" x14ac:dyDescent="0.25">
      <c r="C75" s="180"/>
      <c r="D75" s="180"/>
      <c r="E75" s="144"/>
      <c r="F75" s="144"/>
    </row>
    <row r="76" spans="3:6" x14ac:dyDescent="0.25">
      <c r="C76" s="180"/>
      <c r="D76" s="180"/>
      <c r="E76" s="144"/>
      <c r="F76" s="144"/>
    </row>
    <row r="77" spans="3:6" x14ac:dyDescent="0.25">
      <c r="C77" s="180"/>
      <c r="D77" s="180"/>
      <c r="E77" s="144"/>
      <c r="F77" s="144"/>
    </row>
    <row r="78" spans="3:6" x14ac:dyDescent="0.25">
      <c r="C78" s="180"/>
      <c r="D78" s="180"/>
      <c r="E78" s="144"/>
      <c r="F78" s="144"/>
    </row>
    <row r="79" spans="3:6" x14ac:dyDescent="0.25">
      <c r="C79" s="180"/>
      <c r="D79" s="180"/>
      <c r="E79" s="144"/>
      <c r="F79" s="144"/>
    </row>
    <row r="80" spans="3:6" x14ac:dyDescent="0.25">
      <c r="C80" s="180"/>
      <c r="D80" s="180"/>
      <c r="E80" s="144"/>
      <c r="F80" s="144"/>
    </row>
    <row r="81" spans="3:6" x14ac:dyDescent="0.25">
      <c r="C81" s="180"/>
      <c r="D81" s="180"/>
      <c r="E81" s="144"/>
      <c r="F81" s="144"/>
    </row>
    <row r="82" spans="3:6" x14ac:dyDescent="0.25">
      <c r="C82" s="180"/>
      <c r="D82" s="180"/>
      <c r="E82" s="144"/>
      <c r="F82" s="144"/>
    </row>
    <row r="83" spans="3:6" x14ac:dyDescent="0.25">
      <c r="C83" s="180"/>
      <c r="D83" s="180"/>
      <c r="E83" s="144"/>
      <c r="F83" s="144"/>
    </row>
    <row r="84" spans="3:6" x14ac:dyDescent="0.25">
      <c r="C84" s="180"/>
      <c r="D84" s="180"/>
      <c r="E84" s="144"/>
      <c r="F84" s="144"/>
    </row>
    <row r="85" spans="3:6" x14ac:dyDescent="0.25">
      <c r="C85" s="180"/>
      <c r="D85" s="180"/>
      <c r="E85" s="144"/>
      <c r="F85" s="144"/>
    </row>
    <row r="86" spans="3:6" x14ac:dyDescent="0.25">
      <c r="C86" s="180"/>
      <c r="D86" s="180"/>
      <c r="E86" s="144"/>
      <c r="F86" s="144"/>
    </row>
    <row r="87" spans="3:6" x14ac:dyDescent="0.25">
      <c r="C87" s="180"/>
      <c r="D87" s="180"/>
      <c r="E87" s="144"/>
      <c r="F87" s="144"/>
    </row>
    <row r="88" spans="3:6" x14ac:dyDescent="0.25">
      <c r="C88" s="180"/>
      <c r="D88" s="180"/>
      <c r="E88" s="144"/>
      <c r="F88" s="144"/>
    </row>
    <row r="89" spans="3:6" x14ac:dyDescent="0.25">
      <c r="C89" s="180"/>
      <c r="D89" s="180"/>
      <c r="E89" s="144"/>
      <c r="F89" s="144"/>
    </row>
    <row r="90" spans="3:6" x14ac:dyDescent="0.25">
      <c r="C90" s="180"/>
      <c r="D90" s="180"/>
      <c r="E90" s="144"/>
      <c r="F90" s="144"/>
    </row>
    <row r="91" spans="3:6" x14ac:dyDescent="0.25">
      <c r="C91" s="180"/>
      <c r="D91" s="180"/>
      <c r="E91" s="144"/>
      <c r="F91" s="144"/>
    </row>
    <row r="92" spans="3:6" x14ac:dyDescent="0.25">
      <c r="C92" s="180"/>
      <c r="D92" s="180"/>
      <c r="E92" s="144"/>
      <c r="F92" s="144"/>
    </row>
    <row r="93" spans="3:6" x14ac:dyDescent="0.25">
      <c r="C93" s="180"/>
      <c r="D93" s="180"/>
      <c r="E93" s="144"/>
      <c r="F93" s="144"/>
    </row>
    <row r="94" spans="3:6" x14ac:dyDescent="0.25">
      <c r="C94" s="180"/>
      <c r="D94" s="180"/>
      <c r="E94" s="144"/>
      <c r="F94" s="144"/>
    </row>
    <row r="95" spans="3:6" x14ac:dyDescent="0.25">
      <c r="C95" s="180"/>
      <c r="D95" s="180"/>
      <c r="E95" s="144"/>
      <c r="F95" s="144"/>
    </row>
    <row r="96" spans="3:6" x14ac:dyDescent="0.25">
      <c r="C96" s="180"/>
      <c r="D96" s="180"/>
      <c r="E96" s="144"/>
      <c r="F96" s="144"/>
    </row>
    <row r="97" spans="3:6" x14ac:dyDescent="0.25">
      <c r="C97" s="180"/>
      <c r="D97" s="180"/>
      <c r="E97" s="144"/>
      <c r="F97" s="144"/>
    </row>
    <row r="98" spans="3:6" x14ac:dyDescent="0.25">
      <c r="C98" s="180"/>
      <c r="D98" s="180"/>
      <c r="E98" s="144"/>
      <c r="F98" s="144"/>
    </row>
    <row r="99" spans="3:6" x14ac:dyDescent="0.25">
      <c r="C99" s="180"/>
      <c r="D99" s="180"/>
      <c r="E99" s="144"/>
      <c r="F99" s="144"/>
    </row>
    <row r="100" spans="3:6" x14ac:dyDescent="0.25">
      <c r="C100" s="180"/>
      <c r="D100" s="180"/>
      <c r="E100" s="144"/>
      <c r="F100" s="144"/>
    </row>
    <row r="101" spans="3:6" x14ac:dyDescent="0.25">
      <c r="C101" s="180"/>
      <c r="D101" s="180"/>
      <c r="E101" s="144"/>
      <c r="F101" s="144"/>
    </row>
    <row r="102" spans="3:6" x14ac:dyDescent="0.25">
      <c r="C102" s="180"/>
      <c r="D102" s="180"/>
      <c r="E102" s="144"/>
      <c r="F102" s="144"/>
    </row>
    <row r="103" spans="3:6" x14ac:dyDescent="0.25">
      <c r="C103" s="180"/>
      <c r="D103" s="180"/>
      <c r="E103" s="144"/>
      <c r="F103" s="144"/>
    </row>
    <row r="104" spans="3:6" x14ac:dyDescent="0.25">
      <c r="C104" s="180"/>
      <c r="D104" s="180"/>
      <c r="E104" s="144"/>
      <c r="F104" s="144"/>
    </row>
    <row r="105" spans="3:6" x14ac:dyDescent="0.25">
      <c r="C105" s="180"/>
      <c r="D105" s="180"/>
      <c r="E105" s="144"/>
      <c r="F105" s="144"/>
    </row>
    <row r="106" spans="3:6" x14ac:dyDescent="0.25">
      <c r="C106" s="180"/>
      <c r="D106" s="180"/>
      <c r="E106" s="144"/>
      <c r="F106" s="144"/>
    </row>
    <row r="107" spans="3:6" x14ac:dyDescent="0.25">
      <c r="C107" s="180"/>
      <c r="D107" s="180"/>
      <c r="E107" s="144"/>
      <c r="F107" s="144"/>
    </row>
    <row r="108" spans="3:6" x14ac:dyDescent="0.25">
      <c r="C108" s="180"/>
      <c r="D108" s="180"/>
      <c r="E108" s="144"/>
      <c r="F108" s="144"/>
    </row>
    <row r="109" spans="3:6" x14ac:dyDescent="0.25">
      <c r="C109" s="180"/>
      <c r="D109" s="180"/>
      <c r="E109" s="144"/>
      <c r="F109" s="144"/>
    </row>
    <row r="110" spans="3:6" x14ac:dyDescent="0.25">
      <c r="C110" s="180"/>
      <c r="D110" s="180"/>
      <c r="E110" s="144"/>
      <c r="F110" s="144"/>
    </row>
    <row r="111" spans="3:6" x14ac:dyDescent="0.25">
      <c r="C111" s="180"/>
      <c r="D111" s="180"/>
      <c r="E111" s="144"/>
      <c r="F111" s="144"/>
    </row>
    <row r="112" spans="3:6" x14ac:dyDescent="0.25">
      <c r="C112" s="180"/>
      <c r="D112" s="180"/>
      <c r="E112" s="144"/>
      <c r="F112" s="144"/>
    </row>
    <row r="113" spans="3:6" x14ac:dyDescent="0.25">
      <c r="C113" s="180"/>
      <c r="D113" s="180"/>
      <c r="E113" s="144"/>
      <c r="F113" s="144"/>
    </row>
    <row r="114" spans="3:6" x14ac:dyDescent="0.25">
      <c r="C114" s="180"/>
      <c r="D114" s="180"/>
      <c r="E114" s="144"/>
      <c r="F114" s="144"/>
    </row>
    <row r="115" spans="3:6" x14ac:dyDescent="0.25">
      <c r="C115" s="180"/>
      <c r="D115" s="180"/>
      <c r="E115" s="144"/>
      <c r="F115" s="144"/>
    </row>
    <row r="116" spans="3:6" x14ac:dyDescent="0.25">
      <c r="C116" s="180"/>
      <c r="D116" s="180"/>
      <c r="E116" s="144"/>
      <c r="F116" s="144"/>
    </row>
    <row r="117" spans="3:6" x14ac:dyDescent="0.25">
      <c r="C117" s="180"/>
      <c r="D117" s="180"/>
      <c r="E117" s="144"/>
      <c r="F117" s="144"/>
    </row>
    <row r="118" spans="3:6" x14ac:dyDescent="0.25">
      <c r="C118" s="180"/>
      <c r="D118" s="180"/>
      <c r="E118" s="144"/>
      <c r="F118" s="144"/>
    </row>
    <row r="119" spans="3:6" x14ac:dyDescent="0.25">
      <c r="C119" s="180"/>
      <c r="D119" s="180"/>
      <c r="E119" s="144"/>
      <c r="F119" s="144"/>
    </row>
    <row r="120" spans="3:6" x14ac:dyDescent="0.25">
      <c r="C120" s="180"/>
      <c r="D120" s="180"/>
      <c r="E120" s="144"/>
      <c r="F120" s="144"/>
    </row>
    <row r="121" spans="3:6" x14ac:dyDescent="0.25">
      <c r="C121" s="180"/>
      <c r="D121" s="180"/>
      <c r="E121" s="144"/>
      <c r="F121" s="144"/>
    </row>
    <row r="122" spans="3:6" x14ac:dyDescent="0.25">
      <c r="C122" s="180"/>
      <c r="D122" s="180"/>
      <c r="E122" s="144"/>
      <c r="F122" s="144"/>
    </row>
    <row r="123" spans="3:6" x14ac:dyDescent="0.25">
      <c r="C123" s="180"/>
      <c r="D123" s="180"/>
      <c r="E123" s="144"/>
      <c r="F123" s="144"/>
    </row>
    <row r="124" spans="3:6" x14ac:dyDescent="0.25">
      <c r="C124" s="180"/>
      <c r="D124" s="180"/>
      <c r="E124" s="144"/>
      <c r="F124" s="144"/>
    </row>
    <row r="125" spans="3:6" x14ac:dyDescent="0.25">
      <c r="C125" s="180"/>
      <c r="D125" s="180"/>
      <c r="E125" s="144"/>
      <c r="F125" s="144"/>
    </row>
    <row r="126" spans="3:6" x14ac:dyDescent="0.25">
      <c r="C126" s="180"/>
      <c r="D126" s="180"/>
      <c r="E126" s="144"/>
      <c r="F126" s="144"/>
    </row>
    <row r="127" spans="3:6" x14ac:dyDescent="0.25">
      <c r="C127" s="180"/>
      <c r="D127" s="180"/>
      <c r="E127" s="144"/>
      <c r="F127" s="144"/>
    </row>
    <row r="128" spans="3:6" x14ac:dyDescent="0.25">
      <c r="C128" s="180"/>
      <c r="D128" s="180"/>
      <c r="E128" s="144"/>
      <c r="F128" s="144"/>
    </row>
    <row r="129" spans="3:6" x14ac:dyDescent="0.25">
      <c r="C129" s="180"/>
      <c r="D129" s="180"/>
      <c r="E129" s="144"/>
      <c r="F129" s="144"/>
    </row>
    <row r="130" spans="3:6" x14ac:dyDescent="0.25">
      <c r="C130" s="180"/>
      <c r="D130" s="180"/>
      <c r="E130" s="144"/>
      <c r="F130" s="144"/>
    </row>
    <row r="131" spans="3:6" x14ac:dyDescent="0.25">
      <c r="C131" s="180"/>
      <c r="D131" s="180"/>
      <c r="E131" s="144"/>
      <c r="F131" s="144"/>
    </row>
    <row r="132" spans="3:6" x14ac:dyDescent="0.25">
      <c r="C132" s="180"/>
      <c r="D132" s="180"/>
      <c r="E132" s="144"/>
      <c r="F132" s="144"/>
    </row>
    <row r="133" spans="3:6" x14ac:dyDescent="0.25">
      <c r="C133" s="180"/>
      <c r="D133" s="180"/>
      <c r="E133" s="144"/>
      <c r="F133" s="144"/>
    </row>
    <row r="134" spans="3:6" x14ac:dyDescent="0.25">
      <c r="C134" s="180"/>
      <c r="D134" s="180"/>
      <c r="E134" s="144"/>
      <c r="F134" s="144"/>
    </row>
    <row r="135" spans="3:6" x14ac:dyDescent="0.25">
      <c r="C135" s="180"/>
      <c r="D135" s="180"/>
      <c r="E135" s="144"/>
      <c r="F135" s="144"/>
    </row>
    <row r="136" spans="3:6" x14ac:dyDescent="0.25">
      <c r="C136" s="180"/>
      <c r="D136" s="180"/>
      <c r="E136" s="144"/>
      <c r="F136" s="144"/>
    </row>
    <row r="137" spans="3:6" x14ac:dyDescent="0.25">
      <c r="C137" s="180"/>
      <c r="D137" s="180"/>
      <c r="E137" s="144"/>
      <c r="F137" s="144"/>
    </row>
    <row r="138" spans="3:6" x14ac:dyDescent="0.25">
      <c r="C138" s="180"/>
      <c r="D138" s="180"/>
      <c r="E138" s="144"/>
      <c r="F138" s="144"/>
    </row>
    <row r="139" spans="3:6" x14ac:dyDescent="0.25">
      <c r="C139" s="180"/>
      <c r="D139" s="180"/>
      <c r="E139" s="144"/>
      <c r="F139" s="144"/>
    </row>
    <row r="140" spans="3:6" x14ac:dyDescent="0.25">
      <c r="C140" s="180"/>
      <c r="D140" s="180"/>
      <c r="E140" s="144"/>
      <c r="F140" s="144"/>
    </row>
    <row r="141" spans="3:6" x14ac:dyDescent="0.25">
      <c r="C141" s="180"/>
      <c r="D141" s="180"/>
      <c r="E141" s="144"/>
      <c r="F141" s="144"/>
    </row>
    <row r="142" spans="3:6" x14ac:dyDescent="0.25">
      <c r="C142" s="180"/>
      <c r="D142" s="180"/>
      <c r="E142" s="144"/>
      <c r="F142" s="144"/>
    </row>
    <row r="143" spans="3:6" x14ac:dyDescent="0.25">
      <c r="C143" s="180"/>
      <c r="D143" s="180"/>
      <c r="E143" s="144"/>
      <c r="F143" s="144"/>
    </row>
    <row r="144" spans="3:6" x14ac:dyDescent="0.25">
      <c r="C144" s="180"/>
      <c r="D144" s="180"/>
      <c r="E144" s="144"/>
      <c r="F144" s="144"/>
    </row>
    <row r="145" spans="3:6" x14ac:dyDescent="0.25">
      <c r="C145" s="180"/>
      <c r="D145" s="180"/>
      <c r="E145" s="144"/>
      <c r="F145" s="144"/>
    </row>
    <row r="146" spans="3:6" x14ac:dyDescent="0.25">
      <c r="C146" s="180"/>
      <c r="D146" s="180"/>
      <c r="E146" s="144"/>
      <c r="F146" s="144"/>
    </row>
    <row r="147" spans="3:6" x14ac:dyDescent="0.25">
      <c r="C147" s="180"/>
      <c r="D147" s="180"/>
      <c r="E147" s="144"/>
      <c r="F147" s="144"/>
    </row>
    <row r="148" spans="3:6" x14ac:dyDescent="0.25">
      <c r="C148" s="180"/>
      <c r="D148" s="180"/>
      <c r="E148" s="144"/>
      <c r="F148" s="144"/>
    </row>
    <row r="149" spans="3:6" x14ac:dyDescent="0.25">
      <c r="C149" s="180"/>
      <c r="D149" s="180"/>
      <c r="E149" s="144"/>
      <c r="F149" s="144"/>
    </row>
    <row r="150" spans="3:6" x14ac:dyDescent="0.25">
      <c r="C150" s="180"/>
      <c r="D150" s="180"/>
      <c r="E150" s="144"/>
      <c r="F150" s="144"/>
    </row>
    <row r="151" spans="3:6" x14ac:dyDescent="0.25">
      <c r="C151" s="180"/>
      <c r="D151" s="180"/>
      <c r="E151" s="144"/>
      <c r="F151" s="144"/>
    </row>
    <row r="152" spans="3:6" x14ac:dyDescent="0.25">
      <c r="C152" s="180"/>
      <c r="D152" s="180"/>
      <c r="E152" s="144"/>
      <c r="F152" s="144"/>
    </row>
    <row r="153" spans="3:6" x14ac:dyDescent="0.25">
      <c r="C153" s="180"/>
      <c r="D153" s="180"/>
      <c r="E153" s="144"/>
      <c r="F153" s="144"/>
    </row>
    <row r="154" spans="3:6" x14ac:dyDescent="0.25">
      <c r="C154" s="180"/>
      <c r="D154" s="180"/>
      <c r="E154" s="144"/>
      <c r="F154" s="144"/>
    </row>
    <row r="155" spans="3:6" x14ac:dyDescent="0.25">
      <c r="C155" s="180"/>
      <c r="D155" s="180"/>
      <c r="E155" s="144"/>
      <c r="F155" s="144"/>
    </row>
    <row r="156" spans="3:6" x14ac:dyDescent="0.25">
      <c r="C156" s="180"/>
      <c r="D156" s="180"/>
      <c r="E156" s="144"/>
      <c r="F156" s="144"/>
    </row>
    <row r="157" spans="3:6" x14ac:dyDescent="0.25">
      <c r="C157" s="180"/>
      <c r="D157" s="180"/>
      <c r="E157" s="144"/>
      <c r="F157" s="144"/>
    </row>
    <row r="158" spans="3:6" x14ac:dyDescent="0.25">
      <c r="C158" s="180"/>
      <c r="D158" s="180"/>
      <c r="E158" s="144"/>
      <c r="F158" s="144"/>
    </row>
    <row r="159" spans="3:6" x14ac:dyDescent="0.25">
      <c r="C159" s="180"/>
      <c r="D159" s="180"/>
      <c r="E159" s="144"/>
      <c r="F159" s="144"/>
    </row>
    <row r="160" spans="3:6" x14ac:dyDescent="0.25">
      <c r="C160" s="180"/>
      <c r="D160" s="180"/>
      <c r="E160" s="144"/>
      <c r="F160" s="144"/>
    </row>
    <row r="161" spans="3:6" x14ac:dyDescent="0.25">
      <c r="C161" s="180"/>
      <c r="D161" s="180"/>
      <c r="E161" s="144"/>
      <c r="F161" s="144"/>
    </row>
    <row r="162" spans="3:6" x14ac:dyDescent="0.25">
      <c r="C162" s="180"/>
      <c r="D162" s="180"/>
      <c r="E162" s="144"/>
      <c r="F162" s="144"/>
    </row>
    <row r="163" spans="3:6" x14ac:dyDescent="0.25">
      <c r="C163" s="180"/>
      <c r="D163" s="180"/>
      <c r="E163" s="144"/>
      <c r="F163" s="144"/>
    </row>
    <row r="164" spans="3:6" x14ac:dyDescent="0.25">
      <c r="C164" s="180"/>
      <c r="D164" s="180"/>
      <c r="E164" s="144"/>
      <c r="F164" s="144"/>
    </row>
    <row r="165" spans="3:6" x14ac:dyDescent="0.25">
      <c r="C165" s="180"/>
      <c r="D165" s="180"/>
      <c r="E165" s="144"/>
      <c r="F165" s="144"/>
    </row>
    <row r="166" spans="3:6" x14ac:dyDescent="0.25">
      <c r="C166" s="180"/>
      <c r="D166" s="180"/>
      <c r="E166" s="144"/>
      <c r="F166" s="144"/>
    </row>
    <row r="167" spans="3:6" x14ac:dyDescent="0.25">
      <c r="C167" s="180"/>
      <c r="D167" s="180"/>
      <c r="E167" s="144"/>
      <c r="F167" s="144"/>
    </row>
    <row r="168" spans="3:6" x14ac:dyDescent="0.25">
      <c r="C168" s="180"/>
      <c r="D168" s="180"/>
      <c r="E168" s="144"/>
      <c r="F168" s="144"/>
    </row>
    <row r="169" spans="3:6" x14ac:dyDescent="0.25">
      <c r="C169" s="180"/>
      <c r="D169" s="180"/>
      <c r="E169" s="144"/>
      <c r="F169" s="144"/>
    </row>
    <row r="170" spans="3:6" x14ac:dyDescent="0.25">
      <c r="C170" s="180"/>
      <c r="D170" s="180"/>
      <c r="E170" s="144"/>
      <c r="F170" s="144"/>
    </row>
    <row r="171" spans="3:6" x14ac:dyDescent="0.25">
      <c r="C171" s="180"/>
      <c r="D171" s="180"/>
      <c r="E171" s="144"/>
      <c r="F171" s="144"/>
    </row>
    <row r="172" spans="3:6" x14ac:dyDescent="0.25">
      <c r="C172" s="180"/>
      <c r="D172" s="180"/>
      <c r="E172" s="144"/>
      <c r="F172" s="144"/>
    </row>
    <row r="173" spans="3:6" x14ac:dyDescent="0.25">
      <c r="C173" s="180"/>
      <c r="D173" s="180"/>
      <c r="E173" s="144"/>
      <c r="F173" s="144"/>
    </row>
    <row r="174" spans="3:6" x14ac:dyDescent="0.25">
      <c r="C174" s="180"/>
      <c r="D174" s="180"/>
      <c r="E174" s="144"/>
      <c r="F174" s="144"/>
    </row>
    <row r="175" spans="3:6" x14ac:dyDescent="0.25">
      <c r="C175" s="180"/>
      <c r="D175" s="180"/>
      <c r="E175" s="144"/>
      <c r="F175" s="144"/>
    </row>
    <row r="176" spans="3:6" x14ac:dyDescent="0.25">
      <c r="C176" s="180"/>
      <c r="D176" s="180"/>
      <c r="E176" s="144"/>
      <c r="F176" s="144"/>
    </row>
    <row r="177" spans="3:6" x14ac:dyDescent="0.25">
      <c r="C177" s="180"/>
      <c r="D177" s="180"/>
      <c r="E177" s="144"/>
      <c r="F177" s="144"/>
    </row>
    <row r="178" spans="3:6" x14ac:dyDescent="0.25">
      <c r="C178" s="180"/>
      <c r="D178" s="180"/>
      <c r="E178" s="144"/>
      <c r="F178" s="144"/>
    </row>
    <row r="179" spans="3:6" x14ac:dyDescent="0.25">
      <c r="C179" s="180"/>
      <c r="D179" s="180"/>
      <c r="E179" s="144"/>
      <c r="F179" s="144"/>
    </row>
    <row r="180" spans="3:6" x14ac:dyDescent="0.25">
      <c r="C180" s="180"/>
      <c r="D180" s="180"/>
      <c r="E180" s="144"/>
      <c r="F180" s="144"/>
    </row>
    <row r="181" spans="3:6" x14ac:dyDescent="0.25">
      <c r="C181" s="180"/>
      <c r="D181" s="180"/>
      <c r="E181" s="144"/>
      <c r="F181" s="144"/>
    </row>
    <row r="182" spans="3:6" x14ac:dyDescent="0.25">
      <c r="C182" s="180"/>
      <c r="D182" s="180"/>
      <c r="E182" s="144"/>
      <c r="F182" s="144"/>
    </row>
    <row r="183" spans="3:6" x14ac:dyDescent="0.25">
      <c r="C183" s="180"/>
      <c r="D183" s="180"/>
      <c r="E183" s="144"/>
      <c r="F183" s="144"/>
    </row>
    <row r="184" spans="3:6" x14ac:dyDescent="0.25">
      <c r="C184" s="180"/>
      <c r="D184" s="180"/>
      <c r="E184" s="144"/>
      <c r="F184" s="144"/>
    </row>
    <row r="185" spans="3:6" x14ac:dyDescent="0.25">
      <c r="C185" s="180"/>
      <c r="D185" s="180"/>
      <c r="E185" s="144"/>
      <c r="F185" s="144"/>
    </row>
    <row r="186" spans="3:6" x14ac:dyDescent="0.25">
      <c r="C186" s="180"/>
      <c r="D186" s="180"/>
      <c r="E186" s="144"/>
      <c r="F186" s="144"/>
    </row>
    <row r="187" spans="3:6" x14ac:dyDescent="0.25">
      <c r="C187" s="180"/>
      <c r="D187" s="180"/>
      <c r="E187" s="144"/>
      <c r="F187" s="144"/>
    </row>
    <row r="188" spans="3:6" x14ac:dyDescent="0.25">
      <c r="C188" s="180"/>
      <c r="D188" s="180"/>
      <c r="E188" s="144"/>
      <c r="F188" s="144"/>
    </row>
    <row r="189" spans="3:6" x14ac:dyDescent="0.25">
      <c r="C189" s="180"/>
      <c r="D189" s="180"/>
      <c r="E189" s="144"/>
      <c r="F189" s="144"/>
    </row>
    <row r="190" spans="3:6" x14ac:dyDescent="0.25">
      <c r="C190" s="180"/>
      <c r="D190" s="180"/>
      <c r="E190" s="144"/>
      <c r="F190" s="144"/>
    </row>
    <row r="191" spans="3:6" x14ac:dyDescent="0.25">
      <c r="C191" s="180"/>
      <c r="D191" s="180"/>
      <c r="E191" s="144"/>
      <c r="F191" s="144"/>
    </row>
    <row r="192" spans="3:6" x14ac:dyDescent="0.25">
      <c r="C192" s="180"/>
      <c r="D192" s="180"/>
      <c r="E192" s="144"/>
      <c r="F192" s="144"/>
    </row>
    <row r="193" spans="3:6" x14ac:dyDescent="0.25">
      <c r="C193" s="180"/>
      <c r="D193" s="180"/>
      <c r="E193" s="144"/>
      <c r="F193" s="144"/>
    </row>
    <row r="194" spans="3:6" x14ac:dyDescent="0.25">
      <c r="C194" s="180"/>
      <c r="D194" s="180"/>
      <c r="E194" s="144"/>
      <c r="F194" s="144"/>
    </row>
    <row r="195" spans="3:6" x14ac:dyDescent="0.25">
      <c r="C195" s="180"/>
      <c r="D195" s="180"/>
      <c r="E195" s="144"/>
      <c r="F195" s="144"/>
    </row>
    <row r="196" spans="3:6" x14ac:dyDescent="0.25">
      <c r="C196" s="180"/>
      <c r="D196" s="180"/>
      <c r="E196" s="144"/>
      <c r="F196" s="144"/>
    </row>
    <row r="197" spans="3:6" x14ac:dyDescent="0.25">
      <c r="C197" s="180"/>
      <c r="D197" s="180"/>
      <c r="E197" s="144"/>
      <c r="F197" s="144"/>
    </row>
    <row r="198" spans="3:6" x14ac:dyDescent="0.25">
      <c r="C198" s="180"/>
      <c r="D198" s="180"/>
      <c r="E198" s="144"/>
      <c r="F198" s="144"/>
    </row>
    <row r="199" spans="3:6" x14ac:dyDescent="0.25">
      <c r="C199" s="180"/>
      <c r="D199" s="180"/>
      <c r="E199" s="144"/>
      <c r="F199" s="144"/>
    </row>
    <row r="200" spans="3:6" x14ac:dyDescent="0.25">
      <c r="C200" s="180"/>
      <c r="D200" s="180"/>
      <c r="E200" s="144"/>
      <c r="F200" s="144"/>
    </row>
    <row r="201" spans="3:6" x14ac:dyDescent="0.25">
      <c r="C201" s="180"/>
      <c r="D201" s="180"/>
      <c r="E201" s="144"/>
      <c r="F201" s="144"/>
    </row>
    <row r="202" spans="3:6" x14ac:dyDescent="0.25">
      <c r="C202" s="180"/>
      <c r="D202" s="180"/>
      <c r="E202" s="144"/>
      <c r="F202" s="144"/>
    </row>
    <row r="203" spans="3:6" x14ac:dyDescent="0.25">
      <c r="C203" s="180"/>
      <c r="D203" s="180"/>
      <c r="E203" s="144"/>
      <c r="F203" s="144"/>
    </row>
    <row r="204" spans="3:6" x14ac:dyDescent="0.25">
      <c r="C204" s="180"/>
      <c r="D204" s="180"/>
      <c r="E204" s="144"/>
      <c r="F204" s="144"/>
    </row>
    <row r="205" spans="3:6" x14ac:dyDescent="0.25">
      <c r="C205" s="180"/>
      <c r="D205" s="180"/>
      <c r="E205" s="144"/>
      <c r="F205" s="144"/>
    </row>
    <row r="206" spans="3:6" x14ac:dyDescent="0.25">
      <c r="C206" s="180"/>
      <c r="D206" s="180"/>
      <c r="E206" s="144"/>
      <c r="F206" s="144"/>
    </row>
    <row r="207" spans="3:6" x14ac:dyDescent="0.25">
      <c r="C207" s="180"/>
      <c r="D207" s="180"/>
      <c r="E207" s="144"/>
      <c r="F207" s="144"/>
    </row>
    <row r="208" spans="3:6" x14ac:dyDescent="0.25">
      <c r="C208" s="180"/>
      <c r="D208" s="180"/>
      <c r="E208" s="144"/>
      <c r="F208" s="144"/>
    </row>
    <row r="209" spans="3:6" x14ac:dyDescent="0.25">
      <c r="C209" s="180"/>
      <c r="D209" s="180"/>
      <c r="E209" s="144"/>
      <c r="F209" s="144"/>
    </row>
    <row r="210" spans="3:6" x14ac:dyDescent="0.25">
      <c r="C210" s="180"/>
      <c r="D210" s="180"/>
      <c r="E210" s="144"/>
      <c r="F210" s="144"/>
    </row>
    <row r="211" spans="3:6" x14ac:dyDescent="0.25">
      <c r="C211" s="180"/>
      <c r="D211" s="180"/>
      <c r="E211" s="144"/>
      <c r="F211" s="144"/>
    </row>
    <row r="212" spans="3:6" x14ac:dyDescent="0.25">
      <c r="C212" s="180"/>
      <c r="D212" s="180"/>
      <c r="E212" s="144"/>
      <c r="F212" s="144"/>
    </row>
    <row r="213" spans="3:6" x14ac:dyDescent="0.25">
      <c r="C213" s="180"/>
      <c r="D213" s="180"/>
      <c r="E213" s="144"/>
      <c r="F213" s="144"/>
    </row>
    <row r="214" spans="3:6" x14ac:dyDescent="0.25">
      <c r="C214" s="180"/>
      <c r="D214" s="180"/>
      <c r="E214" s="144"/>
      <c r="F214" s="144"/>
    </row>
    <row r="215" spans="3:6" x14ac:dyDescent="0.25">
      <c r="C215" s="180"/>
      <c r="D215" s="180"/>
      <c r="E215" s="144"/>
      <c r="F215" s="144"/>
    </row>
    <row r="216" spans="3:6" x14ac:dyDescent="0.25">
      <c r="C216" s="180"/>
      <c r="D216" s="180"/>
      <c r="E216" s="144"/>
      <c r="F216" s="144"/>
    </row>
    <row r="217" spans="3:6" x14ac:dyDescent="0.25">
      <c r="C217" s="180"/>
      <c r="D217" s="180"/>
      <c r="E217" s="144"/>
      <c r="F217" s="144"/>
    </row>
    <row r="218" spans="3:6" x14ac:dyDescent="0.25">
      <c r="C218" s="180"/>
      <c r="D218" s="180"/>
      <c r="E218" s="144"/>
      <c r="F218" s="144"/>
    </row>
    <row r="219" spans="3:6" x14ac:dyDescent="0.25">
      <c r="C219" s="180"/>
      <c r="D219" s="180"/>
      <c r="E219" s="144"/>
      <c r="F219" s="144"/>
    </row>
    <row r="220" spans="3:6" x14ac:dyDescent="0.25">
      <c r="C220" s="180"/>
      <c r="D220" s="180"/>
      <c r="E220" s="144"/>
      <c r="F220" s="144"/>
    </row>
    <row r="221" spans="3:6" x14ac:dyDescent="0.25">
      <c r="C221" s="180"/>
      <c r="D221" s="180"/>
      <c r="E221" s="144"/>
      <c r="F221" s="144"/>
    </row>
    <row r="222" spans="3:6" x14ac:dyDescent="0.25">
      <c r="C222" s="180"/>
      <c r="D222" s="180"/>
      <c r="E222" s="144"/>
      <c r="F222" s="144"/>
    </row>
    <row r="223" spans="3:6" x14ac:dyDescent="0.25">
      <c r="C223" s="180"/>
      <c r="D223" s="180"/>
      <c r="E223" s="144"/>
      <c r="F223" s="144"/>
    </row>
    <row r="224" spans="3:6" x14ac:dyDescent="0.25">
      <c r="C224" s="180"/>
      <c r="D224" s="180"/>
      <c r="E224" s="144"/>
      <c r="F224" s="144"/>
    </row>
    <row r="225" spans="3:6" x14ac:dyDescent="0.25">
      <c r="C225" s="180"/>
      <c r="D225" s="180"/>
      <c r="E225" s="144"/>
      <c r="F225" s="144"/>
    </row>
    <row r="226" spans="3:6" x14ac:dyDescent="0.25">
      <c r="C226" s="180"/>
      <c r="D226" s="180"/>
      <c r="E226" s="144"/>
      <c r="F226" s="144"/>
    </row>
    <row r="227" spans="3:6" x14ac:dyDescent="0.25">
      <c r="C227" s="180"/>
      <c r="D227" s="180"/>
      <c r="E227" s="144"/>
      <c r="F227" s="144"/>
    </row>
    <row r="228" spans="3:6" x14ac:dyDescent="0.25">
      <c r="C228" s="180"/>
      <c r="D228" s="180"/>
      <c r="E228" s="144"/>
      <c r="F228" s="144"/>
    </row>
    <row r="229" spans="3:6" x14ac:dyDescent="0.25">
      <c r="C229" s="180"/>
      <c r="D229" s="180"/>
      <c r="E229" s="144"/>
      <c r="F229" s="144"/>
    </row>
    <row r="230" spans="3:6" x14ac:dyDescent="0.25">
      <c r="C230" s="180"/>
      <c r="D230" s="180"/>
      <c r="E230" s="144"/>
      <c r="F230" s="144"/>
    </row>
    <row r="231" spans="3:6" x14ac:dyDescent="0.25">
      <c r="C231" s="180"/>
      <c r="D231" s="180"/>
      <c r="E231" s="144"/>
      <c r="F231" s="144"/>
    </row>
    <row r="232" spans="3:6" x14ac:dyDescent="0.25">
      <c r="C232" s="180"/>
      <c r="D232" s="180"/>
      <c r="E232" s="144"/>
      <c r="F232" s="144"/>
    </row>
    <row r="233" spans="3:6" x14ac:dyDescent="0.25">
      <c r="C233" s="180"/>
      <c r="D233" s="180"/>
      <c r="E233" s="144"/>
      <c r="F233" s="144"/>
    </row>
    <row r="234" spans="3:6" x14ac:dyDescent="0.25">
      <c r="C234" s="180"/>
      <c r="D234" s="180"/>
      <c r="E234" s="144"/>
      <c r="F234" s="144"/>
    </row>
    <row r="235" spans="3:6" x14ac:dyDescent="0.25">
      <c r="C235" s="180"/>
      <c r="D235" s="180"/>
      <c r="E235" s="144"/>
      <c r="F235" s="144"/>
    </row>
    <row r="236" spans="3:6" x14ac:dyDescent="0.25">
      <c r="C236" s="180"/>
      <c r="D236" s="180"/>
      <c r="E236" s="144"/>
      <c r="F236" s="144"/>
    </row>
    <row r="237" spans="3:6" x14ac:dyDescent="0.25">
      <c r="C237" s="180"/>
      <c r="D237" s="180"/>
      <c r="E237" s="144"/>
      <c r="F237" s="144"/>
    </row>
    <row r="238" spans="3:6" x14ac:dyDescent="0.25">
      <c r="C238" s="180"/>
      <c r="D238" s="180"/>
      <c r="E238" s="144"/>
      <c r="F238" s="144"/>
    </row>
    <row r="239" spans="3:6" x14ac:dyDescent="0.25">
      <c r="C239" s="180"/>
      <c r="D239" s="180"/>
      <c r="E239" s="144"/>
      <c r="F239" s="144"/>
    </row>
    <row r="240" spans="3:6" x14ac:dyDescent="0.25">
      <c r="C240" s="180"/>
      <c r="D240" s="180"/>
      <c r="E240" s="144"/>
      <c r="F240" s="144"/>
    </row>
    <row r="241" spans="3:6" x14ac:dyDescent="0.25">
      <c r="C241" s="180"/>
      <c r="D241" s="180"/>
      <c r="E241" s="144"/>
      <c r="F241" s="144"/>
    </row>
    <row r="242" spans="3:6" x14ac:dyDescent="0.25">
      <c r="C242" s="180"/>
      <c r="D242" s="180"/>
      <c r="E242" s="144"/>
      <c r="F242" s="144"/>
    </row>
    <row r="243" spans="3:6" x14ac:dyDescent="0.25">
      <c r="C243" s="180"/>
      <c r="D243" s="180"/>
      <c r="E243" s="144"/>
      <c r="F243" s="144"/>
    </row>
    <row r="244" spans="3:6" x14ac:dyDescent="0.25">
      <c r="C244" s="180"/>
      <c r="D244" s="180"/>
      <c r="E244" s="144"/>
      <c r="F244" s="144"/>
    </row>
    <row r="245" spans="3:6" x14ac:dyDescent="0.25">
      <c r="C245" s="180"/>
      <c r="D245" s="180"/>
      <c r="E245" s="144"/>
      <c r="F245" s="144"/>
    </row>
    <row r="246" spans="3:6" x14ac:dyDescent="0.25">
      <c r="C246" s="180"/>
      <c r="D246" s="180"/>
      <c r="E246" s="144"/>
      <c r="F246" s="144"/>
    </row>
    <row r="247" spans="3:6" x14ac:dyDescent="0.25">
      <c r="C247" s="180"/>
      <c r="D247" s="180"/>
      <c r="E247" s="144"/>
      <c r="F247" s="144"/>
    </row>
    <row r="248" spans="3:6" x14ac:dyDescent="0.25">
      <c r="C248" s="180"/>
      <c r="D248" s="180"/>
      <c r="E248" s="144"/>
      <c r="F248" s="144"/>
    </row>
    <row r="249" spans="3:6" x14ac:dyDescent="0.25">
      <c r="C249" s="180"/>
      <c r="D249" s="180"/>
      <c r="E249" s="144"/>
      <c r="F249" s="144"/>
    </row>
    <row r="250" spans="3:6" x14ac:dyDescent="0.25">
      <c r="C250" s="180"/>
      <c r="D250" s="180"/>
      <c r="E250" s="144"/>
      <c r="F250" s="144"/>
    </row>
    <row r="251" spans="3:6" x14ac:dyDescent="0.25">
      <c r="C251" s="180"/>
      <c r="D251" s="180"/>
      <c r="E251" s="144"/>
      <c r="F251" s="144"/>
    </row>
    <row r="252" spans="3:6" x14ac:dyDescent="0.25">
      <c r="C252" s="180"/>
      <c r="D252" s="180"/>
      <c r="E252" s="144"/>
      <c r="F252" s="144"/>
    </row>
    <row r="253" spans="3:6" x14ac:dyDescent="0.25">
      <c r="C253" s="180"/>
      <c r="D253" s="180"/>
      <c r="E253" s="144"/>
      <c r="F253" s="144"/>
    </row>
    <row r="254" spans="3:6" x14ac:dyDescent="0.25">
      <c r="C254" s="180"/>
      <c r="D254" s="180"/>
      <c r="E254" s="144"/>
      <c r="F254" s="144"/>
    </row>
    <row r="255" spans="3:6" x14ac:dyDescent="0.25">
      <c r="C255" s="180"/>
      <c r="D255" s="180"/>
      <c r="E255" s="144"/>
      <c r="F255" s="144"/>
    </row>
    <row r="256" spans="3:6" x14ac:dyDescent="0.25">
      <c r="C256" s="180"/>
      <c r="D256" s="180"/>
      <c r="E256" s="144"/>
      <c r="F256" s="144"/>
    </row>
    <row r="257" spans="3:6" x14ac:dyDescent="0.25">
      <c r="C257" s="180"/>
      <c r="D257" s="180"/>
      <c r="E257" s="144"/>
      <c r="F257" s="144"/>
    </row>
    <row r="258" spans="3:6" x14ac:dyDescent="0.25">
      <c r="C258" s="180"/>
      <c r="D258" s="180"/>
      <c r="E258" s="144"/>
      <c r="F258" s="144"/>
    </row>
    <row r="259" spans="3:6" x14ac:dyDescent="0.25">
      <c r="C259" s="180"/>
      <c r="D259" s="180"/>
      <c r="E259" s="144"/>
      <c r="F259" s="144"/>
    </row>
    <row r="260" spans="3:6" x14ac:dyDescent="0.25">
      <c r="C260" s="180"/>
      <c r="D260" s="180"/>
      <c r="E260" s="144"/>
      <c r="F260" s="144"/>
    </row>
    <row r="261" spans="3:6" x14ac:dyDescent="0.25">
      <c r="C261" s="180"/>
      <c r="D261" s="180"/>
      <c r="E261" s="144"/>
      <c r="F261" s="144"/>
    </row>
    <row r="262" spans="3:6" x14ac:dyDescent="0.25">
      <c r="C262" s="180"/>
      <c r="D262" s="180"/>
      <c r="E262" s="144"/>
      <c r="F262" s="144"/>
    </row>
    <row r="263" spans="3:6" x14ac:dyDescent="0.25">
      <c r="C263" s="180"/>
      <c r="D263" s="180"/>
      <c r="E263" s="144"/>
      <c r="F263" s="144"/>
    </row>
    <row r="264" spans="3:6" x14ac:dyDescent="0.25">
      <c r="C264" s="180"/>
      <c r="D264" s="180"/>
      <c r="E264" s="144"/>
      <c r="F264" s="144"/>
    </row>
    <row r="265" spans="3:6" x14ac:dyDescent="0.25">
      <c r="C265" s="180"/>
      <c r="D265" s="180"/>
      <c r="E265" s="144"/>
      <c r="F265" s="144"/>
    </row>
    <row r="266" spans="3:6" x14ac:dyDescent="0.25">
      <c r="C266" s="180"/>
      <c r="D266" s="180"/>
      <c r="E266" s="144"/>
      <c r="F266" s="144"/>
    </row>
    <row r="267" spans="3:6" x14ac:dyDescent="0.25">
      <c r="C267" s="180"/>
      <c r="D267" s="180"/>
      <c r="E267" s="144"/>
      <c r="F267" s="144"/>
    </row>
    <row r="268" spans="3:6" x14ac:dyDescent="0.25">
      <c r="C268" s="180"/>
      <c r="D268" s="180"/>
      <c r="E268" s="144"/>
      <c r="F268" s="144"/>
    </row>
    <row r="269" spans="3:6" x14ac:dyDescent="0.25">
      <c r="C269" s="180"/>
      <c r="D269" s="180"/>
      <c r="E269" s="144"/>
      <c r="F269" s="144"/>
    </row>
    <row r="270" spans="3:6" x14ac:dyDescent="0.25">
      <c r="C270" s="180"/>
      <c r="D270" s="180"/>
      <c r="E270" s="144"/>
      <c r="F270" s="144"/>
    </row>
    <row r="271" spans="3:6" x14ac:dyDescent="0.25">
      <c r="C271" s="180"/>
      <c r="D271" s="180"/>
      <c r="E271" s="144"/>
      <c r="F271" s="144"/>
    </row>
    <row r="272" spans="3:6" x14ac:dyDescent="0.25">
      <c r="C272" s="180"/>
      <c r="D272" s="180"/>
      <c r="E272" s="144"/>
      <c r="F272" s="144"/>
    </row>
    <row r="273" spans="3:6" x14ac:dyDescent="0.25">
      <c r="C273" s="180"/>
      <c r="D273" s="180"/>
      <c r="E273" s="144"/>
      <c r="F273" s="144"/>
    </row>
    <row r="274" spans="3:6" x14ac:dyDescent="0.25">
      <c r="C274" s="180"/>
      <c r="D274" s="180"/>
      <c r="E274" s="144"/>
      <c r="F274" s="144"/>
    </row>
    <row r="275" spans="3:6" x14ac:dyDescent="0.25">
      <c r="C275" s="180"/>
      <c r="D275" s="180"/>
      <c r="E275" s="144"/>
      <c r="F275" s="144"/>
    </row>
    <row r="276" spans="3:6" x14ac:dyDescent="0.25">
      <c r="C276" s="180"/>
      <c r="D276" s="180"/>
      <c r="E276" s="144"/>
      <c r="F276" s="144"/>
    </row>
    <row r="277" spans="3:6" x14ac:dyDescent="0.25">
      <c r="C277" s="180"/>
      <c r="D277" s="180"/>
      <c r="E277" s="144"/>
      <c r="F277" s="144"/>
    </row>
    <row r="278" spans="3:6" x14ac:dyDescent="0.25">
      <c r="C278" s="180"/>
      <c r="D278" s="180"/>
      <c r="E278" s="144"/>
      <c r="F278" s="144"/>
    </row>
    <row r="279" spans="3:6" x14ac:dyDescent="0.25">
      <c r="C279" s="180"/>
      <c r="D279" s="180"/>
      <c r="E279" s="144"/>
      <c r="F279" s="144"/>
    </row>
    <row r="280" spans="3:6" x14ac:dyDescent="0.25">
      <c r="C280" s="180"/>
      <c r="D280" s="180"/>
      <c r="E280" s="144"/>
      <c r="F280" s="144"/>
    </row>
    <row r="281" spans="3:6" x14ac:dyDescent="0.25">
      <c r="C281" s="180"/>
      <c r="D281" s="180"/>
      <c r="E281" s="144"/>
      <c r="F281" s="144"/>
    </row>
    <row r="282" spans="3:6" x14ac:dyDescent="0.25">
      <c r="C282" s="180"/>
      <c r="D282" s="180"/>
      <c r="E282" s="144"/>
      <c r="F282" s="144"/>
    </row>
    <row r="283" spans="3:6" x14ac:dyDescent="0.25">
      <c r="C283" s="180"/>
      <c r="D283" s="180"/>
      <c r="E283" s="144"/>
      <c r="F283" s="144"/>
    </row>
    <row r="284" spans="3:6" x14ac:dyDescent="0.25">
      <c r="C284" s="180"/>
      <c r="D284" s="180"/>
      <c r="E284" s="144"/>
      <c r="F284" s="144"/>
    </row>
    <row r="285" spans="3:6" x14ac:dyDescent="0.25">
      <c r="C285" s="180"/>
      <c r="D285" s="180"/>
      <c r="E285" s="144"/>
      <c r="F285" s="144"/>
    </row>
    <row r="286" spans="3:6" x14ac:dyDescent="0.25">
      <c r="C286" s="180"/>
      <c r="D286" s="180"/>
      <c r="E286" s="144"/>
      <c r="F286" s="144"/>
    </row>
    <row r="287" spans="3:6" x14ac:dyDescent="0.25">
      <c r="C287" s="180"/>
      <c r="D287" s="180"/>
      <c r="E287" s="144"/>
      <c r="F287" s="144"/>
    </row>
    <row r="288" spans="3:6" x14ac:dyDescent="0.25">
      <c r="C288" s="180"/>
      <c r="D288" s="180"/>
      <c r="E288" s="144"/>
      <c r="F288" s="144"/>
    </row>
    <row r="289" spans="3:6" x14ac:dyDescent="0.25">
      <c r="C289" s="180"/>
      <c r="D289" s="180"/>
      <c r="E289" s="144"/>
      <c r="F289" s="144"/>
    </row>
    <row r="290" spans="3:6" x14ac:dyDescent="0.25">
      <c r="C290" s="180"/>
      <c r="D290" s="180"/>
      <c r="E290" s="144"/>
      <c r="F290" s="144"/>
    </row>
    <row r="291" spans="3:6" x14ac:dyDescent="0.25">
      <c r="C291" s="180"/>
      <c r="D291" s="180"/>
      <c r="E291" s="144"/>
      <c r="F291" s="144"/>
    </row>
    <row r="292" spans="3:6" x14ac:dyDescent="0.25">
      <c r="C292" s="180"/>
      <c r="D292" s="180"/>
      <c r="E292" s="144"/>
      <c r="F292" s="144"/>
    </row>
    <row r="293" spans="3:6" x14ac:dyDescent="0.25">
      <c r="C293" s="180"/>
      <c r="D293" s="180"/>
      <c r="E293" s="144"/>
      <c r="F293" s="144"/>
    </row>
    <row r="294" spans="3:6" x14ac:dyDescent="0.25">
      <c r="C294" s="180"/>
      <c r="D294" s="180"/>
      <c r="E294" s="144"/>
      <c r="F294" s="144"/>
    </row>
    <row r="295" spans="3:6" x14ac:dyDescent="0.25">
      <c r="C295" s="180"/>
      <c r="D295" s="180"/>
      <c r="E295" s="144"/>
      <c r="F295" s="144"/>
    </row>
    <row r="296" spans="3:6" x14ac:dyDescent="0.25">
      <c r="C296" s="180"/>
      <c r="D296" s="180"/>
      <c r="E296" s="144"/>
      <c r="F296" s="144"/>
    </row>
    <row r="297" spans="3:6" x14ac:dyDescent="0.25">
      <c r="C297" s="180"/>
      <c r="D297" s="180"/>
      <c r="E297" s="144"/>
      <c r="F297" s="144"/>
    </row>
    <row r="298" spans="3:6" x14ac:dyDescent="0.25">
      <c r="C298" s="180"/>
      <c r="D298" s="180"/>
      <c r="E298" s="144"/>
      <c r="F298" s="144"/>
    </row>
    <row r="299" spans="3:6" x14ac:dyDescent="0.25">
      <c r="C299" s="180"/>
      <c r="D299" s="180"/>
      <c r="E299" s="144"/>
      <c r="F299" s="144"/>
    </row>
    <row r="300" spans="3:6" x14ac:dyDescent="0.25">
      <c r="C300" s="180"/>
      <c r="D300" s="180"/>
      <c r="E300" s="144"/>
      <c r="F300" s="144"/>
    </row>
    <row r="301" spans="3:6" x14ac:dyDescent="0.25">
      <c r="C301" s="180"/>
      <c r="D301" s="180"/>
      <c r="E301" s="144"/>
      <c r="F301" s="144"/>
    </row>
    <row r="302" spans="3:6" x14ac:dyDescent="0.25">
      <c r="C302" s="180"/>
      <c r="D302" s="180"/>
      <c r="E302" s="144"/>
      <c r="F302" s="144"/>
    </row>
    <row r="303" spans="3:6" x14ac:dyDescent="0.25">
      <c r="C303" s="180"/>
      <c r="D303" s="180"/>
      <c r="E303" s="144"/>
      <c r="F303" s="144"/>
    </row>
    <row r="304" spans="3:6" x14ac:dyDescent="0.25">
      <c r="C304" s="180"/>
      <c r="D304" s="180"/>
      <c r="E304" s="144"/>
      <c r="F304" s="144"/>
    </row>
    <row r="305" spans="3:6" x14ac:dyDescent="0.25">
      <c r="C305" s="180"/>
      <c r="D305" s="180"/>
      <c r="E305" s="144"/>
      <c r="F305" s="144"/>
    </row>
    <row r="306" spans="3:6" x14ac:dyDescent="0.25">
      <c r="C306" s="180"/>
      <c r="D306" s="180"/>
      <c r="E306" s="144"/>
      <c r="F306" s="144"/>
    </row>
    <row r="307" spans="3:6" x14ac:dyDescent="0.25">
      <c r="C307" s="180"/>
      <c r="D307" s="180"/>
      <c r="E307" s="144"/>
      <c r="F307" s="144"/>
    </row>
    <row r="308" spans="3:6" x14ac:dyDescent="0.25">
      <c r="C308" s="180"/>
      <c r="D308" s="180"/>
      <c r="E308" s="144"/>
      <c r="F308" s="144"/>
    </row>
    <row r="309" spans="3:6" x14ac:dyDescent="0.25">
      <c r="C309" s="180"/>
      <c r="D309" s="180"/>
      <c r="E309" s="144"/>
      <c r="F309" s="144"/>
    </row>
    <row r="310" spans="3:6" x14ac:dyDescent="0.25">
      <c r="C310" s="180"/>
      <c r="D310" s="180"/>
      <c r="E310" s="144"/>
      <c r="F310" s="144"/>
    </row>
    <row r="311" spans="3:6" x14ac:dyDescent="0.25">
      <c r="C311" s="180"/>
      <c r="D311" s="180"/>
      <c r="E311" s="144"/>
      <c r="F311" s="144"/>
    </row>
    <row r="312" spans="3:6" x14ac:dyDescent="0.25">
      <c r="C312" s="180"/>
      <c r="D312" s="180"/>
      <c r="E312" s="144"/>
      <c r="F312" s="144"/>
    </row>
    <row r="313" spans="3:6" x14ac:dyDescent="0.25">
      <c r="C313" s="180"/>
      <c r="D313" s="180"/>
      <c r="E313" s="144"/>
      <c r="F313" s="144"/>
    </row>
    <row r="314" spans="3:6" x14ac:dyDescent="0.25">
      <c r="C314" s="180"/>
      <c r="D314" s="180"/>
      <c r="E314" s="144"/>
      <c r="F314" s="144"/>
    </row>
    <row r="315" spans="3:6" x14ac:dyDescent="0.25">
      <c r="C315" s="180"/>
      <c r="D315" s="180"/>
      <c r="E315" s="144"/>
      <c r="F315" s="144"/>
    </row>
    <row r="316" spans="3:6" x14ac:dyDescent="0.25">
      <c r="C316" s="180"/>
      <c r="D316" s="180"/>
      <c r="E316" s="144"/>
      <c r="F316" s="144"/>
    </row>
    <row r="317" spans="3:6" x14ac:dyDescent="0.25">
      <c r="C317" s="180"/>
      <c r="D317" s="180"/>
      <c r="E317" s="144"/>
      <c r="F317" s="144"/>
    </row>
    <row r="318" spans="3:6" x14ac:dyDescent="0.25">
      <c r="C318" s="180"/>
      <c r="D318" s="180"/>
      <c r="E318" s="144"/>
      <c r="F318" s="144"/>
    </row>
    <row r="319" spans="3:6" x14ac:dyDescent="0.25">
      <c r="C319" s="180"/>
      <c r="D319" s="180"/>
      <c r="E319" s="144"/>
      <c r="F319" s="144"/>
    </row>
    <row r="320" spans="3:6" x14ac:dyDescent="0.25">
      <c r="C320" s="180"/>
      <c r="D320" s="180"/>
      <c r="E320" s="144"/>
      <c r="F320" s="144"/>
    </row>
    <row r="321" spans="3:6" x14ac:dyDescent="0.25">
      <c r="C321" s="180"/>
      <c r="D321" s="180"/>
      <c r="E321" s="144"/>
      <c r="F321" s="144"/>
    </row>
    <row r="322" spans="3:6" x14ac:dyDescent="0.25">
      <c r="C322" s="180"/>
      <c r="D322" s="180"/>
      <c r="E322" s="144"/>
      <c r="F322" s="144"/>
    </row>
    <row r="323" spans="3:6" x14ac:dyDescent="0.25">
      <c r="C323" s="180"/>
      <c r="D323" s="180"/>
      <c r="E323" s="144"/>
      <c r="F323" s="144"/>
    </row>
    <row r="324" spans="3:6" x14ac:dyDescent="0.25">
      <c r="C324" s="180"/>
      <c r="D324" s="180"/>
      <c r="E324" s="144"/>
      <c r="F324" s="144"/>
    </row>
    <row r="325" spans="3:6" x14ac:dyDescent="0.25">
      <c r="C325" s="180"/>
      <c r="D325" s="180"/>
      <c r="E325" s="144"/>
      <c r="F325" s="144"/>
    </row>
    <row r="326" spans="3:6" x14ac:dyDescent="0.25">
      <c r="C326" s="180"/>
      <c r="D326" s="180"/>
      <c r="E326" s="144"/>
      <c r="F326" s="144"/>
    </row>
    <row r="327" spans="3:6" x14ac:dyDescent="0.25">
      <c r="C327" s="180"/>
      <c r="D327" s="180"/>
      <c r="E327" s="144"/>
      <c r="F327" s="144"/>
    </row>
    <row r="328" spans="3:6" x14ac:dyDescent="0.25">
      <c r="C328" s="180"/>
      <c r="D328" s="180"/>
      <c r="E328" s="144"/>
      <c r="F328" s="144"/>
    </row>
    <row r="329" spans="3:6" x14ac:dyDescent="0.25">
      <c r="C329" s="180"/>
      <c r="D329" s="180"/>
      <c r="E329" s="144"/>
      <c r="F329" s="144"/>
    </row>
    <row r="330" spans="3:6" x14ac:dyDescent="0.25">
      <c r="C330" s="180"/>
      <c r="D330" s="180"/>
      <c r="E330" s="144"/>
      <c r="F330" s="144"/>
    </row>
    <row r="331" spans="3:6" x14ac:dyDescent="0.25">
      <c r="C331" s="180"/>
      <c r="D331" s="180"/>
      <c r="E331" s="144"/>
      <c r="F331" s="144"/>
    </row>
    <row r="332" spans="3:6" x14ac:dyDescent="0.25">
      <c r="C332" s="180"/>
      <c r="D332" s="180"/>
      <c r="E332" s="144"/>
      <c r="F332" s="144"/>
    </row>
    <row r="333" spans="3:6" x14ac:dyDescent="0.25">
      <c r="C333" s="180"/>
      <c r="D333" s="180"/>
      <c r="E333" s="144"/>
      <c r="F333" s="144"/>
    </row>
    <row r="334" spans="3:6" x14ac:dyDescent="0.25">
      <c r="C334" s="180"/>
      <c r="D334" s="180"/>
      <c r="E334" s="144"/>
      <c r="F334" s="144"/>
    </row>
    <row r="335" spans="3:6" x14ac:dyDescent="0.25">
      <c r="C335" s="180"/>
      <c r="D335" s="180"/>
      <c r="E335" s="144"/>
      <c r="F335" s="144"/>
    </row>
    <row r="336" spans="3:6" x14ac:dyDescent="0.25">
      <c r="C336" s="180"/>
      <c r="D336" s="180"/>
      <c r="E336" s="144"/>
      <c r="F336" s="144"/>
    </row>
    <row r="337" spans="3:6" x14ac:dyDescent="0.25">
      <c r="C337" s="180"/>
      <c r="D337" s="180"/>
      <c r="E337" s="144"/>
      <c r="F337" s="144"/>
    </row>
    <row r="338" spans="3:6" x14ac:dyDescent="0.25">
      <c r="C338" s="180"/>
      <c r="D338" s="180"/>
      <c r="E338" s="144"/>
      <c r="F338" s="144"/>
    </row>
    <row r="339" spans="3:6" x14ac:dyDescent="0.25">
      <c r="C339" s="180"/>
      <c r="D339" s="180"/>
      <c r="E339" s="144"/>
      <c r="F339" s="144"/>
    </row>
    <row r="340" spans="3:6" x14ac:dyDescent="0.25">
      <c r="C340" s="180"/>
      <c r="D340" s="180"/>
      <c r="E340" s="144"/>
      <c r="F340" s="144"/>
    </row>
    <row r="341" spans="3:6" x14ac:dyDescent="0.25">
      <c r="C341" s="180"/>
      <c r="D341" s="180"/>
      <c r="E341" s="144"/>
      <c r="F341" s="144"/>
    </row>
    <row r="342" spans="3:6" x14ac:dyDescent="0.25">
      <c r="C342" s="180"/>
      <c r="D342" s="180"/>
      <c r="E342" s="144"/>
      <c r="F342" s="144"/>
    </row>
    <row r="343" spans="3:6" x14ac:dyDescent="0.25">
      <c r="C343" s="180"/>
      <c r="D343" s="180"/>
      <c r="E343" s="144"/>
      <c r="F343" s="144"/>
    </row>
    <row r="344" spans="3:6" x14ac:dyDescent="0.25">
      <c r="C344" s="180"/>
      <c r="D344" s="180"/>
      <c r="E344" s="144"/>
      <c r="F344" s="144"/>
    </row>
    <row r="345" spans="3:6" x14ac:dyDescent="0.25">
      <c r="C345" s="180"/>
      <c r="D345" s="180"/>
      <c r="E345" s="144"/>
      <c r="F345" s="144"/>
    </row>
    <row r="346" spans="3:6" x14ac:dyDescent="0.25">
      <c r="C346" s="180"/>
      <c r="D346" s="180"/>
      <c r="E346" s="144"/>
      <c r="F346" s="144"/>
    </row>
    <row r="347" spans="3:6" x14ac:dyDescent="0.25">
      <c r="C347" s="180"/>
      <c r="D347" s="180"/>
      <c r="E347" s="144"/>
      <c r="F347" s="144"/>
    </row>
    <row r="348" spans="3:6" x14ac:dyDescent="0.25">
      <c r="C348" s="180"/>
      <c r="D348" s="180"/>
      <c r="E348" s="144"/>
      <c r="F348" s="144"/>
    </row>
    <row r="349" spans="3:6" x14ac:dyDescent="0.25">
      <c r="C349" s="180"/>
      <c r="D349" s="180"/>
      <c r="E349" s="144"/>
      <c r="F349" s="144"/>
    </row>
    <row r="350" spans="3:6" x14ac:dyDescent="0.25">
      <c r="C350" s="180"/>
      <c r="D350" s="180"/>
      <c r="E350" s="144"/>
      <c r="F350" s="144"/>
    </row>
    <row r="351" spans="3:6" x14ac:dyDescent="0.25">
      <c r="C351" s="180"/>
      <c r="D351" s="180"/>
      <c r="E351" s="144"/>
      <c r="F351" s="144"/>
    </row>
    <row r="352" spans="3:6" x14ac:dyDescent="0.25">
      <c r="C352" s="180"/>
      <c r="D352" s="180"/>
      <c r="E352" s="144"/>
      <c r="F352" s="144"/>
    </row>
    <row r="353" spans="3:6" x14ac:dyDescent="0.25">
      <c r="C353" s="180"/>
      <c r="D353" s="180"/>
      <c r="E353" s="144"/>
      <c r="F353" s="144"/>
    </row>
    <row r="354" spans="3:6" x14ac:dyDescent="0.25">
      <c r="C354" s="180"/>
      <c r="D354" s="180"/>
      <c r="E354" s="144"/>
      <c r="F354" s="144"/>
    </row>
    <row r="355" spans="3:6" x14ac:dyDescent="0.25">
      <c r="C355" s="180"/>
      <c r="D355" s="180"/>
      <c r="E355" s="144"/>
      <c r="F355" s="144"/>
    </row>
    <row r="356" spans="3:6" x14ac:dyDescent="0.25">
      <c r="C356" s="180"/>
      <c r="D356" s="180"/>
      <c r="E356" s="144"/>
      <c r="F356" s="144"/>
    </row>
    <row r="357" spans="3:6" x14ac:dyDescent="0.25">
      <c r="C357" s="180"/>
      <c r="D357" s="180"/>
      <c r="E357" s="144"/>
      <c r="F357" s="144"/>
    </row>
    <row r="358" spans="3:6" x14ac:dyDescent="0.25">
      <c r="C358" s="180"/>
      <c r="D358" s="180"/>
      <c r="E358" s="144"/>
      <c r="F358" s="144"/>
    </row>
    <row r="359" spans="3:6" x14ac:dyDescent="0.25">
      <c r="C359" s="180"/>
      <c r="D359" s="180"/>
      <c r="E359" s="144"/>
      <c r="F359" s="144"/>
    </row>
    <row r="360" spans="3:6" x14ac:dyDescent="0.25">
      <c r="C360" s="180"/>
      <c r="D360" s="180"/>
      <c r="E360" s="144"/>
      <c r="F360" s="144"/>
    </row>
    <row r="361" spans="3:6" x14ac:dyDescent="0.25">
      <c r="C361" s="180"/>
      <c r="D361" s="180"/>
      <c r="E361" s="144"/>
      <c r="F361" s="144"/>
    </row>
    <row r="362" spans="3:6" x14ac:dyDescent="0.25">
      <c r="C362" s="180"/>
      <c r="D362" s="180"/>
      <c r="E362" s="144"/>
      <c r="F362" s="144"/>
    </row>
    <row r="363" spans="3:6" x14ac:dyDescent="0.25">
      <c r="C363" s="180"/>
      <c r="D363" s="180"/>
      <c r="E363" s="144"/>
      <c r="F363" s="144"/>
    </row>
    <row r="364" spans="3:6" x14ac:dyDescent="0.25">
      <c r="C364" s="180"/>
      <c r="D364" s="180"/>
      <c r="E364" s="144"/>
      <c r="F364" s="144"/>
    </row>
    <row r="365" spans="3:6" x14ac:dyDescent="0.25">
      <c r="C365" s="180"/>
      <c r="D365" s="180"/>
      <c r="E365" s="144"/>
      <c r="F365" s="144"/>
    </row>
    <row r="366" spans="3:6" x14ac:dyDescent="0.25">
      <c r="C366" s="180"/>
      <c r="D366" s="180"/>
      <c r="E366" s="144"/>
      <c r="F366" s="144"/>
    </row>
    <row r="367" spans="3:6" x14ac:dyDescent="0.25">
      <c r="C367" s="180"/>
      <c r="D367" s="180"/>
      <c r="E367" s="144"/>
      <c r="F367" s="144"/>
    </row>
    <row r="368" spans="3:6" x14ac:dyDescent="0.25">
      <c r="C368" s="180"/>
      <c r="D368" s="180"/>
      <c r="E368" s="144"/>
      <c r="F368" s="144"/>
    </row>
    <row r="369" spans="3:6" x14ac:dyDescent="0.25">
      <c r="C369" s="180"/>
      <c r="D369" s="180"/>
      <c r="E369" s="144"/>
      <c r="F369" s="144"/>
    </row>
    <row r="370" spans="3:6" x14ac:dyDescent="0.25">
      <c r="C370" s="180"/>
      <c r="D370" s="180"/>
      <c r="E370" s="144"/>
      <c r="F370" s="144"/>
    </row>
    <row r="371" spans="3:6" x14ac:dyDescent="0.25">
      <c r="C371" s="180"/>
      <c r="D371" s="180"/>
      <c r="E371" s="144"/>
      <c r="F371" s="144"/>
    </row>
    <row r="372" spans="3:6" x14ac:dyDescent="0.25">
      <c r="C372" s="180"/>
      <c r="D372" s="180"/>
      <c r="E372" s="144"/>
      <c r="F372" s="144"/>
    </row>
    <row r="373" spans="3:6" x14ac:dyDescent="0.25">
      <c r="C373" s="180"/>
      <c r="D373" s="180"/>
      <c r="E373" s="144"/>
      <c r="F373" s="144"/>
    </row>
    <row r="374" spans="3:6" x14ac:dyDescent="0.25">
      <c r="C374" s="180"/>
      <c r="D374" s="180"/>
      <c r="E374" s="144"/>
      <c r="F374" s="144"/>
    </row>
    <row r="375" spans="3:6" x14ac:dyDescent="0.25">
      <c r="C375" s="180"/>
      <c r="D375" s="180"/>
      <c r="E375" s="144"/>
      <c r="F375" s="144"/>
    </row>
    <row r="376" spans="3:6" x14ac:dyDescent="0.25">
      <c r="C376" s="180"/>
      <c r="D376" s="180"/>
      <c r="E376" s="144"/>
      <c r="F376" s="144"/>
    </row>
    <row r="377" spans="3:6" x14ac:dyDescent="0.25">
      <c r="C377" s="180"/>
      <c r="D377" s="180"/>
      <c r="E377" s="144"/>
      <c r="F377" s="144"/>
    </row>
    <row r="378" spans="3:6" x14ac:dyDescent="0.25">
      <c r="C378" s="180"/>
      <c r="D378" s="180"/>
      <c r="E378" s="144"/>
      <c r="F378" s="144"/>
    </row>
    <row r="379" spans="3:6" x14ac:dyDescent="0.25">
      <c r="C379" s="180"/>
      <c r="D379" s="180"/>
      <c r="E379" s="144"/>
      <c r="F379" s="144"/>
    </row>
    <row r="380" spans="3:6" x14ac:dyDescent="0.25">
      <c r="C380" s="180"/>
      <c r="D380" s="180"/>
      <c r="E380" s="144"/>
      <c r="F380" s="144"/>
    </row>
    <row r="381" spans="3:6" x14ac:dyDescent="0.25">
      <c r="C381" s="180"/>
      <c r="D381" s="180"/>
      <c r="E381" s="144"/>
      <c r="F381" s="144"/>
    </row>
    <row r="382" spans="3:6" x14ac:dyDescent="0.25">
      <c r="C382" s="180"/>
      <c r="D382" s="180"/>
      <c r="E382" s="144"/>
      <c r="F382" s="144"/>
    </row>
    <row r="383" spans="3:6" x14ac:dyDescent="0.25">
      <c r="C383" s="180"/>
      <c r="D383" s="180"/>
      <c r="E383" s="144"/>
      <c r="F383" s="144"/>
    </row>
    <row r="384" spans="3:6" x14ac:dyDescent="0.25">
      <c r="C384" s="180"/>
      <c r="D384" s="180"/>
      <c r="E384" s="144"/>
      <c r="F384" s="144"/>
    </row>
    <row r="385" spans="3:6" x14ac:dyDescent="0.25">
      <c r="C385" s="180"/>
      <c r="D385" s="180"/>
      <c r="E385" s="144"/>
      <c r="F385" s="144"/>
    </row>
    <row r="386" spans="3:6" x14ac:dyDescent="0.25">
      <c r="C386" s="180"/>
      <c r="D386" s="180"/>
      <c r="E386" s="144"/>
      <c r="F386" s="144"/>
    </row>
    <row r="387" spans="3:6" x14ac:dyDescent="0.25">
      <c r="C387" s="180"/>
      <c r="D387" s="180"/>
      <c r="E387" s="144"/>
      <c r="F387" s="144"/>
    </row>
    <row r="388" spans="3:6" x14ac:dyDescent="0.25">
      <c r="C388" s="180"/>
      <c r="D388" s="180"/>
      <c r="E388" s="144"/>
      <c r="F388" s="144"/>
    </row>
    <row r="389" spans="3:6" x14ac:dyDescent="0.25">
      <c r="C389" s="180"/>
      <c r="D389" s="180"/>
      <c r="E389" s="144"/>
      <c r="F389" s="144"/>
    </row>
    <row r="390" spans="3:6" x14ac:dyDescent="0.25">
      <c r="C390" s="180"/>
      <c r="D390" s="180"/>
      <c r="E390" s="144"/>
      <c r="F390" s="144"/>
    </row>
    <row r="391" spans="3:6" x14ac:dyDescent="0.25">
      <c r="C391" s="180"/>
      <c r="D391" s="180"/>
      <c r="E391" s="144"/>
      <c r="F391" s="144"/>
    </row>
    <row r="392" spans="3:6" x14ac:dyDescent="0.25">
      <c r="C392" s="180"/>
      <c r="D392" s="180"/>
      <c r="E392" s="144"/>
      <c r="F392" s="144"/>
    </row>
    <row r="393" spans="3:6" x14ac:dyDescent="0.25">
      <c r="C393" s="180"/>
      <c r="D393" s="180"/>
      <c r="E393" s="144"/>
      <c r="F393" s="144"/>
    </row>
    <row r="394" spans="3:6" x14ac:dyDescent="0.25">
      <c r="C394" s="180"/>
      <c r="D394" s="180"/>
      <c r="E394" s="144"/>
      <c r="F394" s="144"/>
    </row>
    <row r="395" spans="3:6" x14ac:dyDescent="0.25">
      <c r="C395" s="180"/>
      <c r="D395" s="180"/>
      <c r="E395" s="144"/>
      <c r="F395" s="144"/>
    </row>
    <row r="396" spans="3:6" x14ac:dyDescent="0.25">
      <c r="C396" s="180"/>
      <c r="D396" s="180"/>
      <c r="E396" s="144"/>
      <c r="F396" s="144"/>
    </row>
    <row r="397" spans="3:6" x14ac:dyDescent="0.25">
      <c r="C397" s="180"/>
      <c r="D397" s="180"/>
      <c r="E397" s="144"/>
      <c r="F397" s="144"/>
    </row>
    <row r="398" spans="3:6" x14ac:dyDescent="0.25">
      <c r="C398" s="180"/>
      <c r="D398" s="180"/>
      <c r="E398" s="144"/>
      <c r="F398" s="144"/>
    </row>
    <row r="399" spans="3:6" x14ac:dyDescent="0.25">
      <c r="C399" s="180"/>
      <c r="D399" s="180"/>
      <c r="E399" s="144"/>
      <c r="F399" s="144"/>
    </row>
    <row r="400" spans="3:6" x14ac:dyDescent="0.25">
      <c r="C400" s="180"/>
      <c r="D400" s="180"/>
      <c r="E400" s="144"/>
      <c r="F400" s="144"/>
    </row>
    <row r="401" spans="3:6" x14ac:dyDescent="0.25">
      <c r="C401" s="180"/>
      <c r="D401" s="180"/>
      <c r="E401" s="144"/>
      <c r="F401" s="144"/>
    </row>
    <row r="402" spans="3:6" x14ac:dyDescent="0.25">
      <c r="C402" s="180"/>
      <c r="D402" s="180"/>
      <c r="E402" s="144"/>
      <c r="F402" s="144"/>
    </row>
    <row r="403" spans="3:6" x14ac:dyDescent="0.25">
      <c r="C403" s="180"/>
      <c r="D403" s="180"/>
      <c r="E403" s="144"/>
      <c r="F403" s="144"/>
    </row>
    <row r="404" spans="3:6" x14ac:dyDescent="0.25">
      <c r="C404" s="180"/>
      <c r="D404" s="180"/>
      <c r="E404" s="144"/>
      <c r="F404" s="144"/>
    </row>
    <row r="405" spans="3:6" x14ac:dyDescent="0.25">
      <c r="C405" s="180"/>
      <c r="D405" s="180"/>
      <c r="E405" s="144"/>
      <c r="F405" s="144"/>
    </row>
    <row r="406" spans="3:6" x14ac:dyDescent="0.25">
      <c r="C406" s="180"/>
      <c r="D406" s="180"/>
      <c r="E406" s="144"/>
      <c r="F406" s="144"/>
    </row>
    <row r="407" spans="3:6" x14ac:dyDescent="0.25">
      <c r="C407" s="180"/>
      <c r="D407" s="180"/>
      <c r="E407" s="144"/>
      <c r="F407" s="144"/>
    </row>
    <row r="408" spans="3:6" x14ac:dyDescent="0.25">
      <c r="C408" s="180"/>
      <c r="D408" s="180"/>
      <c r="E408" s="144"/>
      <c r="F408" s="144"/>
    </row>
    <row r="409" spans="3:6" x14ac:dyDescent="0.25">
      <c r="C409" s="180"/>
      <c r="D409" s="180"/>
      <c r="E409" s="144"/>
      <c r="F409" s="144"/>
    </row>
    <row r="410" spans="3:6" x14ac:dyDescent="0.25">
      <c r="C410" s="180"/>
      <c r="D410" s="180"/>
      <c r="E410" s="144"/>
      <c r="F410" s="144"/>
    </row>
    <row r="411" spans="3:6" x14ac:dyDescent="0.25">
      <c r="C411" s="180"/>
      <c r="D411" s="180"/>
      <c r="E411" s="144"/>
      <c r="F411" s="144"/>
    </row>
    <row r="412" spans="3:6" x14ac:dyDescent="0.25">
      <c r="C412" s="180"/>
      <c r="D412" s="180"/>
      <c r="E412" s="144"/>
      <c r="F412" s="144"/>
    </row>
    <row r="413" spans="3:6" x14ac:dyDescent="0.25">
      <c r="C413" s="180"/>
      <c r="D413" s="180"/>
      <c r="E413" s="144"/>
      <c r="F413" s="144"/>
    </row>
    <row r="414" spans="3:6" x14ac:dyDescent="0.25">
      <c r="C414" s="180"/>
      <c r="D414" s="180"/>
      <c r="E414" s="144"/>
      <c r="F414" s="144"/>
    </row>
    <row r="415" spans="3:6" x14ac:dyDescent="0.25">
      <c r="C415" s="180"/>
      <c r="D415" s="180"/>
      <c r="E415" s="144"/>
      <c r="F415" s="144"/>
    </row>
    <row r="416" spans="3:6" x14ac:dyDescent="0.25">
      <c r="C416" s="180"/>
      <c r="D416" s="180"/>
      <c r="E416" s="144"/>
      <c r="F416" s="144"/>
    </row>
    <row r="417" spans="3:6" x14ac:dyDescent="0.25">
      <c r="C417" s="180"/>
      <c r="D417" s="180"/>
      <c r="E417" s="144"/>
      <c r="F417" s="144"/>
    </row>
    <row r="418" spans="3:6" x14ac:dyDescent="0.25">
      <c r="C418" s="180"/>
      <c r="D418" s="180"/>
      <c r="E418" s="144"/>
      <c r="F418" s="144"/>
    </row>
    <row r="419" spans="3:6" x14ac:dyDescent="0.25">
      <c r="C419" s="180"/>
      <c r="D419" s="180"/>
      <c r="E419" s="144"/>
      <c r="F419" s="144"/>
    </row>
    <row r="420" spans="3:6" x14ac:dyDescent="0.25">
      <c r="C420" s="180"/>
      <c r="D420" s="180"/>
      <c r="E420" s="144"/>
      <c r="F420" s="144"/>
    </row>
    <row r="421" spans="3:6" x14ac:dyDescent="0.25">
      <c r="C421" s="180"/>
      <c r="D421" s="180"/>
      <c r="E421" s="144"/>
      <c r="F421" s="144"/>
    </row>
    <row r="422" spans="3:6" x14ac:dyDescent="0.25">
      <c r="C422" s="180"/>
      <c r="D422" s="180"/>
      <c r="E422" s="144"/>
      <c r="F422" s="144"/>
    </row>
    <row r="423" spans="3:6" x14ac:dyDescent="0.25">
      <c r="C423" s="180"/>
      <c r="D423" s="180"/>
      <c r="E423" s="144"/>
      <c r="F423" s="144"/>
    </row>
    <row r="424" spans="3:6" x14ac:dyDescent="0.25">
      <c r="C424" s="180"/>
      <c r="D424" s="180"/>
      <c r="E424" s="144"/>
      <c r="F424" s="144"/>
    </row>
    <row r="425" spans="3:6" x14ac:dyDescent="0.25">
      <c r="C425" s="180"/>
      <c r="D425" s="180"/>
      <c r="E425" s="144"/>
      <c r="F425" s="144"/>
    </row>
    <row r="426" spans="3:6" x14ac:dyDescent="0.25">
      <c r="C426" s="180"/>
      <c r="D426" s="180"/>
      <c r="E426" s="144"/>
      <c r="F426" s="144"/>
    </row>
    <row r="427" spans="3:6" x14ac:dyDescent="0.25">
      <c r="C427" s="180"/>
      <c r="D427" s="180"/>
      <c r="E427" s="144"/>
      <c r="F427" s="144"/>
    </row>
    <row r="428" spans="3:6" x14ac:dyDescent="0.25">
      <c r="C428" s="180"/>
      <c r="D428" s="180"/>
      <c r="E428" s="144"/>
      <c r="F428" s="144"/>
    </row>
    <row r="429" spans="3:6" x14ac:dyDescent="0.25">
      <c r="C429" s="180"/>
      <c r="D429" s="180"/>
      <c r="E429" s="144"/>
      <c r="F429" s="144"/>
    </row>
    <row r="430" spans="3:6" x14ac:dyDescent="0.25">
      <c r="C430" s="180"/>
      <c r="D430" s="180"/>
      <c r="E430" s="144"/>
      <c r="F430" s="144"/>
    </row>
    <row r="431" spans="3:6" x14ac:dyDescent="0.25">
      <c r="C431" s="180"/>
      <c r="D431" s="180"/>
      <c r="E431" s="144"/>
      <c r="F431" s="144"/>
    </row>
    <row r="432" spans="3:6" x14ac:dyDescent="0.25">
      <c r="C432" s="180"/>
      <c r="D432" s="180"/>
      <c r="E432" s="144"/>
      <c r="F432" s="144"/>
    </row>
    <row r="433" spans="3:6" x14ac:dyDescent="0.25">
      <c r="C433" s="180"/>
      <c r="D433" s="180"/>
      <c r="E433" s="144"/>
      <c r="F433" s="144"/>
    </row>
    <row r="434" spans="3:6" x14ac:dyDescent="0.25">
      <c r="C434" s="180"/>
      <c r="D434" s="180"/>
      <c r="E434" s="144"/>
      <c r="F434" s="144"/>
    </row>
    <row r="435" spans="3:6" x14ac:dyDescent="0.25">
      <c r="C435" s="180"/>
      <c r="D435" s="180"/>
      <c r="E435" s="144"/>
      <c r="F435" s="144"/>
    </row>
    <row r="436" spans="3:6" x14ac:dyDescent="0.25">
      <c r="C436" s="180"/>
      <c r="D436" s="180"/>
      <c r="E436" s="144"/>
      <c r="F436" s="144"/>
    </row>
    <row r="437" spans="3:6" x14ac:dyDescent="0.25">
      <c r="C437" s="180"/>
      <c r="D437" s="180"/>
      <c r="E437" s="144"/>
      <c r="F437" s="144"/>
    </row>
    <row r="438" spans="3:6" x14ac:dyDescent="0.25">
      <c r="C438" s="180"/>
      <c r="D438" s="180"/>
      <c r="E438" s="144"/>
      <c r="F438" s="144"/>
    </row>
    <row r="439" spans="3:6" x14ac:dyDescent="0.25">
      <c r="C439" s="180"/>
      <c r="D439" s="180"/>
      <c r="E439" s="144"/>
      <c r="F439" s="144"/>
    </row>
    <row r="440" spans="3:6" x14ac:dyDescent="0.25">
      <c r="C440" s="180"/>
      <c r="D440" s="180"/>
      <c r="E440" s="144"/>
      <c r="F440" s="144"/>
    </row>
    <row r="441" spans="3:6" x14ac:dyDescent="0.25">
      <c r="C441" s="180"/>
      <c r="D441" s="180"/>
      <c r="E441" s="144"/>
      <c r="F441" s="144"/>
    </row>
    <row r="442" spans="3:6" x14ac:dyDescent="0.25">
      <c r="C442" s="180"/>
      <c r="D442" s="180"/>
      <c r="E442" s="144"/>
      <c r="F442" s="144"/>
    </row>
    <row r="443" spans="3:6" x14ac:dyDescent="0.25">
      <c r="C443" s="180"/>
      <c r="D443" s="180"/>
      <c r="E443" s="144"/>
      <c r="F443" s="144"/>
    </row>
    <row r="444" spans="3:6" x14ac:dyDescent="0.25">
      <c r="C444" s="180"/>
      <c r="D444" s="180"/>
      <c r="E444" s="144"/>
      <c r="F444" s="144"/>
    </row>
    <row r="445" spans="3:6" x14ac:dyDescent="0.25">
      <c r="C445" s="180"/>
      <c r="D445" s="180"/>
      <c r="E445" s="144"/>
      <c r="F445" s="144"/>
    </row>
    <row r="446" spans="3:6" x14ac:dyDescent="0.25">
      <c r="C446" s="180"/>
      <c r="D446" s="180"/>
      <c r="E446" s="144"/>
      <c r="F446" s="144"/>
    </row>
    <row r="447" spans="3:6" x14ac:dyDescent="0.25">
      <c r="C447" s="180"/>
      <c r="D447" s="180"/>
      <c r="E447" s="144"/>
      <c r="F447" s="144"/>
    </row>
    <row r="448" spans="3:6" x14ac:dyDescent="0.25">
      <c r="C448" s="180"/>
      <c r="D448" s="180"/>
      <c r="E448" s="144"/>
      <c r="F448" s="144"/>
    </row>
    <row r="449" spans="3:6" x14ac:dyDescent="0.25">
      <c r="C449" s="180"/>
      <c r="D449" s="180"/>
      <c r="E449" s="144"/>
      <c r="F449" s="144"/>
    </row>
    <row r="450" spans="3:6" x14ac:dyDescent="0.25">
      <c r="C450" s="180"/>
      <c r="D450" s="180"/>
      <c r="E450" s="144"/>
      <c r="F450" s="144"/>
    </row>
    <row r="451" spans="3:6" x14ac:dyDescent="0.25">
      <c r="C451" s="180"/>
      <c r="D451" s="180"/>
      <c r="E451" s="144"/>
      <c r="F451" s="144"/>
    </row>
    <row r="452" spans="3:6" x14ac:dyDescent="0.25">
      <c r="C452" s="180"/>
      <c r="D452" s="180"/>
      <c r="E452" s="144"/>
      <c r="F452" s="144"/>
    </row>
    <row r="453" spans="3:6" x14ac:dyDescent="0.25">
      <c r="C453" s="180"/>
      <c r="D453" s="180"/>
      <c r="E453" s="144"/>
      <c r="F453" s="144"/>
    </row>
    <row r="454" spans="3:6" x14ac:dyDescent="0.25">
      <c r="C454" s="180"/>
      <c r="D454" s="180"/>
      <c r="E454" s="144"/>
      <c r="F454" s="144"/>
    </row>
    <row r="455" spans="3:6" x14ac:dyDescent="0.25">
      <c r="C455" s="180"/>
      <c r="D455" s="180"/>
      <c r="E455" s="144"/>
      <c r="F455" s="144"/>
    </row>
    <row r="456" spans="3:6" x14ac:dyDescent="0.25">
      <c r="C456" s="180"/>
      <c r="D456" s="180"/>
      <c r="E456" s="144"/>
      <c r="F456" s="144"/>
    </row>
    <row r="457" spans="3:6" x14ac:dyDescent="0.25">
      <c r="C457" s="180"/>
      <c r="D457" s="180"/>
      <c r="E457" s="144"/>
      <c r="F457" s="144"/>
    </row>
    <row r="458" spans="3:6" x14ac:dyDescent="0.25">
      <c r="C458" s="180"/>
      <c r="D458" s="180"/>
      <c r="E458" s="144"/>
      <c r="F458" s="144"/>
    </row>
    <row r="459" spans="3:6" x14ac:dyDescent="0.25">
      <c r="C459" s="180"/>
      <c r="D459" s="180"/>
      <c r="E459" s="144"/>
      <c r="F459" s="144"/>
    </row>
    <row r="460" spans="3:6" x14ac:dyDescent="0.25">
      <c r="C460" s="180"/>
      <c r="D460" s="180"/>
      <c r="E460" s="144"/>
      <c r="F460" s="144"/>
    </row>
    <row r="461" spans="3:6" x14ac:dyDescent="0.25">
      <c r="C461" s="180"/>
      <c r="D461" s="180"/>
      <c r="E461" s="144"/>
      <c r="F461" s="144"/>
    </row>
    <row r="462" spans="3:6" x14ac:dyDescent="0.25">
      <c r="C462" s="180"/>
      <c r="D462" s="180"/>
      <c r="E462" s="144"/>
      <c r="F462" s="144"/>
    </row>
    <row r="463" spans="3:6" x14ac:dyDescent="0.25">
      <c r="C463" s="180"/>
      <c r="D463" s="180"/>
      <c r="E463" s="144"/>
      <c r="F463" s="144"/>
    </row>
    <row r="464" spans="3:6" x14ac:dyDescent="0.25">
      <c r="C464" s="180"/>
      <c r="D464" s="180"/>
      <c r="E464" s="144"/>
      <c r="F464" s="144"/>
    </row>
    <row r="465" spans="3:6" x14ac:dyDescent="0.25">
      <c r="C465" s="180"/>
      <c r="D465" s="180"/>
      <c r="E465" s="144"/>
      <c r="F465" s="144"/>
    </row>
    <row r="466" spans="3:6" x14ac:dyDescent="0.25">
      <c r="C466" s="180"/>
      <c r="D466" s="180"/>
      <c r="E466" s="144"/>
      <c r="F466" s="144"/>
    </row>
    <row r="467" spans="3:6" x14ac:dyDescent="0.25">
      <c r="C467" s="180"/>
      <c r="D467" s="180"/>
      <c r="E467" s="144"/>
      <c r="F467" s="144"/>
    </row>
    <row r="468" spans="3:6" x14ac:dyDescent="0.25">
      <c r="C468" s="180"/>
      <c r="D468" s="180"/>
      <c r="E468" s="144"/>
      <c r="F468" s="144"/>
    </row>
    <row r="469" spans="3:6" x14ac:dyDescent="0.25">
      <c r="C469" s="180"/>
      <c r="D469" s="180"/>
      <c r="E469" s="144"/>
      <c r="F469" s="144"/>
    </row>
    <row r="470" spans="3:6" x14ac:dyDescent="0.25">
      <c r="C470" s="180"/>
      <c r="D470" s="180"/>
      <c r="E470" s="144"/>
      <c r="F470" s="144"/>
    </row>
    <row r="471" spans="3:6" x14ac:dyDescent="0.25">
      <c r="C471" s="180"/>
      <c r="D471" s="180"/>
      <c r="E471" s="144"/>
      <c r="F471" s="144"/>
    </row>
    <row r="472" spans="3:6" x14ac:dyDescent="0.25">
      <c r="C472" s="180"/>
      <c r="D472" s="180"/>
      <c r="E472" s="144"/>
      <c r="F472" s="144"/>
    </row>
    <row r="473" spans="3:6" x14ac:dyDescent="0.25">
      <c r="C473" s="180"/>
      <c r="D473" s="180"/>
      <c r="E473" s="144"/>
      <c r="F473" s="144"/>
    </row>
    <row r="474" spans="3:6" x14ac:dyDescent="0.25">
      <c r="C474" s="180"/>
      <c r="D474" s="180"/>
      <c r="E474" s="144"/>
      <c r="F474" s="144"/>
    </row>
    <row r="475" spans="3:6" x14ac:dyDescent="0.25">
      <c r="C475" s="180"/>
      <c r="D475" s="180"/>
      <c r="E475" s="144"/>
      <c r="F475" s="144"/>
    </row>
    <row r="476" spans="3:6" x14ac:dyDescent="0.25">
      <c r="C476" s="180"/>
      <c r="D476" s="180"/>
      <c r="E476" s="144"/>
      <c r="F476" s="144"/>
    </row>
    <row r="477" spans="3:6" x14ac:dyDescent="0.25">
      <c r="C477" s="180"/>
      <c r="D477" s="180"/>
      <c r="E477" s="144"/>
      <c r="F477" s="144"/>
    </row>
    <row r="478" spans="3:6" x14ac:dyDescent="0.25">
      <c r="C478" s="180"/>
      <c r="D478" s="180"/>
      <c r="E478" s="144"/>
      <c r="F478" s="144"/>
    </row>
    <row r="479" spans="3:6" x14ac:dyDescent="0.25">
      <c r="C479" s="180"/>
      <c r="D479" s="180"/>
      <c r="E479" s="144"/>
      <c r="F479" s="144"/>
    </row>
    <row r="480" spans="3:6" x14ac:dyDescent="0.25">
      <c r="C480" s="180"/>
      <c r="D480" s="180"/>
      <c r="E480" s="144"/>
      <c r="F480" s="144"/>
    </row>
    <row r="481" spans="3:6" x14ac:dyDescent="0.25">
      <c r="C481" s="180"/>
      <c r="D481" s="180"/>
      <c r="E481" s="144"/>
      <c r="F481" s="144"/>
    </row>
    <row r="482" spans="3:6" x14ac:dyDescent="0.25">
      <c r="C482" s="180"/>
      <c r="D482" s="180"/>
      <c r="E482" s="144"/>
      <c r="F482" s="144"/>
    </row>
    <row r="483" spans="3:6" x14ac:dyDescent="0.25">
      <c r="C483" s="180"/>
      <c r="D483" s="180"/>
      <c r="E483" s="144"/>
      <c r="F483" s="144"/>
    </row>
    <row r="484" spans="3:6" x14ac:dyDescent="0.25">
      <c r="C484" s="180"/>
      <c r="D484" s="180"/>
      <c r="E484" s="144"/>
      <c r="F484" s="144"/>
    </row>
    <row r="485" spans="3:6" x14ac:dyDescent="0.25">
      <c r="C485" s="180"/>
      <c r="D485" s="180"/>
      <c r="E485" s="144"/>
      <c r="F485" s="144"/>
    </row>
    <row r="486" spans="3:6" x14ac:dyDescent="0.25">
      <c r="C486" s="180"/>
      <c r="D486" s="180"/>
      <c r="E486" s="144"/>
      <c r="F486" s="144"/>
    </row>
    <row r="487" spans="3:6" x14ac:dyDescent="0.25">
      <c r="C487" s="180"/>
      <c r="D487" s="180"/>
      <c r="E487" s="144"/>
      <c r="F487" s="144"/>
    </row>
    <row r="488" spans="3:6" x14ac:dyDescent="0.25">
      <c r="C488" s="180"/>
      <c r="D488" s="180"/>
      <c r="E488" s="144"/>
      <c r="F488" s="144"/>
    </row>
    <row r="489" spans="3:6" x14ac:dyDescent="0.25">
      <c r="C489" s="180"/>
      <c r="D489" s="180"/>
      <c r="E489" s="144"/>
      <c r="F489" s="144"/>
    </row>
    <row r="490" spans="3:6" x14ac:dyDescent="0.25">
      <c r="C490" s="180"/>
      <c r="D490" s="180"/>
      <c r="E490" s="144"/>
      <c r="F490" s="144"/>
    </row>
    <row r="491" spans="3:6" x14ac:dyDescent="0.25">
      <c r="C491" s="180"/>
      <c r="D491" s="180"/>
      <c r="E491" s="144"/>
      <c r="F491" s="144"/>
    </row>
    <row r="492" spans="3:6" x14ac:dyDescent="0.25">
      <c r="C492" s="180"/>
      <c r="D492" s="180"/>
      <c r="E492" s="144"/>
      <c r="F492" s="144"/>
    </row>
    <row r="493" spans="3:6" x14ac:dyDescent="0.25">
      <c r="C493" s="180"/>
      <c r="D493" s="180"/>
      <c r="E493" s="144"/>
      <c r="F493" s="144"/>
    </row>
    <row r="494" spans="3:6" x14ac:dyDescent="0.25">
      <c r="C494" s="180"/>
      <c r="D494" s="180"/>
      <c r="E494" s="144"/>
      <c r="F494" s="144"/>
    </row>
    <row r="495" spans="3:6" x14ac:dyDescent="0.25">
      <c r="C495" s="180"/>
      <c r="D495" s="180"/>
      <c r="E495" s="144"/>
      <c r="F495" s="144"/>
    </row>
    <row r="496" spans="3:6" x14ac:dyDescent="0.25">
      <c r="C496" s="180"/>
      <c r="D496" s="180"/>
      <c r="E496" s="144"/>
      <c r="F496" s="144"/>
    </row>
    <row r="497" spans="3:6" x14ac:dyDescent="0.25">
      <c r="C497" s="180"/>
      <c r="D497" s="180"/>
      <c r="E497" s="144"/>
      <c r="F497" s="144"/>
    </row>
    <row r="498" spans="3:6" x14ac:dyDescent="0.25">
      <c r="C498" s="180"/>
      <c r="D498" s="180"/>
      <c r="E498" s="144"/>
      <c r="F498" s="144"/>
    </row>
    <row r="499" spans="3:6" x14ac:dyDescent="0.25">
      <c r="C499" s="180"/>
      <c r="D499" s="180"/>
      <c r="E499" s="144"/>
      <c r="F499" s="144"/>
    </row>
    <row r="500" spans="3:6" x14ac:dyDescent="0.25">
      <c r="C500" s="180"/>
      <c r="D500" s="180"/>
      <c r="E500" s="144"/>
      <c r="F500" s="144"/>
    </row>
    <row r="501" spans="3:6" x14ac:dyDescent="0.25">
      <c r="C501" s="180"/>
      <c r="D501" s="180"/>
      <c r="E501" s="144"/>
      <c r="F501" s="144"/>
    </row>
    <row r="502" spans="3:6" x14ac:dyDescent="0.25">
      <c r="C502" s="180"/>
      <c r="D502" s="180"/>
      <c r="E502" s="144"/>
      <c r="F502" s="144"/>
    </row>
    <row r="503" spans="3:6" x14ac:dyDescent="0.25">
      <c r="C503" s="180"/>
      <c r="D503" s="180"/>
      <c r="E503" s="144"/>
      <c r="F503" s="144"/>
    </row>
    <row r="504" spans="3:6" x14ac:dyDescent="0.25">
      <c r="C504" s="180"/>
      <c r="D504" s="180"/>
      <c r="E504" s="144"/>
      <c r="F504" s="144"/>
    </row>
    <row r="505" spans="3:6" x14ac:dyDescent="0.25">
      <c r="C505" s="180"/>
      <c r="D505" s="180"/>
      <c r="E505" s="144"/>
      <c r="F505" s="144"/>
    </row>
    <row r="506" spans="3:6" x14ac:dyDescent="0.25">
      <c r="C506" s="180"/>
      <c r="D506" s="180"/>
      <c r="E506" s="144"/>
      <c r="F506" s="144"/>
    </row>
    <row r="507" spans="3:6" x14ac:dyDescent="0.25">
      <c r="C507" s="180"/>
      <c r="D507" s="180"/>
      <c r="E507" s="144"/>
      <c r="F507" s="144"/>
    </row>
    <row r="508" spans="3:6" x14ac:dyDescent="0.25">
      <c r="C508" s="180"/>
      <c r="D508" s="180"/>
      <c r="E508" s="144"/>
      <c r="F508" s="144"/>
    </row>
    <row r="509" spans="3:6" x14ac:dyDescent="0.25">
      <c r="C509" s="180"/>
      <c r="D509" s="180"/>
      <c r="E509" s="144"/>
      <c r="F509" s="144"/>
    </row>
    <row r="510" spans="3:6" x14ac:dyDescent="0.25">
      <c r="C510" s="180"/>
      <c r="D510" s="180"/>
      <c r="E510" s="144"/>
      <c r="F510" s="144"/>
    </row>
    <row r="511" spans="3:6" x14ac:dyDescent="0.25">
      <c r="C511" s="180"/>
      <c r="D511" s="180"/>
      <c r="E511" s="144"/>
      <c r="F511" s="144"/>
    </row>
    <row r="512" spans="3:6" x14ac:dyDescent="0.25">
      <c r="C512" s="180"/>
      <c r="D512" s="180"/>
      <c r="E512" s="144"/>
      <c r="F512" s="144"/>
    </row>
    <row r="513" spans="3:6" x14ac:dyDescent="0.25">
      <c r="C513" s="180"/>
      <c r="D513" s="180"/>
      <c r="E513" s="144"/>
      <c r="F513" s="144"/>
    </row>
    <row r="514" spans="3:6" x14ac:dyDescent="0.25">
      <c r="C514" s="180"/>
      <c r="D514" s="180"/>
      <c r="E514" s="144"/>
      <c r="F514" s="144"/>
    </row>
    <row r="515" spans="3:6" x14ac:dyDescent="0.25">
      <c r="C515" s="180"/>
      <c r="D515" s="180"/>
      <c r="E515" s="144"/>
      <c r="F515" s="144"/>
    </row>
    <row r="516" spans="3:6" x14ac:dyDescent="0.25">
      <c r="C516" s="180"/>
      <c r="D516" s="180"/>
      <c r="E516" s="144"/>
      <c r="F516" s="144"/>
    </row>
    <row r="517" spans="3:6" x14ac:dyDescent="0.25">
      <c r="C517" s="180"/>
      <c r="D517" s="180"/>
      <c r="E517" s="144"/>
      <c r="F517" s="144"/>
    </row>
    <row r="518" spans="3:6" x14ac:dyDescent="0.25">
      <c r="C518" s="180"/>
      <c r="D518" s="180"/>
      <c r="E518" s="144"/>
      <c r="F518" s="144"/>
    </row>
    <row r="519" spans="3:6" x14ac:dyDescent="0.25">
      <c r="C519" s="180"/>
      <c r="D519" s="180"/>
      <c r="E519" s="144"/>
      <c r="F519" s="144"/>
    </row>
    <row r="520" spans="3:6" x14ac:dyDescent="0.25">
      <c r="C520" s="180"/>
      <c r="D520" s="180"/>
      <c r="E520" s="144"/>
      <c r="F520" s="144"/>
    </row>
    <row r="521" spans="3:6" x14ac:dyDescent="0.25">
      <c r="C521" s="180"/>
      <c r="D521" s="180"/>
      <c r="E521" s="144"/>
      <c r="F521" s="144"/>
    </row>
    <row r="522" spans="3:6" x14ac:dyDescent="0.25">
      <c r="C522" s="180"/>
      <c r="D522" s="180"/>
      <c r="E522" s="144"/>
      <c r="F522" s="144"/>
    </row>
    <row r="523" spans="3:6" x14ac:dyDescent="0.25">
      <c r="C523" s="180"/>
      <c r="D523" s="180"/>
      <c r="E523" s="144"/>
      <c r="F523" s="144"/>
    </row>
    <row r="524" spans="3:6" x14ac:dyDescent="0.25">
      <c r="C524" s="180"/>
      <c r="D524" s="180"/>
      <c r="E524" s="144"/>
      <c r="F524" s="144"/>
    </row>
    <row r="525" spans="3:6" x14ac:dyDescent="0.25">
      <c r="C525" s="180"/>
      <c r="D525" s="180"/>
      <c r="E525" s="144"/>
      <c r="F525" s="144"/>
    </row>
    <row r="526" spans="3:6" x14ac:dyDescent="0.25">
      <c r="C526" s="180"/>
      <c r="D526" s="180"/>
      <c r="E526" s="144"/>
      <c r="F526" s="144"/>
    </row>
    <row r="527" spans="3:6" x14ac:dyDescent="0.25">
      <c r="C527" s="180"/>
      <c r="D527" s="180"/>
      <c r="E527" s="144"/>
      <c r="F527" s="144"/>
    </row>
    <row r="528" spans="3:6" x14ac:dyDescent="0.25">
      <c r="C528" s="180"/>
      <c r="D528" s="180"/>
      <c r="E528" s="144"/>
      <c r="F528" s="144"/>
    </row>
    <row r="529" spans="3:6" x14ac:dyDescent="0.25">
      <c r="C529" s="180"/>
      <c r="D529" s="180"/>
      <c r="E529" s="144"/>
      <c r="F529" s="144"/>
    </row>
    <row r="530" spans="3:6" x14ac:dyDescent="0.25">
      <c r="C530" s="180"/>
      <c r="D530" s="180"/>
      <c r="E530" s="144"/>
      <c r="F530" s="144"/>
    </row>
    <row r="531" spans="3:6" x14ac:dyDescent="0.25">
      <c r="C531" s="180"/>
      <c r="D531" s="180"/>
      <c r="E531" s="144"/>
      <c r="F531" s="144"/>
    </row>
    <row r="532" spans="3:6" x14ac:dyDescent="0.25">
      <c r="C532" s="180"/>
      <c r="D532" s="180"/>
      <c r="E532" s="144"/>
      <c r="F532" s="144"/>
    </row>
    <row r="533" spans="3:6" x14ac:dyDescent="0.25">
      <c r="C533" s="180"/>
      <c r="D533" s="180"/>
      <c r="E533" s="144"/>
      <c r="F533" s="144"/>
    </row>
    <row r="534" spans="3:6" x14ac:dyDescent="0.25">
      <c r="C534" s="180"/>
      <c r="D534" s="180"/>
      <c r="E534" s="144"/>
      <c r="F534" s="144"/>
    </row>
    <row r="535" spans="3:6" x14ac:dyDescent="0.25">
      <c r="C535" s="180"/>
      <c r="D535" s="180"/>
      <c r="E535" s="144"/>
      <c r="F535" s="144"/>
    </row>
    <row r="536" spans="3:6" x14ac:dyDescent="0.25">
      <c r="C536" s="180"/>
      <c r="D536" s="180"/>
      <c r="E536" s="144"/>
      <c r="F536" s="144"/>
    </row>
    <row r="537" spans="3:6" x14ac:dyDescent="0.25">
      <c r="C537" s="180"/>
      <c r="D537" s="180"/>
      <c r="E537" s="144"/>
      <c r="F537" s="144"/>
    </row>
    <row r="538" spans="3:6" x14ac:dyDescent="0.25">
      <c r="C538" s="180"/>
      <c r="D538" s="180"/>
      <c r="E538" s="144"/>
      <c r="F538" s="144"/>
    </row>
    <row r="539" spans="3:6" x14ac:dyDescent="0.25">
      <c r="C539" s="180"/>
      <c r="D539" s="180"/>
      <c r="E539" s="144"/>
      <c r="F539" s="144"/>
    </row>
    <row r="540" spans="3:6" x14ac:dyDescent="0.25">
      <c r="C540" s="180"/>
      <c r="D540" s="180"/>
      <c r="E540" s="144"/>
      <c r="F540" s="144"/>
    </row>
    <row r="541" spans="3:6" x14ac:dyDescent="0.25">
      <c r="C541" s="180"/>
      <c r="D541" s="180"/>
      <c r="E541" s="144"/>
      <c r="F541" s="144"/>
    </row>
    <row r="542" spans="3:6" x14ac:dyDescent="0.25">
      <c r="C542" s="180"/>
      <c r="D542" s="180"/>
      <c r="E542" s="144"/>
      <c r="F542" s="144"/>
    </row>
    <row r="543" spans="3:6" x14ac:dyDescent="0.25">
      <c r="C543" s="180"/>
      <c r="D543" s="180"/>
      <c r="E543" s="144"/>
      <c r="F543" s="144"/>
    </row>
    <row r="544" spans="3:6" x14ac:dyDescent="0.25">
      <c r="C544" s="180"/>
      <c r="D544" s="180"/>
      <c r="E544" s="144"/>
      <c r="F544" s="144"/>
    </row>
    <row r="545" spans="3:6" x14ac:dyDescent="0.25">
      <c r="C545" s="180"/>
      <c r="D545" s="180"/>
      <c r="E545" s="144"/>
      <c r="F545" s="144"/>
    </row>
    <row r="546" spans="3:6" x14ac:dyDescent="0.25">
      <c r="C546" s="180"/>
      <c r="D546" s="180"/>
      <c r="E546" s="144"/>
      <c r="F546" s="144"/>
    </row>
    <row r="547" spans="3:6" x14ac:dyDescent="0.25">
      <c r="C547" s="180"/>
      <c r="D547" s="180"/>
      <c r="E547" s="144"/>
      <c r="F547" s="144"/>
    </row>
    <row r="548" spans="3:6" x14ac:dyDescent="0.25">
      <c r="C548" s="180"/>
      <c r="D548" s="180"/>
      <c r="E548" s="144"/>
      <c r="F548" s="144"/>
    </row>
    <row r="549" spans="3:6" x14ac:dyDescent="0.25">
      <c r="C549" s="180"/>
      <c r="D549" s="180"/>
      <c r="E549" s="144"/>
      <c r="F549" s="144"/>
    </row>
    <row r="550" spans="3:6" x14ac:dyDescent="0.25">
      <c r="C550" s="180"/>
      <c r="D550" s="180"/>
      <c r="E550" s="144"/>
      <c r="F550" s="144"/>
    </row>
    <row r="551" spans="3:6" x14ac:dyDescent="0.25">
      <c r="C551" s="180"/>
      <c r="D551" s="180"/>
      <c r="E551" s="144"/>
      <c r="F551" s="144"/>
    </row>
    <row r="552" spans="3:6" x14ac:dyDescent="0.25">
      <c r="C552" s="180"/>
      <c r="D552" s="180"/>
      <c r="E552" s="144"/>
      <c r="F552" s="144"/>
    </row>
    <row r="553" spans="3:6" x14ac:dyDescent="0.25">
      <c r="C553" s="180"/>
      <c r="D553" s="180"/>
      <c r="E553" s="144"/>
      <c r="F553" s="144"/>
    </row>
    <row r="554" spans="3:6" x14ac:dyDescent="0.25">
      <c r="C554" s="180"/>
      <c r="D554" s="180"/>
      <c r="E554" s="144"/>
      <c r="F554" s="144"/>
    </row>
    <row r="555" spans="3:6" x14ac:dyDescent="0.25">
      <c r="C555" s="180"/>
      <c r="D555" s="180"/>
      <c r="E555" s="144"/>
      <c r="F555" s="144"/>
    </row>
    <row r="556" spans="3:6" x14ac:dyDescent="0.25">
      <c r="C556" s="180"/>
      <c r="D556" s="180"/>
      <c r="E556" s="144"/>
      <c r="F556" s="144"/>
    </row>
    <row r="557" spans="3:6" x14ac:dyDescent="0.25">
      <c r="C557" s="180"/>
      <c r="D557" s="180"/>
      <c r="E557" s="144"/>
      <c r="F557" s="144"/>
    </row>
    <row r="558" spans="3:6" x14ac:dyDescent="0.25">
      <c r="C558" s="180"/>
      <c r="D558" s="180"/>
      <c r="E558" s="144"/>
      <c r="F558" s="144"/>
    </row>
    <row r="559" spans="3:6" x14ac:dyDescent="0.25">
      <c r="C559" s="180"/>
      <c r="D559" s="180"/>
      <c r="E559" s="144"/>
      <c r="F559" s="144"/>
    </row>
    <row r="560" spans="3:6" x14ac:dyDescent="0.25">
      <c r="C560" s="180"/>
      <c r="D560" s="180"/>
      <c r="E560" s="144"/>
      <c r="F560" s="144"/>
    </row>
    <row r="561" spans="3:6" x14ac:dyDescent="0.25">
      <c r="C561" s="180"/>
      <c r="D561" s="180"/>
      <c r="E561" s="144"/>
      <c r="F561" s="144"/>
    </row>
    <row r="562" spans="3:6" x14ac:dyDescent="0.25">
      <c r="C562" s="180"/>
      <c r="D562" s="180"/>
      <c r="E562" s="144"/>
      <c r="F562" s="144"/>
    </row>
    <row r="563" spans="3:6" x14ac:dyDescent="0.25">
      <c r="C563" s="180"/>
      <c r="D563" s="180"/>
      <c r="E563" s="144"/>
      <c r="F563" s="144"/>
    </row>
    <row r="564" spans="3:6" x14ac:dyDescent="0.25">
      <c r="C564" s="180"/>
      <c r="D564" s="180"/>
      <c r="E564" s="144"/>
      <c r="F564" s="144"/>
    </row>
    <row r="565" spans="3:6" x14ac:dyDescent="0.25">
      <c r="C565" s="180"/>
      <c r="D565" s="180"/>
      <c r="E565" s="144"/>
      <c r="F565" s="144"/>
    </row>
    <row r="566" spans="3:6" x14ac:dyDescent="0.25">
      <c r="C566" s="180"/>
      <c r="D566" s="180"/>
      <c r="E566" s="144"/>
      <c r="F566" s="144"/>
    </row>
    <row r="567" spans="3:6" x14ac:dyDescent="0.25">
      <c r="C567" s="180"/>
      <c r="D567" s="180"/>
      <c r="E567" s="144"/>
      <c r="F567" s="144"/>
    </row>
    <row r="568" spans="3:6" x14ac:dyDescent="0.25">
      <c r="C568" s="180"/>
      <c r="D568" s="180"/>
      <c r="E568" s="144"/>
      <c r="F568" s="144"/>
    </row>
    <row r="569" spans="3:6" x14ac:dyDescent="0.25">
      <c r="C569" s="180"/>
      <c r="D569" s="180"/>
      <c r="E569" s="144"/>
      <c r="F569" s="144"/>
    </row>
    <row r="570" spans="3:6" x14ac:dyDescent="0.25">
      <c r="C570" s="180"/>
      <c r="D570" s="180"/>
      <c r="E570" s="144"/>
      <c r="F570" s="144"/>
    </row>
    <row r="571" spans="3:6" x14ac:dyDescent="0.25">
      <c r="C571" s="180"/>
      <c r="D571" s="180"/>
      <c r="E571" s="144"/>
      <c r="F571" s="144"/>
    </row>
    <row r="572" spans="3:6" x14ac:dyDescent="0.25">
      <c r="C572" s="180"/>
      <c r="D572" s="180"/>
      <c r="E572" s="144"/>
      <c r="F572" s="144"/>
    </row>
    <row r="573" spans="3:6" x14ac:dyDescent="0.25">
      <c r="C573" s="180"/>
      <c r="D573" s="180"/>
      <c r="E573" s="144"/>
      <c r="F573" s="144"/>
    </row>
    <row r="574" spans="3:6" x14ac:dyDescent="0.25">
      <c r="C574" s="180"/>
      <c r="D574" s="180"/>
      <c r="E574" s="144"/>
      <c r="F574" s="144"/>
    </row>
    <row r="575" spans="3:6" x14ac:dyDescent="0.25">
      <c r="C575" s="180"/>
      <c r="D575" s="180"/>
      <c r="E575" s="144"/>
      <c r="F575" s="144"/>
    </row>
    <row r="576" spans="3:6" x14ac:dyDescent="0.25">
      <c r="C576" s="180"/>
      <c r="D576" s="180"/>
      <c r="E576" s="144"/>
      <c r="F576" s="144"/>
    </row>
    <row r="577" spans="3:6" x14ac:dyDescent="0.25">
      <c r="C577" s="180"/>
      <c r="D577" s="180"/>
      <c r="E577" s="144"/>
      <c r="F577" s="144"/>
    </row>
    <row r="578" spans="3:6" x14ac:dyDescent="0.25">
      <c r="C578" s="180"/>
      <c r="D578" s="180"/>
      <c r="E578" s="144"/>
      <c r="F578" s="144"/>
    </row>
    <row r="579" spans="3:6" x14ac:dyDescent="0.25">
      <c r="C579" s="180"/>
      <c r="D579" s="180"/>
      <c r="E579" s="144"/>
      <c r="F579" s="144"/>
    </row>
    <row r="580" spans="3:6" x14ac:dyDescent="0.25">
      <c r="C580" s="180"/>
      <c r="D580" s="180"/>
      <c r="E580" s="144"/>
      <c r="F580" s="144"/>
    </row>
    <row r="581" spans="3:6" x14ac:dyDescent="0.25">
      <c r="C581" s="180"/>
      <c r="D581" s="180"/>
      <c r="E581" s="144"/>
      <c r="F581" s="144"/>
    </row>
    <row r="582" spans="3:6" x14ac:dyDescent="0.25">
      <c r="C582" s="180"/>
      <c r="D582" s="180"/>
      <c r="E582" s="144"/>
      <c r="F582" s="144"/>
    </row>
    <row r="583" spans="3:6" x14ac:dyDescent="0.25">
      <c r="C583" s="180"/>
      <c r="D583" s="180"/>
      <c r="E583" s="144"/>
      <c r="F583" s="144"/>
    </row>
    <row r="584" spans="3:6" x14ac:dyDescent="0.25">
      <c r="C584" s="180"/>
      <c r="D584" s="180"/>
      <c r="E584" s="144"/>
      <c r="F584" s="144"/>
    </row>
    <row r="585" spans="3:6" x14ac:dyDescent="0.25">
      <c r="C585" s="180"/>
      <c r="D585" s="180"/>
      <c r="E585" s="144"/>
      <c r="F585" s="144"/>
    </row>
    <row r="586" spans="3:6" x14ac:dyDescent="0.25">
      <c r="C586" s="180"/>
      <c r="D586" s="180"/>
      <c r="E586" s="144"/>
      <c r="F586" s="144"/>
    </row>
    <row r="587" spans="3:6" x14ac:dyDescent="0.25">
      <c r="C587" s="180"/>
      <c r="D587" s="180"/>
      <c r="E587" s="144"/>
      <c r="F587" s="144"/>
    </row>
    <row r="588" spans="3:6" x14ac:dyDescent="0.25">
      <c r="C588" s="180"/>
      <c r="D588" s="180"/>
      <c r="E588" s="144"/>
      <c r="F588" s="144"/>
    </row>
    <row r="589" spans="3:6" x14ac:dyDescent="0.25">
      <c r="C589" s="180"/>
      <c r="D589" s="180"/>
      <c r="E589" s="144"/>
      <c r="F589" s="144"/>
    </row>
    <row r="590" spans="3:6" x14ac:dyDescent="0.25">
      <c r="C590" s="180"/>
      <c r="D590" s="180"/>
      <c r="E590" s="144"/>
      <c r="F590" s="144"/>
    </row>
    <row r="591" spans="3:6" x14ac:dyDescent="0.25">
      <c r="C591" s="180"/>
      <c r="D591" s="180"/>
      <c r="E591" s="144"/>
      <c r="F591" s="144"/>
    </row>
    <row r="592" spans="3:6" x14ac:dyDescent="0.25">
      <c r="C592" s="180"/>
      <c r="D592" s="180"/>
      <c r="E592" s="144"/>
      <c r="F592" s="144"/>
    </row>
    <row r="593" spans="3:6" x14ac:dyDescent="0.25">
      <c r="C593" s="180"/>
      <c r="D593" s="180"/>
      <c r="E593" s="144"/>
      <c r="F593" s="144"/>
    </row>
    <row r="594" spans="3:6" x14ac:dyDescent="0.25">
      <c r="C594" s="180"/>
      <c r="D594" s="180"/>
      <c r="E594" s="144"/>
      <c r="F594" s="144"/>
    </row>
    <row r="595" spans="3:6" x14ac:dyDescent="0.25">
      <c r="C595" s="180"/>
      <c r="D595" s="180"/>
      <c r="E595" s="144"/>
      <c r="F595" s="144"/>
    </row>
    <row r="596" spans="3:6" x14ac:dyDescent="0.25">
      <c r="C596" s="180"/>
      <c r="D596" s="180"/>
      <c r="E596" s="144"/>
      <c r="F596" s="144"/>
    </row>
    <row r="597" spans="3:6" x14ac:dyDescent="0.25">
      <c r="C597" s="180"/>
      <c r="D597" s="180"/>
      <c r="E597" s="144"/>
      <c r="F597" s="144"/>
    </row>
    <row r="598" spans="3:6" x14ac:dyDescent="0.25">
      <c r="C598" s="180"/>
      <c r="D598" s="180"/>
      <c r="E598" s="144"/>
      <c r="F598" s="144"/>
    </row>
    <row r="599" spans="3:6" x14ac:dyDescent="0.25">
      <c r="C599" s="180"/>
      <c r="D599" s="180"/>
      <c r="E599" s="144"/>
      <c r="F599" s="144"/>
    </row>
    <row r="600" spans="3:6" x14ac:dyDescent="0.25">
      <c r="C600" s="180"/>
      <c r="D600" s="180"/>
      <c r="E600" s="144"/>
      <c r="F600" s="144"/>
    </row>
    <row r="601" spans="3:6" x14ac:dyDescent="0.25">
      <c r="C601" s="180"/>
      <c r="D601" s="180"/>
      <c r="E601" s="144"/>
      <c r="F601" s="144"/>
    </row>
    <row r="602" spans="3:6" x14ac:dyDescent="0.25">
      <c r="C602" s="180"/>
      <c r="D602" s="180"/>
      <c r="E602" s="144"/>
      <c r="F602" s="144"/>
    </row>
    <row r="603" spans="3:6" x14ac:dyDescent="0.25">
      <c r="C603" s="180"/>
      <c r="D603" s="180"/>
      <c r="E603" s="144"/>
      <c r="F603" s="144"/>
    </row>
    <row r="604" spans="3:6" x14ac:dyDescent="0.25">
      <c r="C604" s="180"/>
      <c r="D604" s="180"/>
      <c r="E604" s="144"/>
      <c r="F604" s="144"/>
    </row>
    <row r="605" spans="3:6" x14ac:dyDescent="0.25">
      <c r="C605" s="180"/>
      <c r="D605" s="180"/>
      <c r="E605" s="144"/>
      <c r="F605" s="144"/>
    </row>
    <row r="606" spans="3:6" x14ac:dyDescent="0.25">
      <c r="C606" s="180"/>
      <c r="D606" s="180"/>
      <c r="E606" s="144"/>
      <c r="F606" s="144"/>
    </row>
    <row r="607" spans="3:6" x14ac:dyDescent="0.25">
      <c r="C607" s="180"/>
      <c r="D607" s="180"/>
      <c r="E607" s="144"/>
      <c r="F607" s="144"/>
    </row>
    <row r="608" spans="3:6" x14ac:dyDescent="0.25">
      <c r="C608" s="180"/>
      <c r="D608" s="180"/>
      <c r="E608" s="144"/>
      <c r="F608" s="144"/>
    </row>
    <row r="609" spans="3:6" x14ac:dyDescent="0.25">
      <c r="C609" s="180"/>
      <c r="D609" s="180"/>
      <c r="E609" s="144"/>
      <c r="F609" s="144"/>
    </row>
    <row r="610" spans="3:6" x14ac:dyDescent="0.25">
      <c r="C610" s="180"/>
      <c r="D610" s="180"/>
      <c r="E610" s="144"/>
      <c r="F610" s="144"/>
    </row>
    <row r="611" spans="3:6" x14ac:dyDescent="0.25">
      <c r="C611" s="180"/>
      <c r="D611" s="180"/>
      <c r="E611" s="144"/>
      <c r="F611" s="144"/>
    </row>
    <row r="612" spans="3:6" x14ac:dyDescent="0.25">
      <c r="C612" s="180"/>
      <c r="D612" s="180"/>
      <c r="E612" s="144"/>
      <c r="F612" s="144"/>
    </row>
    <row r="613" spans="3:6" x14ac:dyDescent="0.25">
      <c r="C613" s="180"/>
      <c r="D613" s="180"/>
      <c r="E613" s="144"/>
      <c r="F613" s="144"/>
    </row>
    <row r="614" spans="3:6" x14ac:dyDescent="0.25">
      <c r="C614" s="180"/>
      <c r="D614" s="180"/>
      <c r="E614" s="144"/>
      <c r="F614" s="144"/>
    </row>
    <row r="615" spans="3:6" x14ac:dyDescent="0.25">
      <c r="C615" s="180"/>
      <c r="D615" s="180"/>
      <c r="E615" s="144"/>
      <c r="F615" s="144"/>
    </row>
    <row r="616" spans="3:6" x14ac:dyDescent="0.25">
      <c r="C616" s="180"/>
      <c r="D616" s="180"/>
      <c r="E616" s="144"/>
      <c r="F616" s="144"/>
    </row>
    <row r="617" spans="3:6" x14ac:dyDescent="0.25">
      <c r="C617" s="180"/>
      <c r="D617" s="180"/>
      <c r="E617" s="144"/>
      <c r="F617" s="144"/>
    </row>
    <row r="618" spans="3:6" x14ac:dyDescent="0.25">
      <c r="C618" s="180"/>
      <c r="D618" s="180"/>
      <c r="E618" s="144"/>
      <c r="F618" s="144"/>
    </row>
    <row r="619" spans="3:6" x14ac:dyDescent="0.25">
      <c r="C619" s="180"/>
      <c r="D619" s="180"/>
      <c r="E619" s="144"/>
      <c r="F619" s="144"/>
    </row>
    <row r="620" spans="3:6" x14ac:dyDescent="0.25">
      <c r="C620" s="180"/>
      <c r="D620" s="180"/>
      <c r="E620" s="144"/>
      <c r="F620" s="144"/>
    </row>
    <row r="621" spans="3:6" x14ac:dyDescent="0.25">
      <c r="C621" s="180"/>
      <c r="D621" s="180"/>
      <c r="E621" s="144"/>
      <c r="F621" s="144"/>
    </row>
    <row r="622" spans="3:6" x14ac:dyDescent="0.25">
      <c r="C622" s="180"/>
      <c r="D622" s="180"/>
      <c r="E622" s="144"/>
      <c r="F622" s="144"/>
    </row>
    <row r="623" spans="3:6" x14ac:dyDescent="0.25">
      <c r="C623" s="180"/>
      <c r="D623" s="180"/>
      <c r="E623" s="144"/>
      <c r="F623" s="144"/>
    </row>
    <row r="624" spans="3:6" x14ac:dyDescent="0.25">
      <c r="C624" s="180"/>
      <c r="D624" s="180"/>
      <c r="E624" s="144"/>
      <c r="F624" s="144"/>
    </row>
    <row r="625" spans="3:6" x14ac:dyDescent="0.25">
      <c r="C625" s="180"/>
      <c r="D625" s="180"/>
      <c r="E625" s="144"/>
      <c r="F625" s="144"/>
    </row>
    <row r="626" spans="3:6" x14ac:dyDescent="0.25">
      <c r="C626" s="180"/>
      <c r="D626" s="180"/>
      <c r="E626" s="144"/>
      <c r="F626" s="144"/>
    </row>
    <row r="627" spans="3:6" x14ac:dyDescent="0.25">
      <c r="C627" s="180"/>
      <c r="D627" s="180"/>
      <c r="E627" s="144"/>
      <c r="F627" s="144"/>
    </row>
    <row r="628" spans="3:6" x14ac:dyDescent="0.25">
      <c r="C628" s="180"/>
      <c r="D628" s="180"/>
      <c r="E628" s="144"/>
      <c r="F628" s="144"/>
    </row>
    <row r="629" spans="3:6" x14ac:dyDescent="0.25">
      <c r="C629" s="180"/>
      <c r="D629" s="180"/>
      <c r="E629" s="144"/>
      <c r="F629" s="144"/>
    </row>
    <row r="630" spans="3:6" x14ac:dyDescent="0.25">
      <c r="C630" s="180"/>
      <c r="D630" s="180"/>
      <c r="E630" s="144"/>
      <c r="F630" s="144"/>
    </row>
    <row r="631" spans="3:6" x14ac:dyDescent="0.25">
      <c r="C631" s="180"/>
      <c r="D631" s="180"/>
      <c r="E631" s="144"/>
      <c r="F631" s="144"/>
    </row>
    <row r="632" spans="3:6" x14ac:dyDescent="0.25">
      <c r="C632" s="180"/>
      <c r="D632" s="180"/>
      <c r="E632" s="144"/>
      <c r="F632" s="144"/>
    </row>
    <row r="633" spans="3:6" x14ac:dyDescent="0.25">
      <c r="C633" s="180"/>
      <c r="D633" s="180"/>
      <c r="E633" s="144"/>
      <c r="F633" s="144"/>
    </row>
    <row r="634" spans="3:6" x14ac:dyDescent="0.25">
      <c r="C634" s="180"/>
      <c r="D634" s="180"/>
      <c r="E634" s="144"/>
      <c r="F634" s="144"/>
    </row>
    <row r="635" spans="3:6" x14ac:dyDescent="0.25">
      <c r="C635" s="180"/>
      <c r="D635" s="180"/>
      <c r="E635" s="144"/>
      <c r="F635" s="144"/>
    </row>
    <row r="636" spans="3:6" x14ac:dyDescent="0.25">
      <c r="C636" s="180"/>
      <c r="D636" s="180"/>
      <c r="E636" s="144"/>
      <c r="F636" s="144"/>
    </row>
    <row r="637" spans="3:6" x14ac:dyDescent="0.25">
      <c r="C637" s="180"/>
      <c r="D637" s="180"/>
      <c r="E637" s="144"/>
      <c r="F637" s="144"/>
    </row>
    <row r="638" spans="3:6" x14ac:dyDescent="0.25">
      <c r="C638" s="180"/>
      <c r="D638" s="180"/>
      <c r="E638" s="144"/>
      <c r="F638" s="144"/>
    </row>
    <row r="639" spans="3:6" x14ac:dyDescent="0.25">
      <c r="C639" s="180"/>
      <c r="D639" s="180"/>
      <c r="E639" s="144"/>
      <c r="F639" s="144"/>
    </row>
    <row r="640" spans="3:6" x14ac:dyDescent="0.25">
      <c r="C640" s="180"/>
      <c r="D640" s="180"/>
      <c r="E640" s="144"/>
      <c r="F640" s="144"/>
    </row>
    <row r="641" spans="3:6" x14ac:dyDescent="0.25">
      <c r="C641" s="180"/>
      <c r="D641" s="180"/>
      <c r="E641" s="144"/>
      <c r="F641" s="144"/>
    </row>
    <row r="642" spans="3:6" x14ac:dyDescent="0.25">
      <c r="C642" s="180"/>
      <c r="D642" s="180"/>
      <c r="E642" s="144"/>
      <c r="F642" s="144"/>
    </row>
    <row r="643" spans="3:6" x14ac:dyDescent="0.25">
      <c r="C643" s="180"/>
      <c r="D643" s="180"/>
      <c r="E643" s="144"/>
      <c r="F643" s="144"/>
    </row>
    <row r="644" spans="3:6" x14ac:dyDescent="0.25">
      <c r="C644" s="180"/>
      <c r="D644" s="180"/>
      <c r="E644" s="144"/>
      <c r="F644" s="144"/>
    </row>
    <row r="645" spans="3:6" x14ac:dyDescent="0.25">
      <c r="C645" s="180"/>
      <c r="D645" s="180"/>
      <c r="E645" s="144"/>
      <c r="F645" s="144"/>
    </row>
    <row r="646" spans="3:6" x14ac:dyDescent="0.25">
      <c r="C646" s="180"/>
      <c r="D646" s="180"/>
      <c r="E646" s="144"/>
      <c r="F646" s="144"/>
    </row>
    <row r="647" spans="3:6" x14ac:dyDescent="0.25">
      <c r="C647" s="180"/>
      <c r="D647" s="180"/>
      <c r="E647" s="144"/>
      <c r="F647" s="144"/>
    </row>
    <row r="648" spans="3:6" x14ac:dyDescent="0.25">
      <c r="C648" s="180"/>
      <c r="D648" s="180"/>
      <c r="E648" s="144"/>
      <c r="F648" s="144"/>
    </row>
    <row r="649" spans="3:6" x14ac:dyDescent="0.25">
      <c r="C649" s="180"/>
      <c r="D649" s="180"/>
      <c r="E649" s="144"/>
      <c r="F649" s="144"/>
    </row>
    <row r="650" spans="3:6" x14ac:dyDescent="0.25">
      <c r="C650" s="180"/>
      <c r="D650" s="180"/>
      <c r="E650" s="144"/>
      <c r="F650" s="144"/>
    </row>
    <row r="651" spans="3:6" x14ac:dyDescent="0.25">
      <c r="C651" s="180"/>
      <c r="D651" s="180"/>
      <c r="E651" s="144"/>
      <c r="F651" s="144"/>
    </row>
    <row r="652" spans="3:6" x14ac:dyDescent="0.25">
      <c r="C652" s="180"/>
      <c r="D652" s="180"/>
      <c r="E652" s="144"/>
      <c r="F652" s="144"/>
    </row>
    <row r="653" spans="3:6" x14ac:dyDescent="0.25">
      <c r="C653" s="180"/>
      <c r="D653" s="180"/>
      <c r="E653" s="144"/>
      <c r="F653" s="144"/>
    </row>
    <row r="654" spans="3:6" x14ac:dyDescent="0.25">
      <c r="C654" s="180"/>
      <c r="D654" s="180"/>
      <c r="E654" s="144"/>
      <c r="F654" s="144"/>
    </row>
    <row r="655" spans="3:6" x14ac:dyDescent="0.25">
      <c r="C655" s="180"/>
      <c r="D655" s="180"/>
      <c r="E655" s="144"/>
      <c r="F655" s="144"/>
    </row>
    <row r="656" spans="3:6" x14ac:dyDescent="0.25">
      <c r="C656" s="180"/>
      <c r="D656" s="180"/>
      <c r="E656" s="144"/>
      <c r="F656" s="144"/>
    </row>
    <row r="657" spans="3:6" x14ac:dyDescent="0.25">
      <c r="C657" s="180"/>
      <c r="D657" s="180"/>
      <c r="E657" s="144"/>
      <c r="F657" s="144"/>
    </row>
    <row r="658" spans="3:6" x14ac:dyDescent="0.25">
      <c r="C658" s="180"/>
      <c r="D658" s="180"/>
      <c r="E658" s="144"/>
      <c r="F658" s="144"/>
    </row>
    <row r="659" spans="3:6" x14ac:dyDescent="0.25">
      <c r="C659" s="180"/>
      <c r="D659" s="180"/>
      <c r="E659" s="144"/>
      <c r="F659" s="144"/>
    </row>
    <row r="660" spans="3:6" x14ac:dyDescent="0.25">
      <c r="C660" s="180"/>
      <c r="D660" s="180"/>
      <c r="E660" s="144"/>
      <c r="F660" s="144"/>
    </row>
    <row r="661" spans="3:6" x14ac:dyDescent="0.25">
      <c r="C661" s="180"/>
      <c r="D661" s="180"/>
      <c r="E661" s="144"/>
      <c r="F661" s="144"/>
    </row>
    <row r="662" spans="3:6" x14ac:dyDescent="0.25">
      <c r="C662" s="180"/>
      <c r="D662" s="180"/>
      <c r="E662" s="144"/>
      <c r="F662" s="144"/>
    </row>
    <row r="663" spans="3:6" x14ac:dyDescent="0.25">
      <c r="C663" s="180"/>
      <c r="D663" s="180"/>
      <c r="E663" s="144"/>
      <c r="F663" s="144"/>
    </row>
    <row r="664" spans="3:6" x14ac:dyDescent="0.25">
      <c r="C664" s="180"/>
      <c r="D664" s="180"/>
      <c r="E664" s="144"/>
      <c r="F664" s="144"/>
    </row>
    <row r="665" spans="3:6" x14ac:dyDescent="0.25">
      <c r="C665" s="180"/>
      <c r="D665" s="180"/>
      <c r="E665" s="144"/>
      <c r="F665" s="144"/>
    </row>
    <row r="666" spans="3:6" x14ac:dyDescent="0.25">
      <c r="C666" s="180"/>
      <c r="D666" s="180"/>
      <c r="E666" s="144"/>
      <c r="F666" s="144"/>
    </row>
    <row r="667" spans="3:6" x14ac:dyDescent="0.25">
      <c r="C667" s="180"/>
      <c r="D667" s="180"/>
      <c r="E667" s="144"/>
      <c r="F667" s="144"/>
    </row>
    <row r="668" spans="3:6" x14ac:dyDescent="0.25">
      <c r="C668" s="180"/>
      <c r="D668" s="180"/>
      <c r="E668" s="144"/>
      <c r="F668" s="144"/>
    </row>
    <row r="669" spans="3:6" x14ac:dyDescent="0.25">
      <c r="C669" s="180"/>
      <c r="D669" s="180"/>
      <c r="E669" s="144"/>
      <c r="F669" s="144"/>
    </row>
    <row r="670" spans="3:6" x14ac:dyDescent="0.25">
      <c r="C670" s="180"/>
      <c r="D670" s="180"/>
      <c r="E670" s="144"/>
      <c r="F670" s="144"/>
    </row>
    <row r="671" spans="3:6" x14ac:dyDescent="0.25">
      <c r="C671" s="180"/>
      <c r="D671" s="180"/>
      <c r="E671" s="144"/>
      <c r="F671" s="144"/>
    </row>
    <row r="672" spans="3:6" x14ac:dyDescent="0.25">
      <c r="C672" s="180"/>
      <c r="D672" s="180"/>
      <c r="E672" s="144"/>
      <c r="F672" s="144"/>
    </row>
    <row r="673" spans="3:6" x14ac:dyDescent="0.25">
      <c r="C673" s="180"/>
      <c r="D673" s="180"/>
      <c r="E673" s="144"/>
      <c r="F673" s="144"/>
    </row>
    <row r="674" spans="3:6" x14ac:dyDescent="0.25">
      <c r="C674" s="180"/>
      <c r="D674" s="180"/>
      <c r="E674" s="144"/>
      <c r="F674" s="144"/>
    </row>
    <row r="675" spans="3:6" x14ac:dyDescent="0.25">
      <c r="C675" s="180"/>
      <c r="D675" s="180"/>
      <c r="E675" s="144"/>
      <c r="F675" s="144"/>
    </row>
    <row r="676" spans="3:6" x14ac:dyDescent="0.25">
      <c r="C676" s="180"/>
      <c r="D676" s="180"/>
      <c r="E676" s="144"/>
      <c r="F676" s="144"/>
    </row>
    <row r="677" spans="3:6" x14ac:dyDescent="0.25">
      <c r="C677" s="180"/>
      <c r="D677" s="180"/>
      <c r="E677" s="144"/>
      <c r="F677" s="144"/>
    </row>
    <row r="678" spans="3:6" x14ac:dyDescent="0.25">
      <c r="C678" s="180"/>
      <c r="D678" s="180"/>
      <c r="E678" s="144"/>
      <c r="F678" s="144"/>
    </row>
    <row r="679" spans="3:6" x14ac:dyDescent="0.25">
      <c r="C679" s="180"/>
      <c r="D679" s="180"/>
      <c r="E679" s="144"/>
      <c r="F679" s="144"/>
    </row>
    <row r="680" spans="3:6" x14ac:dyDescent="0.25">
      <c r="C680" s="180"/>
      <c r="D680" s="180"/>
      <c r="E680" s="144"/>
      <c r="F680" s="144"/>
    </row>
    <row r="681" spans="3:6" x14ac:dyDescent="0.25">
      <c r="C681" s="180"/>
      <c r="D681" s="180"/>
      <c r="E681" s="144"/>
      <c r="F681" s="144"/>
    </row>
    <row r="682" spans="3:6" x14ac:dyDescent="0.25">
      <c r="C682" s="180"/>
      <c r="D682" s="180"/>
      <c r="E682" s="144"/>
      <c r="F682" s="144"/>
    </row>
    <row r="683" spans="3:6" x14ac:dyDescent="0.25">
      <c r="C683" s="180"/>
      <c r="D683" s="180"/>
      <c r="E683" s="144"/>
      <c r="F683" s="144"/>
    </row>
    <row r="684" spans="3:6" x14ac:dyDescent="0.25">
      <c r="C684" s="180"/>
      <c r="D684" s="180"/>
      <c r="E684" s="144"/>
      <c r="F684" s="144"/>
    </row>
    <row r="685" spans="3:6" x14ac:dyDescent="0.25">
      <c r="C685" s="180"/>
      <c r="D685" s="180"/>
      <c r="E685" s="144"/>
      <c r="F685" s="144"/>
    </row>
    <row r="686" spans="3:6" x14ac:dyDescent="0.25">
      <c r="C686" s="180"/>
      <c r="D686" s="180"/>
      <c r="E686" s="144"/>
      <c r="F686" s="144"/>
    </row>
    <row r="687" spans="3:6" x14ac:dyDescent="0.25">
      <c r="C687" s="180"/>
      <c r="D687" s="180"/>
      <c r="E687" s="144"/>
      <c r="F687" s="144"/>
    </row>
    <row r="688" spans="3:6" x14ac:dyDescent="0.25">
      <c r="C688" s="180"/>
      <c r="D688" s="180"/>
      <c r="E688" s="144"/>
      <c r="F688" s="144"/>
    </row>
    <row r="689" spans="3:6" x14ac:dyDescent="0.25">
      <c r="C689" s="180"/>
      <c r="D689" s="180"/>
      <c r="E689" s="144"/>
      <c r="F689" s="144"/>
    </row>
    <row r="690" spans="3:6" x14ac:dyDescent="0.25">
      <c r="C690" s="180"/>
      <c r="D690" s="180"/>
      <c r="E690" s="144"/>
      <c r="F690" s="144"/>
    </row>
    <row r="691" spans="3:6" x14ac:dyDescent="0.25">
      <c r="C691" s="180"/>
      <c r="D691" s="180"/>
      <c r="E691" s="144"/>
      <c r="F691" s="144"/>
    </row>
    <row r="692" spans="3:6" x14ac:dyDescent="0.25">
      <c r="C692" s="180"/>
      <c r="D692" s="180"/>
      <c r="E692" s="144"/>
      <c r="F692" s="144"/>
    </row>
    <row r="693" spans="3:6" x14ac:dyDescent="0.25">
      <c r="C693" s="180"/>
      <c r="D693" s="180"/>
      <c r="E693" s="144"/>
      <c r="F693" s="144"/>
    </row>
    <row r="694" spans="3:6" x14ac:dyDescent="0.25">
      <c r="C694" s="180"/>
      <c r="D694" s="180"/>
      <c r="E694" s="144"/>
      <c r="F694" s="144"/>
    </row>
    <row r="695" spans="3:6" x14ac:dyDescent="0.25">
      <c r="C695" s="180"/>
      <c r="D695" s="180"/>
      <c r="E695" s="144"/>
      <c r="F695" s="144"/>
    </row>
    <row r="696" spans="3:6" x14ac:dyDescent="0.25">
      <c r="C696" s="180"/>
      <c r="D696" s="180"/>
      <c r="E696" s="144"/>
      <c r="F696" s="144"/>
    </row>
    <row r="697" spans="3:6" x14ac:dyDescent="0.25">
      <c r="C697" s="180"/>
      <c r="D697" s="180"/>
      <c r="E697" s="144"/>
      <c r="F697" s="144"/>
    </row>
    <row r="698" spans="3:6" x14ac:dyDescent="0.25">
      <c r="C698" s="180"/>
      <c r="D698" s="180"/>
      <c r="E698" s="144"/>
      <c r="F698" s="144"/>
    </row>
    <row r="699" spans="3:6" x14ac:dyDescent="0.25">
      <c r="C699" s="180"/>
      <c r="D699" s="180"/>
      <c r="E699" s="144"/>
      <c r="F699" s="144"/>
    </row>
    <row r="700" spans="3:6" x14ac:dyDescent="0.25">
      <c r="C700" s="180"/>
      <c r="D700" s="180"/>
      <c r="E700" s="144"/>
      <c r="F700" s="144"/>
    </row>
    <row r="701" spans="3:6" x14ac:dyDescent="0.25">
      <c r="C701" s="180"/>
      <c r="D701" s="180"/>
      <c r="E701" s="144"/>
      <c r="F701" s="144"/>
    </row>
    <row r="702" spans="3:6" x14ac:dyDescent="0.25">
      <c r="C702" s="180"/>
      <c r="D702" s="180"/>
      <c r="E702" s="144"/>
      <c r="F702" s="144"/>
    </row>
    <row r="703" spans="3:6" x14ac:dyDescent="0.25">
      <c r="C703" s="180"/>
      <c r="D703" s="180"/>
      <c r="E703" s="144"/>
      <c r="F703" s="144"/>
    </row>
    <row r="704" spans="3:6" x14ac:dyDescent="0.25">
      <c r="C704" s="180"/>
      <c r="D704" s="180"/>
      <c r="E704" s="144"/>
      <c r="F704" s="144"/>
    </row>
    <row r="705" spans="3:6" x14ac:dyDescent="0.25">
      <c r="C705" s="180"/>
      <c r="D705" s="180"/>
      <c r="E705" s="144"/>
      <c r="F705" s="144"/>
    </row>
    <row r="706" spans="3:6" x14ac:dyDescent="0.25">
      <c r="C706" s="180"/>
      <c r="D706" s="180"/>
      <c r="E706" s="144"/>
      <c r="F706" s="144"/>
    </row>
    <row r="707" spans="3:6" x14ac:dyDescent="0.25">
      <c r="C707" s="180"/>
      <c r="D707" s="180"/>
      <c r="E707" s="144"/>
      <c r="F707" s="144"/>
    </row>
    <row r="708" spans="3:6" x14ac:dyDescent="0.25">
      <c r="C708" s="180"/>
      <c r="D708" s="180"/>
      <c r="E708" s="144"/>
      <c r="F708" s="144"/>
    </row>
    <row r="709" spans="3:6" x14ac:dyDescent="0.25">
      <c r="C709" s="180"/>
      <c r="D709" s="180"/>
      <c r="E709" s="144"/>
      <c r="F709" s="144"/>
    </row>
    <row r="710" spans="3:6" x14ac:dyDescent="0.25">
      <c r="C710" s="180"/>
      <c r="D710" s="180"/>
      <c r="E710" s="144"/>
      <c r="F710" s="144"/>
    </row>
    <row r="711" spans="3:6" x14ac:dyDescent="0.25">
      <c r="C711" s="180"/>
      <c r="D711" s="180"/>
      <c r="E711" s="144"/>
      <c r="F711" s="144"/>
    </row>
    <row r="712" spans="3:6" x14ac:dyDescent="0.25">
      <c r="C712" s="180"/>
      <c r="D712" s="180"/>
      <c r="E712" s="144"/>
      <c r="F712" s="144"/>
    </row>
    <row r="713" spans="3:6" x14ac:dyDescent="0.25">
      <c r="C713" s="180"/>
      <c r="D713" s="180"/>
      <c r="E713" s="144"/>
      <c r="F713" s="144"/>
    </row>
    <row r="714" spans="3:6" x14ac:dyDescent="0.25">
      <c r="C714" s="180"/>
      <c r="D714" s="180"/>
      <c r="E714" s="144"/>
      <c r="F714" s="144"/>
    </row>
    <row r="715" spans="3:6" x14ac:dyDescent="0.25">
      <c r="C715" s="180"/>
      <c r="D715" s="180"/>
      <c r="E715" s="144"/>
      <c r="F715" s="144"/>
    </row>
    <row r="716" spans="3:6" x14ac:dyDescent="0.25">
      <c r="C716" s="180"/>
      <c r="D716" s="180"/>
      <c r="E716" s="144"/>
      <c r="F716" s="144"/>
    </row>
    <row r="717" spans="3:6" x14ac:dyDescent="0.25">
      <c r="C717" s="180"/>
      <c r="D717" s="180"/>
      <c r="E717" s="144"/>
      <c r="F717" s="144"/>
    </row>
    <row r="718" spans="3:6" x14ac:dyDescent="0.25">
      <c r="C718" s="180"/>
      <c r="D718" s="180"/>
      <c r="E718" s="144"/>
      <c r="F718" s="144"/>
    </row>
    <row r="719" spans="3:6" x14ac:dyDescent="0.25">
      <c r="C719" s="180"/>
      <c r="D719" s="180"/>
      <c r="E719" s="144"/>
      <c r="F719" s="144"/>
    </row>
    <row r="720" spans="3:6" x14ac:dyDescent="0.25">
      <c r="C720" s="180"/>
      <c r="D720" s="180"/>
      <c r="E720" s="144"/>
      <c r="F720" s="144"/>
    </row>
    <row r="721" spans="3:6" x14ac:dyDescent="0.25">
      <c r="C721" s="180"/>
      <c r="D721" s="180"/>
      <c r="E721" s="144"/>
      <c r="F721" s="144"/>
    </row>
    <row r="722" spans="3:6" x14ac:dyDescent="0.25">
      <c r="C722" s="180"/>
      <c r="D722" s="180"/>
      <c r="E722" s="144"/>
      <c r="F722" s="144"/>
    </row>
    <row r="723" spans="3:6" x14ac:dyDescent="0.25">
      <c r="C723" s="180"/>
      <c r="D723" s="180"/>
      <c r="E723" s="144"/>
      <c r="F723" s="144"/>
    </row>
    <row r="724" spans="3:6" x14ac:dyDescent="0.25">
      <c r="C724" s="180"/>
      <c r="D724" s="180"/>
      <c r="E724" s="144"/>
      <c r="F724" s="144"/>
    </row>
    <row r="725" spans="3:6" x14ac:dyDescent="0.25">
      <c r="C725" s="180"/>
      <c r="D725" s="180"/>
      <c r="E725" s="144"/>
      <c r="F725" s="144"/>
    </row>
    <row r="726" spans="3:6" x14ac:dyDescent="0.25">
      <c r="C726" s="180"/>
      <c r="D726" s="180"/>
      <c r="E726" s="144"/>
      <c r="F726" s="144"/>
    </row>
    <row r="727" spans="3:6" x14ac:dyDescent="0.25">
      <c r="C727" s="180"/>
      <c r="D727" s="180"/>
      <c r="E727" s="144"/>
      <c r="F727" s="144"/>
    </row>
    <row r="728" spans="3:6" x14ac:dyDescent="0.25">
      <c r="C728" s="180"/>
      <c r="D728" s="180"/>
      <c r="E728" s="144"/>
      <c r="F728" s="144"/>
    </row>
    <row r="729" spans="3:6" x14ac:dyDescent="0.25">
      <c r="C729" s="180"/>
      <c r="D729" s="180"/>
      <c r="E729" s="144"/>
      <c r="F729" s="144"/>
    </row>
    <row r="730" spans="3:6" x14ac:dyDescent="0.25">
      <c r="C730" s="180"/>
      <c r="D730" s="180"/>
      <c r="E730" s="144"/>
      <c r="F730" s="144"/>
    </row>
    <row r="731" spans="3:6" x14ac:dyDescent="0.25">
      <c r="C731" s="180"/>
      <c r="D731" s="180"/>
      <c r="E731" s="144"/>
      <c r="F731" s="144"/>
    </row>
    <row r="732" spans="3:6" x14ac:dyDescent="0.25">
      <c r="C732" s="180"/>
      <c r="D732" s="180"/>
      <c r="E732" s="144"/>
      <c r="F732" s="144"/>
    </row>
    <row r="733" spans="3:6" x14ac:dyDescent="0.25">
      <c r="C733" s="180"/>
      <c r="D733" s="180"/>
      <c r="E733" s="144"/>
      <c r="F733" s="144"/>
    </row>
    <row r="734" spans="3:6" x14ac:dyDescent="0.25">
      <c r="C734" s="180"/>
      <c r="D734" s="180"/>
      <c r="E734" s="144"/>
      <c r="F734" s="144"/>
    </row>
    <row r="735" spans="3:6" x14ac:dyDescent="0.25">
      <c r="C735" s="180"/>
      <c r="D735" s="180"/>
      <c r="E735" s="144"/>
      <c r="F735" s="144"/>
    </row>
    <row r="736" spans="3:6" x14ac:dyDescent="0.25">
      <c r="C736" s="180"/>
      <c r="D736" s="180"/>
      <c r="E736" s="144"/>
      <c r="F736" s="144"/>
    </row>
    <row r="737" spans="3:6" x14ac:dyDescent="0.25">
      <c r="C737" s="180"/>
      <c r="D737" s="180"/>
      <c r="E737" s="144"/>
      <c r="F737" s="144"/>
    </row>
    <row r="738" spans="3:6" x14ac:dyDescent="0.25">
      <c r="C738" s="180"/>
      <c r="D738" s="180"/>
      <c r="E738" s="144"/>
      <c r="F738" s="144"/>
    </row>
    <row r="739" spans="3:6" x14ac:dyDescent="0.25">
      <c r="C739" s="180"/>
      <c r="D739" s="180"/>
      <c r="E739" s="144"/>
      <c r="F739" s="144"/>
    </row>
    <row r="740" spans="3:6" x14ac:dyDescent="0.25">
      <c r="C740" s="180"/>
      <c r="D740" s="180"/>
      <c r="E740" s="144"/>
      <c r="F740" s="144"/>
    </row>
    <row r="741" spans="3:6" x14ac:dyDescent="0.25">
      <c r="C741" s="180"/>
      <c r="D741" s="180"/>
      <c r="E741" s="144"/>
      <c r="F741" s="144"/>
    </row>
    <row r="742" spans="3:6" x14ac:dyDescent="0.25">
      <c r="C742" s="180"/>
      <c r="D742" s="180"/>
      <c r="E742" s="144"/>
      <c r="F742" s="144"/>
    </row>
    <row r="743" spans="3:6" x14ac:dyDescent="0.25">
      <c r="C743" s="180"/>
      <c r="D743" s="180"/>
      <c r="E743" s="144"/>
      <c r="F743" s="144"/>
    </row>
    <row r="744" spans="3:6" x14ac:dyDescent="0.25">
      <c r="C744" s="180"/>
      <c r="D744" s="180"/>
      <c r="E744" s="144"/>
      <c r="F744" s="144"/>
    </row>
    <row r="745" spans="3:6" x14ac:dyDescent="0.25">
      <c r="C745" s="180"/>
      <c r="D745" s="180"/>
      <c r="E745" s="144"/>
      <c r="F745" s="144"/>
    </row>
    <row r="746" spans="3:6" x14ac:dyDescent="0.25">
      <c r="C746" s="180"/>
      <c r="D746" s="180"/>
      <c r="E746" s="144"/>
      <c r="F746" s="144"/>
    </row>
    <row r="747" spans="3:6" x14ac:dyDescent="0.25">
      <c r="C747" s="180"/>
      <c r="D747" s="180"/>
      <c r="E747" s="144"/>
      <c r="F747" s="144"/>
    </row>
    <row r="748" spans="3:6" x14ac:dyDescent="0.25">
      <c r="C748" s="180"/>
      <c r="D748" s="180"/>
      <c r="E748" s="144"/>
      <c r="F748" s="144"/>
    </row>
    <row r="749" spans="3:6" x14ac:dyDescent="0.25">
      <c r="C749" s="180"/>
      <c r="D749" s="180"/>
      <c r="E749" s="144"/>
      <c r="F749" s="144"/>
    </row>
    <row r="750" spans="3:6" x14ac:dyDescent="0.25">
      <c r="C750" s="180"/>
      <c r="D750" s="180"/>
      <c r="E750" s="144"/>
      <c r="F750" s="144"/>
    </row>
    <row r="751" spans="3:6" x14ac:dyDescent="0.25">
      <c r="C751" s="180"/>
      <c r="D751" s="180"/>
      <c r="E751" s="144"/>
      <c r="F751" s="144"/>
    </row>
    <row r="752" spans="3:6" x14ac:dyDescent="0.25">
      <c r="C752" s="180"/>
      <c r="D752" s="180"/>
      <c r="E752" s="144"/>
      <c r="F752" s="144"/>
    </row>
    <row r="753" spans="3:6" x14ac:dyDescent="0.25">
      <c r="C753" s="180"/>
      <c r="D753" s="180"/>
      <c r="E753" s="144"/>
      <c r="F753" s="144"/>
    </row>
    <row r="754" spans="3:6" x14ac:dyDescent="0.25">
      <c r="C754" s="180"/>
      <c r="D754" s="180"/>
      <c r="E754" s="144"/>
      <c r="F754" s="144"/>
    </row>
    <row r="755" spans="3:6" x14ac:dyDescent="0.25">
      <c r="C755" s="180"/>
      <c r="D755" s="180"/>
      <c r="E755" s="144"/>
      <c r="F755" s="144"/>
    </row>
    <row r="756" spans="3:6" x14ac:dyDescent="0.25">
      <c r="C756" s="180"/>
      <c r="D756" s="180"/>
      <c r="E756" s="144"/>
      <c r="F756" s="144"/>
    </row>
    <row r="757" spans="3:6" x14ac:dyDescent="0.25">
      <c r="C757" s="180"/>
      <c r="D757" s="180"/>
      <c r="E757" s="144"/>
      <c r="F757" s="144"/>
    </row>
    <row r="758" spans="3:6" x14ac:dyDescent="0.25">
      <c r="C758" s="180"/>
      <c r="D758" s="180"/>
      <c r="E758" s="144"/>
      <c r="F758" s="144"/>
    </row>
    <row r="759" spans="3:6" x14ac:dyDescent="0.25">
      <c r="C759" s="180"/>
      <c r="D759" s="180"/>
      <c r="E759" s="144"/>
      <c r="F759" s="144"/>
    </row>
    <row r="760" spans="3:6" x14ac:dyDescent="0.25">
      <c r="C760" s="180"/>
      <c r="D760" s="180"/>
      <c r="E760" s="144"/>
      <c r="F760" s="144"/>
    </row>
    <row r="761" spans="3:6" x14ac:dyDescent="0.25">
      <c r="C761" s="180"/>
      <c r="D761" s="180"/>
      <c r="E761" s="144"/>
      <c r="F761" s="144"/>
    </row>
    <row r="762" spans="3:6" x14ac:dyDescent="0.25">
      <c r="C762" s="180"/>
      <c r="D762" s="180"/>
      <c r="E762" s="144"/>
      <c r="F762" s="144"/>
    </row>
    <row r="763" spans="3:6" x14ac:dyDescent="0.25">
      <c r="C763" s="180"/>
      <c r="D763" s="180"/>
      <c r="E763" s="144"/>
      <c r="F763" s="144"/>
    </row>
    <row r="764" spans="3:6" x14ac:dyDescent="0.25">
      <c r="C764" s="180"/>
      <c r="D764" s="180"/>
      <c r="E764" s="144"/>
      <c r="F764" s="144"/>
    </row>
    <row r="765" spans="3:6" x14ac:dyDescent="0.25">
      <c r="C765" s="180"/>
      <c r="D765" s="180"/>
      <c r="E765" s="144"/>
      <c r="F765" s="144"/>
    </row>
    <row r="766" spans="3:6" x14ac:dyDescent="0.25">
      <c r="C766" s="180"/>
      <c r="D766" s="180"/>
      <c r="E766" s="144"/>
      <c r="F766" s="144"/>
    </row>
    <row r="767" spans="3:6" x14ac:dyDescent="0.25">
      <c r="C767" s="180"/>
      <c r="D767" s="180"/>
      <c r="E767" s="144"/>
      <c r="F767" s="144"/>
    </row>
    <row r="768" spans="3:6" x14ac:dyDescent="0.25">
      <c r="C768" s="180"/>
      <c r="D768" s="180"/>
      <c r="E768" s="144"/>
      <c r="F768" s="144"/>
    </row>
    <row r="769" spans="3:6" x14ac:dyDescent="0.25">
      <c r="C769" s="180"/>
      <c r="D769" s="180"/>
      <c r="E769" s="144"/>
      <c r="F769" s="144"/>
    </row>
    <row r="770" spans="3:6" x14ac:dyDescent="0.25">
      <c r="C770" s="180"/>
      <c r="D770" s="180"/>
      <c r="E770" s="144"/>
      <c r="F770" s="144"/>
    </row>
    <row r="771" spans="3:6" x14ac:dyDescent="0.25">
      <c r="C771" s="180"/>
      <c r="D771" s="180"/>
      <c r="E771" s="144"/>
      <c r="F771" s="144"/>
    </row>
    <row r="772" spans="3:6" x14ac:dyDescent="0.25">
      <c r="C772" s="180"/>
      <c r="D772" s="180"/>
      <c r="E772" s="144"/>
      <c r="F772" s="144"/>
    </row>
    <row r="773" spans="3:6" x14ac:dyDescent="0.25">
      <c r="C773" s="180"/>
      <c r="D773" s="180"/>
      <c r="E773" s="144"/>
      <c r="F773" s="144"/>
    </row>
    <row r="774" spans="3:6" x14ac:dyDescent="0.25">
      <c r="C774" s="180"/>
      <c r="D774" s="180"/>
      <c r="E774" s="144"/>
      <c r="F774" s="144"/>
    </row>
    <row r="775" spans="3:6" x14ac:dyDescent="0.25">
      <c r="C775" s="180"/>
      <c r="D775" s="180"/>
      <c r="E775" s="144"/>
      <c r="F775" s="144"/>
    </row>
    <row r="776" spans="3:6" x14ac:dyDescent="0.25">
      <c r="C776" s="180"/>
      <c r="D776" s="180"/>
      <c r="E776" s="144"/>
      <c r="F776" s="144"/>
    </row>
    <row r="777" spans="3:6" x14ac:dyDescent="0.25">
      <c r="C777" s="180"/>
      <c r="D777" s="180"/>
      <c r="E777" s="144"/>
      <c r="F777" s="144"/>
    </row>
    <row r="778" spans="3:6" x14ac:dyDescent="0.25">
      <c r="C778" s="180"/>
      <c r="D778" s="180"/>
      <c r="E778" s="144"/>
      <c r="F778" s="144"/>
    </row>
    <row r="779" spans="3:6" x14ac:dyDescent="0.25">
      <c r="C779" s="180"/>
      <c r="D779" s="180"/>
      <c r="E779" s="144"/>
      <c r="F779" s="144"/>
    </row>
    <row r="780" spans="3:6" x14ac:dyDescent="0.25">
      <c r="C780" s="180"/>
      <c r="D780" s="180"/>
      <c r="E780" s="144"/>
      <c r="F780" s="144"/>
    </row>
    <row r="781" spans="3:6" x14ac:dyDescent="0.25">
      <c r="C781" s="180"/>
      <c r="D781" s="180"/>
      <c r="E781" s="144"/>
      <c r="F781" s="144"/>
    </row>
    <row r="782" spans="3:6" x14ac:dyDescent="0.25">
      <c r="C782" s="180"/>
      <c r="D782" s="180"/>
      <c r="E782" s="144"/>
      <c r="F782" s="144"/>
    </row>
    <row r="783" spans="3:6" x14ac:dyDescent="0.25">
      <c r="C783" s="180"/>
      <c r="D783" s="180"/>
      <c r="E783" s="144"/>
      <c r="F783" s="144"/>
    </row>
    <row r="784" spans="3:6" x14ac:dyDescent="0.25">
      <c r="C784" s="180"/>
      <c r="D784" s="180"/>
      <c r="E784" s="144"/>
      <c r="F784" s="144"/>
    </row>
    <row r="785" spans="3:6" x14ac:dyDescent="0.25">
      <c r="C785" s="180"/>
      <c r="D785" s="180"/>
      <c r="E785" s="144"/>
      <c r="F785" s="144"/>
    </row>
    <row r="786" spans="3:6" x14ac:dyDescent="0.25">
      <c r="C786" s="180"/>
      <c r="D786" s="180"/>
      <c r="E786" s="144"/>
      <c r="F786" s="144"/>
    </row>
    <row r="787" spans="3:6" x14ac:dyDescent="0.25">
      <c r="C787" s="180"/>
      <c r="D787" s="180"/>
      <c r="E787" s="144"/>
      <c r="F787" s="144"/>
    </row>
    <row r="788" spans="3:6" x14ac:dyDescent="0.25">
      <c r="C788" s="180"/>
      <c r="D788" s="180"/>
      <c r="E788" s="144"/>
      <c r="F788" s="144"/>
    </row>
    <row r="789" spans="3:6" x14ac:dyDescent="0.25">
      <c r="C789" s="180"/>
      <c r="D789" s="180"/>
      <c r="E789" s="144"/>
      <c r="F789" s="144"/>
    </row>
    <row r="790" spans="3:6" x14ac:dyDescent="0.25">
      <c r="C790" s="180"/>
      <c r="D790" s="180"/>
      <c r="E790" s="144"/>
      <c r="F790" s="144"/>
    </row>
    <row r="791" spans="3:6" x14ac:dyDescent="0.25">
      <c r="C791" s="180"/>
      <c r="D791" s="180"/>
      <c r="E791" s="144"/>
      <c r="F791" s="144"/>
    </row>
    <row r="792" spans="3:6" x14ac:dyDescent="0.25">
      <c r="C792" s="180"/>
      <c r="D792" s="180"/>
      <c r="E792" s="144"/>
      <c r="F792" s="144"/>
    </row>
    <row r="793" spans="3:6" x14ac:dyDescent="0.25">
      <c r="C793" s="180"/>
      <c r="D793" s="180"/>
      <c r="E793" s="144"/>
      <c r="F793" s="144"/>
    </row>
    <row r="794" spans="3:6" x14ac:dyDescent="0.25">
      <c r="C794" s="180"/>
      <c r="D794" s="180"/>
      <c r="E794" s="144"/>
      <c r="F794" s="144"/>
    </row>
    <row r="795" spans="3:6" x14ac:dyDescent="0.25">
      <c r="C795" s="180"/>
      <c r="D795" s="180"/>
      <c r="E795" s="144"/>
      <c r="F795" s="144"/>
    </row>
    <row r="796" spans="3:6" x14ac:dyDescent="0.25">
      <c r="C796" s="180"/>
      <c r="D796" s="180"/>
      <c r="E796" s="144"/>
      <c r="F796" s="144"/>
    </row>
    <row r="797" spans="3:6" x14ac:dyDescent="0.25">
      <c r="C797" s="180"/>
      <c r="D797" s="180"/>
      <c r="E797" s="144"/>
      <c r="F797" s="144"/>
    </row>
    <row r="798" spans="3:6" x14ac:dyDescent="0.25">
      <c r="C798" s="180"/>
      <c r="D798" s="180"/>
      <c r="E798" s="144"/>
      <c r="F798" s="144"/>
    </row>
    <row r="799" spans="3:6" x14ac:dyDescent="0.25">
      <c r="C799" s="180"/>
      <c r="D799" s="180"/>
      <c r="E799" s="144"/>
      <c r="F799" s="144"/>
    </row>
    <row r="800" spans="3:6" x14ac:dyDescent="0.25">
      <c r="C800" s="180"/>
      <c r="D800" s="180"/>
      <c r="E800" s="144"/>
      <c r="F800" s="144"/>
    </row>
    <row r="801" spans="3:6" x14ac:dyDescent="0.25">
      <c r="C801" s="180"/>
      <c r="D801" s="180"/>
      <c r="E801" s="144"/>
      <c r="F801" s="144"/>
    </row>
    <row r="802" spans="3:6" x14ac:dyDescent="0.25">
      <c r="C802" s="180"/>
      <c r="D802" s="180"/>
      <c r="E802" s="144"/>
      <c r="F802" s="144"/>
    </row>
    <row r="803" spans="3:6" x14ac:dyDescent="0.25">
      <c r="C803" s="180"/>
      <c r="D803" s="180"/>
      <c r="E803" s="144"/>
      <c r="F803" s="144"/>
    </row>
    <row r="804" spans="3:6" x14ac:dyDescent="0.25">
      <c r="C804" s="180"/>
      <c r="D804" s="180"/>
      <c r="E804" s="144"/>
      <c r="F804" s="144"/>
    </row>
    <row r="805" spans="3:6" x14ac:dyDescent="0.25">
      <c r="C805" s="180"/>
      <c r="D805" s="180"/>
      <c r="E805" s="144"/>
      <c r="F805" s="144"/>
    </row>
    <row r="806" spans="3:6" x14ac:dyDescent="0.25">
      <c r="C806" s="180"/>
      <c r="D806" s="180"/>
      <c r="E806" s="144"/>
      <c r="F806" s="144"/>
    </row>
    <row r="807" spans="3:6" x14ac:dyDescent="0.25">
      <c r="C807" s="180"/>
      <c r="D807" s="180"/>
      <c r="E807" s="144"/>
      <c r="F807" s="144"/>
    </row>
    <row r="808" spans="3:6" x14ac:dyDescent="0.25">
      <c r="C808" s="180"/>
      <c r="D808" s="180"/>
      <c r="E808" s="144"/>
      <c r="F808" s="144"/>
    </row>
    <row r="809" spans="3:6" x14ac:dyDescent="0.25">
      <c r="C809" s="180"/>
      <c r="D809" s="180"/>
      <c r="E809" s="144"/>
      <c r="F809" s="144"/>
    </row>
    <row r="810" spans="3:6" x14ac:dyDescent="0.25">
      <c r="C810" s="180"/>
      <c r="D810" s="180"/>
      <c r="E810" s="144"/>
      <c r="F810" s="144"/>
    </row>
    <row r="811" spans="3:6" x14ac:dyDescent="0.25">
      <c r="C811" s="180"/>
      <c r="D811" s="180"/>
      <c r="E811" s="144"/>
      <c r="F811" s="144"/>
    </row>
    <row r="812" spans="3:6" x14ac:dyDescent="0.25">
      <c r="C812" s="180"/>
      <c r="D812" s="180"/>
      <c r="E812" s="144"/>
      <c r="F812" s="144"/>
    </row>
    <row r="813" spans="3:6" x14ac:dyDescent="0.25">
      <c r="C813" s="180"/>
      <c r="D813" s="180"/>
      <c r="E813" s="144"/>
      <c r="F813" s="144"/>
    </row>
    <row r="814" spans="3:6" x14ac:dyDescent="0.25">
      <c r="C814" s="180"/>
      <c r="D814" s="180"/>
      <c r="E814" s="144"/>
      <c r="F814" s="144"/>
    </row>
    <row r="815" spans="3:6" x14ac:dyDescent="0.25">
      <c r="C815" s="180"/>
      <c r="D815" s="180"/>
      <c r="E815" s="144"/>
      <c r="F815" s="144"/>
    </row>
    <row r="816" spans="3:6" x14ac:dyDescent="0.25">
      <c r="C816" s="180"/>
      <c r="D816" s="180"/>
      <c r="E816" s="144"/>
      <c r="F816" s="144"/>
    </row>
    <row r="817" spans="3:6" x14ac:dyDescent="0.25">
      <c r="C817" s="180"/>
      <c r="D817" s="180"/>
      <c r="E817" s="144"/>
      <c r="F817" s="144"/>
    </row>
    <row r="818" spans="3:6" x14ac:dyDescent="0.25">
      <c r="C818" s="180"/>
      <c r="D818" s="180"/>
      <c r="E818" s="144"/>
      <c r="F818" s="144"/>
    </row>
    <row r="819" spans="3:6" x14ac:dyDescent="0.25">
      <c r="C819" s="180"/>
      <c r="D819" s="180"/>
      <c r="E819" s="144"/>
      <c r="F819" s="144"/>
    </row>
    <row r="820" spans="3:6" x14ac:dyDescent="0.25">
      <c r="C820" s="180"/>
      <c r="D820" s="180"/>
      <c r="E820" s="144"/>
      <c r="F820" s="144"/>
    </row>
    <row r="821" spans="3:6" x14ac:dyDescent="0.25">
      <c r="C821" s="180"/>
      <c r="D821" s="180"/>
      <c r="E821" s="144"/>
      <c r="F821" s="144"/>
    </row>
    <row r="822" spans="3:6" x14ac:dyDescent="0.25">
      <c r="C822" s="180"/>
      <c r="D822" s="180"/>
      <c r="E822" s="144"/>
      <c r="F822" s="144"/>
    </row>
    <row r="823" spans="3:6" x14ac:dyDescent="0.25">
      <c r="C823" s="180"/>
      <c r="D823" s="180"/>
      <c r="E823" s="144"/>
      <c r="F823" s="144"/>
    </row>
    <row r="824" spans="3:6" x14ac:dyDescent="0.25">
      <c r="C824" s="180"/>
      <c r="D824" s="180"/>
      <c r="E824" s="144"/>
      <c r="F824" s="144"/>
    </row>
    <row r="825" spans="3:6" x14ac:dyDescent="0.25">
      <c r="C825" s="180"/>
      <c r="D825" s="180"/>
      <c r="E825" s="144"/>
      <c r="F825" s="144"/>
    </row>
    <row r="826" spans="3:6" x14ac:dyDescent="0.25">
      <c r="C826" s="180"/>
      <c r="D826" s="180"/>
      <c r="E826" s="144"/>
      <c r="F826" s="144"/>
    </row>
    <row r="827" spans="3:6" x14ac:dyDescent="0.25">
      <c r="C827" s="180"/>
      <c r="D827" s="180"/>
      <c r="E827" s="144"/>
      <c r="F827" s="144"/>
    </row>
    <row r="828" spans="3:6" x14ac:dyDescent="0.25">
      <c r="C828" s="180"/>
      <c r="D828" s="180"/>
      <c r="E828" s="144"/>
      <c r="F828" s="144"/>
    </row>
    <row r="829" spans="3:6" x14ac:dyDescent="0.25">
      <c r="C829" s="180"/>
      <c r="D829" s="180"/>
      <c r="E829" s="144"/>
      <c r="F829" s="144"/>
    </row>
    <row r="830" spans="3:6" x14ac:dyDescent="0.25">
      <c r="C830" s="180"/>
      <c r="D830" s="180"/>
      <c r="E830" s="144"/>
      <c r="F830" s="144"/>
    </row>
    <row r="831" spans="3:6" x14ac:dyDescent="0.25">
      <c r="C831" s="180"/>
      <c r="D831" s="180"/>
      <c r="E831" s="144"/>
      <c r="F831" s="144"/>
    </row>
    <row r="832" spans="3:6" x14ac:dyDescent="0.25">
      <c r="C832" s="180"/>
      <c r="D832" s="180"/>
      <c r="E832" s="144"/>
      <c r="F832" s="144"/>
    </row>
    <row r="833" spans="3:6" x14ac:dyDescent="0.25">
      <c r="C833" s="180"/>
      <c r="D833" s="180"/>
      <c r="E833" s="144"/>
      <c r="F833" s="144"/>
    </row>
    <row r="834" spans="3:6" x14ac:dyDescent="0.25">
      <c r="C834" s="180"/>
      <c r="D834" s="180"/>
      <c r="E834" s="144"/>
      <c r="F834" s="144"/>
    </row>
    <row r="835" spans="3:6" x14ac:dyDescent="0.25">
      <c r="C835" s="180"/>
      <c r="D835" s="180"/>
      <c r="E835" s="144"/>
      <c r="F835" s="144"/>
    </row>
    <row r="836" spans="3:6" x14ac:dyDescent="0.25">
      <c r="C836" s="180"/>
      <c r="D836" s="180"/>
      <c r="E836" s="144"/>
      <c r="F836" s="144"/>
    </row>
    <row r="837" spans="3:6" x14ac:dyDescent="0.25">
      <c r="C837" s="180"/>
      <c r="D837" s="180"/>
      <c r="E837" s="144"/>
      <c r="F837" s="144"/>
    </row>
    <row r="838" spans="3:6" x14ac:dyDescent="0.25">
      <c r="C838" s="180"/>
      <c r="D838" s="180"/>
      <c r="E838" s="144"/>
      <c r="F838" s="144"/>
    </row>
    <row r="839" spans="3:6" x14ac:dyDescent="0.25">
      <c r="C839" s="180"/>
      <c r="D839" s="180"/>
      <c r="E839" s="144"/>
      <c r="F839" s="144"/>
    </row>
    <row r="840" spans="3:6" x14ac:dyDescent="0.25">
      <c r="C840" s="180"/>
      <c r="D840" s="180"/>
      <c r="E840" s="144"/>
      <c r="F840" s="144"/>
    </row>
    <row r="841" spans="3:6" x14ac:dyDescent="0.25">
      <c r="C841" s="180"/>
      <c r="D841" s="180"/>
      <c r="E841" s="144"/>
      <c r="F841" s="144"/>
    </row>
    <row r="842" spans="3:6" x14ac:dyDescent="0.25">
      <c r="C842" s="180"/>
      <c r="D842" s="180"/>
      <c r="E842" s="144"/>
      <c r="F842" s="144"/>
    </row>
    <row r="843" spans="3:6" x14ac:dyDescent="0.25">
      <c r="C843" s="180"/>
      <c r="D843" s="180"/>
      <c r="E843" s="144"/>
      <c r="F843" s="144"/>
    </row>
    <row r="844" spans="3:6" x14ac:dyDescent="0.25">
      <c r="C844" s="180"/>
      <c r="D844" s="180"/>
      <c r="E844" s="144"/>
      <c r="F844" s="144"/>
    </row>
    <row r="845" spans="3:6" x14ac:dyDescent="0.25">
      <c r="C845" s="180"/>
      <c r="D845" s="180"/>
      <c r="E845" s="144"/>
      <c r="F845" s="144"/>
    </row>
    <row r="846" spans="3:6" x14ac:dyDescent="0.25">
      <c r="C846" s="180"/>
      <c r="D846" s="180"/>
      <c r="E846" s="144"/>
      <c r="F846" s="144"/>
    </row>
    <row r="847" spans="3:6" x14ac:dyDescent="0.25">
      <c r="C847" s="180"/>
      <c r="D847" s="180"/>
      <c r="E847" s="144"/>
      <c r="F847" s="144"/>
    </row>
    <row r="848" spans="3:6" x14ac:dyDescent="0.25">
      <c r="C848" s="180"/>
      <c r="D848" s="180"/>
      <c r="E848" s="144"/>
      <c r="F848" s="144"/>
    </row>
    <row r="849" spans="3:6" x14ac:dyDescent="0.25">
      <c r="C849" s="180"/>
      <c r="D849" s="180"/>
      <c r="E849" s="144"/>
      <c r="F849" s="144"/>
    </row>
    <row r="850" spans="3:6" x14ac:dyDescent="0.25">
      <c r="C850" s="180"/>
      <c r="D850" s="180"/>
      <c r="E850" s="144"/>
      <c r="F850" s="144"/>
    </row>
    <row r="851" spans="3:6" x14ac:dyDescent="0.25">
      <c r="C851" s="180"/>
      <c r="D851" s="180"/>
      <c r="E851" s="144"/>
      <c r="F851" s="144"/>
    </row>
    <row r="852" spans="3:6" x14ac:dyDescent="0.25">
      <c r="C852" s="180"/>
      <c r="D852" s="180"/>
      <c r="E852" s="144"/>
      <c r="F852" s="144"/>
    </row>
    <row r="853" spans="3:6" x14ac:dyDescent="0.25">
      <c r="C853" s="180"/>
      <c r="D853" s="180"/>
      <c r="E853" s="144"/>
      <c r="F853" s="144"/>
    </row>
    <row r="854" spans="3:6" x14ac:dyDescent="0.25">
      <c r="C854" s="180"/>
      <c r="D854" s="180"/>
      <c r="E854" s="144"/>
      <c r="F854" s="144"/>
    </row>
    <row r="855" spans="3:6" x14ac:dyDescent="0.25">
      <c r="C855" s="180"/>
      <c r="D855" s="180"/>
      <c r="E855" s="144"/>
      <c r="F855" s="144"/>
    </row>
    <row r="856" spans="3:6" x14ac:dyDescent="0.25">
      <c r="C856" s="180"/>
      <c r="D856" s="180"/>
      <c r="E856" s="144"/>
      <c r="F856" s="144"/>
    </row>
    <row r="857" spans="3:6" x14ac:dyDescent="0.25">
      <c r="C857" s="180"/>
      <c r="D857" s="180"/>
      <c r="E857" s="144"/>
      <c r="F857" s="144"/>
    </row>
    <row r="858" spans="3:6" x14ac:dyDescent="0.25">
      <c r="C858" s="180"/>
      <c r="D858" s="180"/>
      <c r="E858" s="144"/>
      <c r="F858" s="144"/>
    </row>
    <row r="859" spans="3:6" x14ac:dyDescent="0.25">
      <c r="C859" s="180"/>
      <c r="D859" s="180"/>
      <c r="E859" s="144"/>
      <c r="F859" s="144"/>
    </row>
    <row r="860" spans="3:6" x14ac:dyDescent="0.25">
      <c r="C860" s="180"/>
      <c r="D860" s="180"/>
      <c r="E860" s="144"/>
      <c r="F860" s="144"/>
    </row>
    <row r="861" spans="3:6" x14ac:dyDescent="0.25">
      <c r="C861" s="180"/>
      <c r="D861" s="180"/>
      <c r="E861" s="144"/>
      <c r="F861" s="144"/>
    </row>
    <row r="862" spans="3:6" x14ac:dyDescent="0.25">
      <c r="C862" s="180"/>
      <c r="D862" s="180"/>
      <c r="E862" s="144"/>
      <c r="F862" s="144"/>
    </row>
    <row r="863" spans="3:6" x14ac:dyDescent="0.25">
      <c r="C863" s="180"/>
      <c r="D863" s="180"/>
      <c r="E863" s="144"/>
      <c r="F863" s="144"/>
    </row>
    <row r="864" spans="3:6" x14ac:dyDescent="0.25">
      <c r="C864" s="180"/>
      <c r="D864" s="180"/>
      <c r="E864" s="144"/>
      <c r="F864" s="144"/>
    </row>
    <row r="865" spans="3:6" x14ac:dyDescent="0.25">
      <c r="C865" s="180"/>
      <c r="D865" s="180"/>
      <c r="E865" s="144"/>
      <c r="F865" s="144"/>
    </row>
    <row r="866" spans="3:6" x14ac:dyDescent="0.25">
      <c r="C866" s="180"/>
      <c r="D866" s="180"/>
      <c r="E866" s="144"/>
      <c r="F866" s="144"/>
    </row>
    <row r="867" spans="3:6" x14ac:dyDescent="0.25">
      <c r="C867" s="180"/>
      <c r="D867" s="180"/>
      <c r="E867" s="144"/>
      <c r="F867" s="144"/>
    </row>
    <row r="868" spans="3:6" x14ac:dyDescent="0.25">
      <c r="C868" s="180"/>
      <c r="D868" s="180"/>
      <c r="E868" s="144"/>
      <c r="F868" s="144"/>
    </row>
    <row r="869" spans="3:6" x14ac:dyDescent="0.25">
      <c r="C869" s="180"/>
      <c r="D869" s="180"/>
      <c r="E869" s="144"/>
      <c r="F869" s="144"/>
    </row>
    <row r="870" spans="3:6" x14ac:dyDescent="0.25">
      <c r="C870" s="180"/>
      <c r="D870" s="180"/>
      <c r="E870" s="144"/>
      <c r="F870" s="144"/>
    </row>
    <row r="871" spans="3:6" x14ac:dyDescent="0.25">
      <c r="C871" s="180"/>
      <c r="D871" s="180"/>
      <c r="E871" s="144"/>
      <c r="F871" s="144"/>
    </row>
    <row r="872" spans="3:6" x14ac:dyDescent="0.25">
      <c r="C872" s="180"/>
      <c r="D872" s="180"/>
      <c r="E872" s="144"/>
      <c r="F872" s="144"/>
    </row>
    <row r="873" spans="3:6" x14ac:dyDescent="0.25">
      <c r="C873" s="180"/>
      <c r="D873" s="180"/>
      <c r="E873" s="144"/>
      <c r="F873" s="144"/>
    </row>
    <row r="874" spans="3:6" x14ac:dyDescent="0.25">
      <c r="C874" s="180"/>
      <c r="D874" s="180"/>
      <c r="E874" s="144"/>
      <c r="F874" s="144"/>
    </row>
    <row r="875" spans="3:6" x14ac:dyDescent="0.25">
      <c r="C875" s="180"/>
      <c r="D875" s="180"/>
      <c r="E875" s="144"/>
      <c r="F875" s="144"/>
    </row>
    <row r="876" spans="3:6" x14ac:dyDescent="0.25">
      <c r="C876" s="180"/>
      <c r="D876" s="180"/>
      <c r="E876" s="144"/>
      <c r="F876" s="144"/>
    </row>
    <row r="877" spans="3:6" x14ac:dyDescent="0.25">
      <c r="C877" s="180"/>
      <c r="D877" s="180"/>
      <c r="E877" s="144"/>
      <c r="F877" s="144"/>
    </row>
    <row r="878" spans="3:6" x14ac:dyDescent="0.25">
      <c r="C878" s="180"/>
      <c r="D878" s="180"/>
      <c r="E878" s="144"/>
      <c r="F878" s="144"/>
    </row>
    <row r="879" spans="3:6" x14ac:dyDescent="0.25">
      <c r="C879" s="180"/>
      <c r="D879" s="180"/>
      <c r="E879" s="144"/>
      <c r="F879" s="144"/>
    </row>
    <row r="880" spans="3:6" x14ac:dyDescent="0.25">
      <c r="C880" s="180"/>
      <c r="D880" s="180"/>
      <c r="E880" s="144"/>
      <c r="F880" s="144"/>
    </row>
    <row r="881" spans="3:6" x14ac:dyDescent="0.25">
      <c r="C881" s="180"/>
      <c r="D881" s="180"/>
      <c r="E881" s="144"/>
      <c r="F881" s="144"/>
    </row>
    <row r="882" spans="3:6" x14ac:dyDescent="0.25">
      <c r="C882" s="180"/>
      <c r="D882" s="180"/>
      <c r="E882" s="144"/>
      <c r="F882" s="144"/>
    </row>
    <row r="883" spans="3:6" x14ac:dyDescent="0.25">
      <c r="C883" s="180"/>
      <c r="D883" s="180"/>
      <c r="E883" s="144"/>
      <c r="F883" s="144"/>
    </row>
    <row r="884" spans="3:6" x14ac:dyDescent="0.25">
      <c r="C884" s="180"/>
      <c r="D884" s="180"/>
      <c r="E884" s="144"/>
      <c r="F884" s="144"/>
    </row>
    <row r="885" spans="3:6" x14ac:dyDescent="0.25">
      <c r="C885" s="180"/>
      <c r="D885" s="180"/>
      <c r="E885" s="144"/>
      <c r="F885" s="144"/>
    </row>
    <row r="886" spans="3:6" x14ac:dyDescent="0.25">
      <c r="C886" s="180"/>
      <c r="D886" s="180"/>
      <c r="E886" s="144"/>
      <c r="F886" s="144"/>
    </row>
    <row r="887" spans="3:6" x14ac:dyDescent="0.25">
      <c r="C887" s="180"/>
      <c r="D887" s="180"/>
      <c r="E887" s="144"/>
      <c r="F887" s="144"/>
    </row>
    <row r="888" spans="3:6" x14ac:dyDescent="0.25">
      <c r="C888" s="180"/>
      <c r="D888" s="180"/>
      <c r="E888" s="144"/>
      <c r="F888" s="144"/>
    </row>
    <row r="889" spans="3:6" x14ac:dyDescent="0.25">
      <c r="C889" s="180"/>
      <c r="D889" s="180"/>
      <c r="E889" s="144"/>
      <c r="F889" s="144"/>
    </row>
    <row r="890" spans="3:6" x14ac:dyDescent="0.25">
      <c r="C890" s="180"/>
      <c r="D890" s="180"/>
      <c r="E890" s="144"/>
      <c r="F890" s="144"/>
    </row>
    <row r="891" spans="3:6" x14ac:dyDescent="0.25">
      <c r="C891" s="180"/>
      <c r="D891" s="180"/>
      <c r="E891" s="144"/>
      <c r="F891" s="144"/>
    </row>
    <row r="892" spans="3:6" x14ac:dyDescent="0.25">
      <c r="C892" s="180"/>
      <c r="D892" s="180"/>
      <c r="E892" s="144"/>
      <c r="F892" s="144"/>
    </row>
    <row r="893" spans="3:6" x14ac:dyDescent="0.25">
      <c r="C893" s="180"/>
      <c r="D893" s="180"/>
      <c r="E893" s="144"/>
      <c r="F893" s="144"/>
    </row>
    <row r="894" spans="3:6" x14ac:dyDescent="0.25">
      <c r="C894" s="180"/>
      <c r="D894" s="180"/>
      <c r="E894" s="144"/>
      <c r="F894" s="144"/>
    </row>
    <row r="895" spans="3:6" x14ac:dyDescent="0.25">
      <c r="C895" s="180"/>
      <c r="D895" s="180"/>
      <c r="E895" s="144"/>
      <c r="F895" s="144"/>
    </row>
    <row r="896" spans="3:6" x14ac:dyDescent="0.25">
      <c r="C896" s="180"/>
      <c r="D896" s="180"/>
      <c r="E896" s="144"/>
      <c r="F896" s="144"/>
    </row>
    <row r="897" spans="3:6" x14ac:dyDescent="0.25">
      <c r="C897" s="180"/>
      <c r="D897" s="180"/>
      <c r="E897" s="144"/>
      <c r="F897" s="144"/>
    </row>
    <row r="898" spans="3:6" x14ac:dyDescent="0.25">
      <c r="C898" s="180"/>
      <c r="D898" s="180"/>
      <c r="E898" s="144"/>
      <c r="F898" s="144"/>
    </row>
    <row r="899" spans="3:6" x14ac:dyDescent="0.25">
      <c r="C899" s="180"/>
      <c r="D899" s="180"/>
      <c r="E899" s="144"/>
      <c r="F899" s="144"/>
    </row>
    <row r="900" spans="3:6" x14ac:dyDescent="0.25">
      <c r="C900" s="180"/>
      <c r="D900" s="180"/>
      <c r="E900" s="144"/>
      <c r="F900" s="144"/>
    </row>
    <row r="901" spans="3:6" x14ac:dyDescent="0.25">
      <c r="C901" s="180"/>
      <c r="D901" s="180"/>
      <c r="E901" s="144"/>
      <c r="F901" s="144"/>
    </row>
    <row r="902" spans="3:6" x14ac:dyDescent="0.25">
      <c r="C902" s="180"/>
      <c r="D902" s="180"/>
      <c r="E902" s="144"/>
      <c r="F902" s="144"/>
    </row>
    <row r="903" spans="3:6" x14ac:dyDescent="0.25">
      <c r="C903" s="180"/>
      <c r="D903" s="180"/>
      <c r="E903" s="144"/>
      <c r="F903" s="144"/>
    </row>
    <row r="904" spans="3:6" x14ac:dyDescent="0.25">
      <c r="C904" s="180"/>
      <c r="D904" s="180"/>
      <c r="E904" s="144"/>
      <c r="F904" s="144"/>
    </row>
    <row r="905" spans="3:6" x14ac:dyDescent="0.25">
      <c r="C905" s="180"/>
      <c r="D905" s="180"/>
      <c r="E905" s="144"/>
      <c r="F905" s="144"/>
    </row>
    <row r="906" spans="3:6" x14ac:dyDescent="0.25">
      <c r="C906" s="180"/>
      <c r="D906" s="180"/>
      <c r="E906" s="144"/>
      <c r="F906" s="144"/>
    </row>
    <row r="907" spans="3:6" x14ac:dyDescent="0.25">
      <c r="C907" s="180"/>
      <c r="D907" s="180"/>
      <c r="E907" s="144"/>
      <c r="F907" s="144"/>
    </row>
    <row r="908" spans="3:6" x14ac:dyDescent="0.25">
      <c r="C908" s="180"/>
      <c r="D908" s="180"/>
      <c r="E908" s="144"/>
      <c r="F908" s="144"/>
    </row>
    <row r="909" spans="3:6" x14ac:dyDescent="0.25">
      <c r="C909" s="180"/>
      <c r="D909" s="180"/>
      <c r="E909" s="144"/>
      <c r="F909" s="144"/>
    </row>
    <row r="910" spans="3:6" x14ac:dyDescent="0.25">
      <c r="C910" s="180"/>
      <c r="D910" s="180"/>
      <c r="E910" s="144"/>
      <c r="F910" s="144"/>
    </row>
    <row r="911" spans="3:6" x14ac:dyDescent="0.25">
      <c r="C911" s="180"/>
      <c r="D911" s="180"/>
      <c r="E911" s="144"/>
      <c r="F911" s="144"/>
    </row>
    <row r="912" spans="3:6" x14ac:dyDescent="0.25">
      <c r="C912" s="180"/>
      <c r="D912" s="180"/>
      <c r="E912" s="144"/>
      <c r="F912" s="144"/>
    </row>
    <row r="913" spans="3:6" x14ac:dyDescent="0.25">
      <c r="C913" s="180"/>
      <c r="D913" s="180"/>
      <c r="E913" s="144"/>
      <c r="F913" s="144"/>
    </row>
    <row r="914" spans="3:6" x14ac:dyDescent="0.25">
      <c r="C914" s="180"/>
      <c r="D914" s="180"/>
      <c r="E914" s="144"/>
      <c r="F914" s="144"/>
    </row>
    <row r="915" spans="3:6" x14ac:dyDescent="0.25">
      <c r="C915" s="180"/>
      <c r="D915" s="180"/>
      <c r="E915" s="144"/>
      <c r="F915" s="144"/>
    </row>
    <row r="916" spans="3:6" x14ac:dyDescent="0.25">
      <c r="C916" s="180"/>
      <c r="D916" s="180"/>
      <c r="E916" s="144"/>
      <c r="F916" s="144"/>
    </row>
    <row r="917" spans="3:6" x14ac:dyDescent="0.25">
      <c r="C917" s="180"/>
      <c r="D917" s="180"/>
      <c r="E917" s="144"/>
      <c r="F917" s="144"/>
    </row>
    <row r="918" spans="3:6" x14ac:dyDescent="0.25">
      <c r="C918" s="180"/>
      <c r="D918" s="180"/>
      <c r="E918" s="144"/>
      <c r="F918" s="144"/>
    </row>
    <row r="919" spans="3:6" x14ac:dyDescent="0.25">
      <c r="C919" s="180"/>
      <c r="D919" s="180"/>
      <c r="E919" s="144"/>
      <c r="F919" s="144"/>
    </row>
    <row r="920" spans="3:6" x14ac:dyDescent="0.25">
      <c r="C920" s="180"/>
      <c r="D920" s="180"/>
      <c r="E920" s="144"/>
      <c r="F920" s="144"/>
    </row>
    <row r="921" spans="3:6" x14ac:dyDescent="0.25">
      <c r="C921" s="180"/>
      <c r="D921" s="180"/>
      <c r="E921" s="144"/>
      <c r="F921" s="144"/>
    </row>
    <row r="922" spans="3:6" x14ac:dyDescent="0.25">
      <c r="C922" s="180"/>
      <c r="D922" s="180"/>
      <c r="E922" s="144"/>
      <c r="F922" s="144"/>
    </row>
    <row r="923" spans="3:6" x14ac:dyDescent="0.25">
      <c r="C923" s="180"/>
      <c r="D923" s="180"/>
      <c r="E923" s="144"/>
      <c r="F923" s="144"/>
    </row>
    <row r="924" spans="3:6" x14ac:dyDescent="0.25">
      <c r="C924" s="180"/>
      <c r="D924" s="180"/>
      <c r="E924" s="144"/>
      <c r="F924" s="144"/>
    </row>
    <row r="925" spans="3:6" x14ac:dyDescent="0.25">
      <c r="C925" s="180"/>
      <c r="D925" s="180"/>
      <c r="E925" s="144"/>
      <c r="F925" s="144"/>
    </row>
    <row r="926" spans="3:6" x14ac:dyDescent="0.25">
      <c r="C926" s="180"/>
      <c r="D926" s="180"/>
      <c r="E926" s="144"/>
      <c r="F926" s="144"/>
    </row>
    <row r="927" spans="3:6" x14ac:dyDescent="0.25">
      <c r="C927" s="180"/>
      <c r="D927" s="180"/>
      <c r="E927" s="144"/>
      <c r="F927" s="144"/>
    </row>
    <row r="928" spans="3:6" x14ac:dyDescent="0.25">
      <c r="C928" s="180"/>
      <c r="D928" s="180"/>
      <c r="E928" s="144"/>
      <c r="F928" s="144"/>
    </row>
    <row r="929" spans="3:6" x14ac:dyDescent="0.25">
      <c r="C929" s="180"/>
      <c r="D929" s="180"/>
      <c r="E929" s="144"/>
      <c r="F929" s="144"/>
    </row>
    <row r="930" spans="3:6" x14ac:dyDescent="0.25">
      <c r="C930" s="180"/>
      <c r="D930" s="180"/>
      <c r="E930" s="144"/>
      <c r="F930" s="144"/>
    </row>
    <row r="931" spans="3:6" x14ac:dyDescent="0.25">
      <c r="C931" s="180"/>
      <c r="D931" s="180"/>
      <c r="E931" s="144"/>
      <c r="F931" s="144"/>
    </row>
    <row r="932" spans="3:6" x14ac:dyDescent="0.25">
      <c r="C932" s="180"/>
      <c r="D932" s="180"/>
      <c r="E932" s="144"/>
      <c r="F932" s="144"/>
    </row>
    <row r="933" spans="3:6" x14ac:dyDescent="0.25">
      <c r="C933" s="180"/>
      <c r="D933" s="180"/>
      <c r="E933" s="144"/>
      <c r="F933" s="144"/>
    </row>
    <row r="934" spans="3:6" x14ac:dyDescent="0.25">
      <c r="C934" s="180"/>
      <c r="D934" s="180"/>
      <c r="E934" s="144"/>
      <c r="F934" s="144"/>
    </row>
    <row r="935" spans="3:6" x14ac:dyDescent="0.25">
      <c r="C935" s="180"/>
      <c r="D935" s="180"/>
      <c r="E935" s="144"/>
      <c r="F935" s="144"/>
    </row>
    <row r="936" spans="3:6" x14ac:dyDescent="0.25">
      <c r="C936" s="180"/>
      <c r="D936" s="180"/>
      <c r="E936" s="144"/>
      <c r="F936" s="144"/>
    </row>
    <row r="937" spans="3:6" x14ac:dyDescent="0.25">
      <c r="C937" s="180"/>
      <c r="D937" s="180"/>
      <c r="E937" s="144"/>
      <c r="F937" s="144"/>
    </row>
    <row r="938" spans="3:6" x14ac:dyDescent="0.25">
      <c r="C938" s="180"/>
      <c r="D938" s="180"/>
      <c r="E938" s="144"/>
      <c r="F938" s="144"/>
    </row>
    <row r="939" spans="3:6" x14ac:dyDescent="0.25">
      <c r="C939" s="180"/>
      <c r="D939" s="180"/>
      <c r="E939" s="144"/>
      <c r="F939" s="144"/>
    </row>
    <row r="940" spans="3:6" x14ac:dyDescent="0.25">
      <c r="C940" s="180"/>
      <c r="D940" s="180"/>
      <c r="E940" s="144"/>
      <c r="F940" s="144"/>
    </row>
    <row r="941" spans="3:6" x14ac:dyDescent="0.25">
      <c r="C941" s="180"/>
      <c r="D941" s="180"/>
      <c r="E941" s="144"/>
      <c r="F941" s="144"/>
    </row>
    <row r="942" spans="3:6" x14ac:dyDescent="0.25">
      <c r="C942" s="180"/>
      <c r="D942" s="180"/>
      <c r="E942" s="144"/>
      <c r="F942" s="144"/>
    </row>
    <row r="943" spans="3:6" x14ac:dyDescent="0.25">
      <c r="C943" s="180"/>
      <c r="D943" s="180"/>
      <c r="E943" s="144"/>
      <c r="F943" s="144"/>
    </row>
    <row r="944" spans="3:6" x14ac:dyDescent="0.25">
      <c r="C944" s="180"/>
      <c r="D944" s="180"/>
      <c r="E944" s="144"/>
      <c r="F944" s="144"/>
    </row>
    <row r="945" spans="3:6" x14ac:dyDescent="0.25">
      <c r="C945" s="180"/>
      <c r="D945" s="180"/>
      <c r="E945" s="144"/>
      <c r="F945" s="144"/>
    </row>
    <row r="946" spans="3:6" x14ac:dyDescent="0.25">
      <c r="C946" s="180"/>
      <c r="D946" s="180"/>
      <c r="E946" s="144"/>
      <c r="F946" s="144"/>
    </row>
    <row r="947" spans="3:6" x14ac:dyDescent="0.25">
      <c r="C947" s="180"/>
      <c r="D947" s="180"/>
      <c r="E947" s="144"/>
      <c r="F947" s="144"/>
    </row>
    <row r="948" spans="3:6" x14ac:dyDescent="0.25">
      <c r="C948" s="180"/>
      <c r="D948" s="180"/>
      <c r="E948" s="144"/>
      <c r="F948" s="144"/>
    </row>
    <row r="949" spans="3:6" x14ac:dyDescent="0.25">
      <c r="C949" s="180"/>
      <c r="D949" s="180"/>
      <c r="E949" s="144"/>
      <c r="F949" s="144"/>
    </row>
    <row r="950" spans="3:6" x14ac:dyDescent="0.25">
      <c r="C950" s="180"/>
      <c r="D950" s="180"/>
      <c r="E950" s="144"/>
      <c r="F950" s="144"/>
    </row>
    <row r="951" spans="3:6" x14ac:dyDescent="0.25">
      <c r="C951" s="180"/>
      <c r="D951" s="180"/>
      <c r="E951" s="144"/>
      <c r="F951" s="144"/>
    </row>
    <row r="952" spans="3:6" x14ac:dyDescent="0.25">
      <c r="C952" s="180"/>
      <c r="D952" s="180"/>
      <c r="E952" s="144"/>
      <c r="F952" s="144"/>
    </row>
    <row r="953" spans="3:6" x14ac:dyDescent="0.25">
      <c r="C953" s="180"/>
      <c r="D953" s="180"/>
      <c r="E953" s="144"/>
      <c r="F953" s="144"/>
    </row>
    <row r="954" spans="3:6" x14ac:dyDescent="0.25">
      <c r="C954" s="180"/>
      <c r="D954" s="180"/>
      <c r="E954" s="144"/>
      <c r="F954" s="144"/>
    </row>
    <row r="955" spans="3:6" x14ac:dyDescent="0.25">
      <c r="C955" s="180"/>
      <c r="D955" s="180"/>
      <c r="E955" s="144"/>
      <c r="F955" s="144"/>
    </row>
    <row r="956" spans="3:6" x14ac:dyDescent="0.25">
      <c r="C956" s="180"/>
      <c r="D956" s="180"/>
      <c r="E956" s="144"/>
      <c r="F956" s="144"/>
    </row>
    <row r="957" spans="3:6" x14ac:dyDescent="0.25">
      <c r="C957" s="180"/>
      <c r="D957" s="180"/>
      <c r="E957" s="144"/>
      <c r="F957" s="144"/>
    </row>
    <row r="958" spans="3:6" x14ac:dyDescent="0.25">
      <c r="C958" s="180"/>
      <c r="D958" s="180"/>
      <c r="E958" s="144"/>
      <c r="F958" s="144"/>
    </row>
    <row r="959" spans="3:6" x14ac:dyDescent="0.25">
      <c r="C959" s="180"/>
      <c r="D959" s="180"/>
      <c r="E959" s="144"/>
      <c r="F959" s="144"/>
    </row>
    <row r="960" spans="3:6" x14ac:dyDescent="0.25">
      <c r="C960" s="180"/>
      <c r="D960" s="180"/>
      <c r="E960" s="144"/>
      <c r="F960" s="144"/>
    </row>
    <row r="961" spans="3:6" x14ac:dyDescent="0.25">
      <c r="C961" s="180"/>
      <c r="D961" s="180"/>
      <c r="E961" s="144"/>
      <c r="F961" s="144"/>
    </row>
    <row r="962" spans="3:6" x14ac:dyDescent="0.25">
      <c r="C962" s="180"/>
      <c r="D962" s="180"/>
      <c r="E962" s="144"/>
      <c r="F962" s="144"/>
    </row>
    <row r="963" spans="3:6" x14ac:dyDescent="0.25">
      <c r="C963" s="180"/>
      <c r="D963" s="180"/>
      <c r="E963" s="144"/>
      <c r="F963" s="144"/>
    </row>
    <row r="964" spans="3:6" x14ac:dyDescent="0.25">
      <c r="C964" s="180"/>
      <c r="D964" s="180"/>
      <c r="E964" s="144"/>
      <c r="F964" s="144"/>
    </row>
    <row r="965" spans="3:6" x14ac:dyDescent="0.25">
      <c r="C965" s="180"/>
      <c r="D965" s="180"/>
      <c r="E965" s="144"/>
      <c r="F965" s="144"/>
    </row>
    <row r="966" spans="3:6" x14ac:dyDescent="0.25">
      <c r="C966" s="180"/>
      <c r="D966" s="180"/>
      <c r="E966" s="144"/>
      <c r="F966" s="144"/>
    </row>
    <row r="967" spans="3:6" x14ac:dyDescent="0.25">
      <c r="C967" s="180"/>
      <c r="D967" s="180"/>
      <c r="E967" s="144"/>
      <c r="F967" s="144"/>
    </row>
    <row r="968" spans="3:6" x14ac:dyDescent="0.25">
      <c r="C968" s="180"/>
      <c r="D968" s="180"/>
      <c r="E968" s="144"/>
      <c r="F968" s="144"/>
    </row>
    <row r="969" spans="3:6" x14ac:dyDescent="0.25">
      <c r="C969" s="180"/>
      <c r="D969" s="180"/>
      <c r="E969" s="144"/>
      <c r="F969" s="144"/>
    </row>
    <row r="970" spans="3:6" x14ac:dyDescent="0.25">
      <c r="C970" s="180"/>
      <c r="D970" s="180"/>
      <c r="E970" s="144"/>
      <c r="F970" s="144"/>
    </row>
    <row r="971" spans="3:6" x14ac:dyDescent="0.25">
      <c r="C971" s="180"/>
      <c r="D971" s="180"/>
      <c r="E971" s="144"/>
      <c r="F971" s="144"/>
    </row>
    <row r="972" spans="3:6" x14ac:dyDescent="0.25">
      <c r="C972" s="180"/>
      <c r="D972" s="180"/>
      <c r="E972" s="144"/>
      <c r="F972" s="144"/>
    </row>
    <row r="973" spans="3:6" x14ac:dyDescent="0.25">
      <c r="C973" s="180"/>
      <c r="D973" s="180"/>
      <c r="E973" s="144"/>
      <c r="F973" s="144"/>
    </row>
    <row r="974" spans="3:6" x14ac:dyDescent="0.25">
      <c r="C974" s="180"/>
      <c r="D974" s="180"/>
      <c r="E974" s="144"/>
      <c r="F974" s="144"/>
    </row>
    <row r="975" spans="3:6" x14ac:dyDescent="0.25">
      <c r="C975" s="180"/>
      <c r="D975" s="180"/>
      <c r="E975" s="144"/>
      <c r="F975" s="144"/>
    </row>
    <row r="976" spans="3:6" x14ac:dyDescent="0.25">
      <c r="C976" s="180"/>
      <c r="D976" s="180"/>
      <c r="E976" s="144"/>
      <c r="F976" s="144"/>
    </row>
    <row r="977" spans="3:6" x14ac:dyDescent="0.25">
      <c r="C977" s="180"/>
      <c r="D977" s="180"/>
      <c r="E977" s="144"/>
      <c r="F977" s="144"/>
    </row>
    <row r="978" spans="3:6" x14ac:dyDescent="0.25">
      <c r="C978" s="180"/>
      <c r="D978" s="180"/>
      <c r="E978" s="144"/>
      <c r="F978" s="144"/>
    </row>
    <row r="979" spans="3:6" x14ac:dyDescent="0.25">
      <c r="C979" s="180"/>
      <c r="D979" s="180"/>
      <c r="E979" s="144"/>
      <c r="F979" s="144"/>
    </row>
    <row r="980" spans="3:6" x14ac:dyDescent="0.25">
      <c r="C980" s="180"/>
      <c r="D980" s="180"/>
      <c r="E980" s="144"/>
      <c r="F980" s="144"/>
    </row>
    <row r="981" spans="3:6" x14ac:dyDescent="0.25">
      <c r="C981" s="180"/>
      <c r="D981" s="180"/>
      <c r="E981" s="144"/>
      <c r="F981" s="144"/>
    </row>
    <row r="982" spans="3:6" x14ac:dyDescent="0.25">
      <c r="C982" s="180"/>
      <c r="D982" s="180"/>
      <c r="E982" s="144"/>
      <c r="F982" s="144"/>
    </row>
    <row r="983" spans="3:6" x14ac:dyDescent="0.25">
      <c r="C983" s="180"/>
      <c r="D983" s="180"/>
      <c r="E983" s="144"/>
      <c r="F983" s="144"/>
    </row>
    <row r="984" spans="3:6" x14ac:dyDescent="0.25">
      <c r="C984" s="180"/>
      <c r="D984" s="180"/>
      <c r="E984" s="144"/>
      <c r="F984" s="144"/>
    </row>
    <row r="985" spans="3:6" x14ac:dyDescent="0.25">
      <c r="C985" s="180"/>
      <c r="D985" s="180"/>
      <c r="E985" s="144"/>
      <c r="F985" s="144"/>
    </row>
    <row r="986" spans="3:6" x14ac:dyDescent="0.25">
      <c r="C986" s="180"/>
      <c r="D986" s="180"/>
      <c r="E986" s="144"/>
      <c r="F986" s="144"/>
    </row>
    <row r="987" spans="3:6" x14ac:dyDescent="0.25">
      <c r="C987" s="180"/>
      <c r="D987" s="180"/>
      <c r="E987" s="144"/>
      <c r="F987" s="144"/>
    </row>
    <row r="988" spans="3:6" x14ac:dyDescent="0.25">
      <c r="C988" s="180"/>
      <c r="D988" s="180"/>
      <c r="E988" s="144"/>
      <c r="F988" s="144"/>
    </row>
    <row r="989" spans="3:6" x14ac:dyDescent="0.25">
      <c r="C989" s="180"/>
      <c r="D989" s="180"/>
      <c r="E989" s="144"/>
      <c r="F989" s="144"/>
    </row>
    <row r="990" spans="3:6" x14ac:dyDescent="0.25">
      <c r="C990" s="180"/>
      <c r="D990" s="180"/>
      <c r="E990" s="144"/>
      <c r="F990" s="144"/>
    </row>
    <row r="991" spans="3:6" x14ac:dyDescent="0.25">
      <c r="C991" s="180"/>
      <c r="D991" s="180"/>
      <c r="E991" s="144"/>
      <c r="F991" s="144"/>
    </row>
    <row r="992" spans="3:6" x14ac:dyDescent="0.25">
      <c r="C992" s="180"/>
      <c r="D992" s="180"/>
      <c r="E992" s="144"/>
      <c r="F992" s="144"/>
    </row>
    <row r="993" spans="3:6" x14ac:dyDescent="0.25">
      <c r="C993" s="180"/>
      <c r="D993" s="180"/>
      <c r="E993" s="144"/>
      <c r="F993" s="144"/>
    </row>
    <row r="994" spans="3:6" x14ac:dyDescent="0.25">
      <c r="C994" s="180"/>
      <c r="D994" s="180"/>
      <c r="E994" s="144"/>
      <c r="F994" s="144"/>
    </row>
    <row r="995" spans="3:6" x14ac:dyDescent="0.25">
      <c r="C995" s="180"/>
      <c r="D995" s="180"/>
      <c r="E995" s="144"/>
      <c r="F995" s="144"/>
    </row>
    <row r="996" spans="3:6" x14ac:dyDescent="0.25">
      <c r="C996" s="180"/>
      <c r="D996" s="180"/>
      <c r="E996" s="144"/>
      <c r="F996" s="144"/>
    </row>
    <row r="997" spans="3:6" x14ac:dyDescent="0.25">
      <c r="C997" s="180"/>
      <c r="D997" s="180"/>
      <c r="E997" s="144"/>
      <c r="F997" s="144"/>
    </row>
    <row r="998" spans="3:6" x14ac:dyDescent="0.25">
      <c r="C998" s="180"/>
      <c r="D998" s="180"/>
      <c r="E998" s="144"/>
      <c r="F998" s="144"/>
    </row>
    <row r="999" spans="3:6" x14ac:dyDescent="0.25">
      <c r="C999" s="180"/>
      <c r="D999" s="180"/>
      <c r="E999" s="144"/>
      <c r="F999" s="144"/>
    </row>
    <row r="1000" spans="3:6" x14ac:dyDescent="0.25">
      <c r="C1000" s="180"/>
      <c r="D1000" s="180"/>
      <c r="E1000" s="144"/>
      <c r="F1000" s="144"/>
    </row>
    <row r="1001" spans="3:6" x14ac:dyDescent="0.25">
      <c r="C1001" s="180"/>
      <c r="D1001" s="180"/>
      <c r="E1001" s="144"/>
      <c r="F1001" s="144"/>
    </row>
    <row r="1002" spans="3:6" x14ac:dyDescent="0.25">
      <c r="C1002" s="180"/>
      <c r="D1002" s="180"/>
      <c r="E1002" s="144"/>
      <c r="F1002" s="144"/>
    </row>
    <row r="1003" spans="3:6" x14ac:dyDescent="0.25">
      <c r="C1003" s="180"/>
      <c r="D1003" s="180"/>
      <c r="E1003" s="144"/>
      <c r="F1003" s="144"/>
    </row>
    <row r="1004" spans="3:6" x14ac:dyDescent="0.25">
      <c r="C1004" s="180"/>
      <c r="D1004" s="180"/>
      <c r="E1004" s="144"/>
      <c r="F1004" s="144"/>
    </row>
    <row r="1005" spans="3:6" x14ac:dyDescent="0.25">
      <c r="C1005" s="180"/>
      <c r="D1005" s="180"/>
      <c r="E1005" s="144"/>
      <c r="F1005" s="144"/>
    </row>
    <row r="1006" spans="3:6" x14ac:dyDescent="0.25">
      <c r="C1006" s="180"/>
      <c r="D1006" s="180"/>
      <c r="E1006" s="144"/>
      <c r="F1006" s="144"/>
    </row>
    <row r="1007" spans="3:6" x14ac:dyDescent="0.25">
      <c r="C1007" s="180"/>
      <c r="D1007" s="180"/>
      <c r="E1007" s="144"/>
      <c r="F1007" s="144"/>
    </row>
    <row r="1008" spans="3:6" x14ac:dyDescent="0.25">
      <c r="C1008" s="180"/>
      <c r="D1008" s="180"/>
      <c r="E1008" s="144"/>
      <c r="F1008" s="144"/>
    </row>
    <row r="1009" spans="3:6" x14ac:dyDescent="0.25">
      <c r="C1009" s="180"/>
      <c r="D1009" s="180"/>
      <c r="E1009" s="144"/>
      <c r="F1009" s="144"/>
    </row>
    <row r="1010" spans="3:6" x14ac:dyDescent="0.25">
      <c r="C1010" s="180"/>
      <c r="D1010" s="180"/>
      <c r="E1010" s="144"/>
      <c r="F1010" s="144"/>
    </row>
    <row r="1011" spans="3:6" x14ac:dyDescent="0.25">
      <c r="C1011" s="180"/>
      <c r="D1011" s="180"/>
      <c r="E1011" s="144"/>
      <c r="F1011" s="144"/>
    </row>
    <row r="1012" spans="3:6" x14ac:dyDescent="0.25">
      <c r="C1012" s="180"/>
      <c r="D1012" s="180"/>
      <c r="E1012" s="144"/>
      <c r="F1012" s="144"/>
    </row>
    <row r="1013" spans="3:6" x14ac:dyDescent="0.25">
      <c r="C1013" s="180"/>
      <c r="D1013" s="180"/>
      <c r="E1013" s="144"/>
      <c r="F1013" s="144"/>
    </row>
    <row r="1014" spans="3:6" x14ac:dyDescent="0.25">
      <c r="C1014" s="180"/>
      <c r="D1014" s="180"/>
      <c r="E1014" s="144"/>
      <c r="F1014" s="144"/>
    </row>
    <row r="1015" spans="3:6" x14ac:dyDescent="0.25">
      <c r="C1015" s="180"/>
      <c r="D1015" s="180"/>
      <c r="E1015" s="144"/>
      <c r="F1015" s="144"/>
    </row>
    <row r="1016" spans="3:6" x14ac:dyDescent="0.25">
      <c r="C1016" s="180"/>
      <c r="D1016" s="180"/>
      <c r="E1016" s="144"/>
      <c r="F1016" s="144"/>
    </row>
    <row r="1017" spans="3:6" x14ac:dyDescent="0.25">
      <c r="C1017" s="180"/>
      <c r="D1017" s="180"/>
      <c r="E1017" s="144"/>
      <c r="F1017" s="144"/>
    </row>
    <row r="1018" spans="3:6" x14ac:dyDescent="0.25">
      <c r="C1018" s="180"/>
      <c r="D1018" s="180"/>
      <c r="E1018" s="144"/>
      <c r="F1018" s="144"/>
    </row>
    <row r="1019" spans="3:6" x14ac:dyDescent="0.25">
      <c r="C1019" s="180"/>
      <c r="D1019" s="180"/>
      <c r="E1019" s="144"/>
      <c r="F1019" s="144"/>
    </row>
    <row r="1020" spans="3:6" x14ac:dyDescent="0.25">
      <c r="C1020" s="180"/>
      <c r="D1020" s="180"/>
      <c r="E1020" s="144"/>
      <c r="F1020" s="144"/>
    </row>
    <row r="1021" spans="3:6" x14ac:dyDescent="0.25">
      <c r="C1021" s="180"/>
      <c r="D1021" s="180"/>
      <c r="E1021" s="144"/>
      <c r="F1021" s="144"/>
    </row>
    <row r="1022" spans="3:6" x14ac:dyDescent="0.25">
      <c r="C1022" s="180"/>
      <c r="D1022" s="180"/>
      <c r="E1022" s="144"/>
      <c r="F1022" s="144"/>
    </row>
    <row r="1023" spans="3:6" x14ac:dyDescent="0.25">
      <c r="C1023" s="180"/>
      <c r="D1023" s="180"/>
      <c r="E1023" s="144"/>
      <c r="F1023" s="144"/>
    </row>
    <row r="1024" spans="3:6" x14ac:dyDescent="0.25">
      <c r="C1024" s="180"/>
      <c r="D1024" s="180"/>
      <c r="E1024" s="144"/>
      <c r="F1024" s="144"/>
    </row>
    <row r="1025" spans="3:6" x14ac:dyDescent="0.25">
      <c r="C1025" s="180"/>
      <c r="D1025" s="180"/>
      <c r="E1025" s="144"/>
      <c r="F1025" s="144"/>
    </row>
    <row r="1026" spans="3:6" x14ac:dyDescent="0.25">
      <c r="C1026" s="180"/>
      <c r="D1026" s="180"/>
      <c r="E1026" s="144"/>
      <c r="F1026" s="144"/>
    </row>
    <row r="1027" spans="3:6" x14ac:dyDescent="0.25">
      <c r="C1027" s="180"/>
      <c r="D1027" s="180"/>
      <c r="E1027" s="144"/>
      <c r="F1027" s="144"/>
    </row>
    <row r="1028" spans="3:6" x14ac:dyDescent="0.25">
      <c r="C1028" s="180"/>
      <c r="D1028" s="180"/>
      <c r="E1028" s="144"/>
      <c r="F1028" s="144"/>
    </row>
    <row r="1029" spans="3:6" x14ac:dyDescent="0.25">
      <c r="C1029" s="180"/>
      <c r="D1029" s="180"/>
      <c r="E1029" s="144"/>
      <c r="F1029" s="144"/>
    </row>
    <row r="1030" spans="3:6" x14ac:dyDescent="0.25">
      <c r="C1030" s="180"/>
      <c r="D1030" s="180"/>
      <c r="E1030" s="144"/>
      <c r="F1030" s="144"/>
    </row>
    <row r="1031" spans="3:6" x14ac:dyDescent="0.25">
      <c r="C1031" s="180"/>
      <c r="D1031" s="180"/>
      <c r="E1031" s="144"/>
      <c r="F1031" s="144"/>
    </row>
    <row r="1032" spans="3:6" x14ac:dyDescent="0.25">
      <c r="C1032" s="180"/>
      <c r="D1032" s="180"/>
      <c r="E1032" s="144"/>
      <c r="F1032" s="144"/>
    </row>
    <row r="1033" spans="3:6" x14ac:dyDescent="0.25">
      <c r="C1033" s="180"/>
      <c r="D1033" s="180"/>
      <c r="E1033" s="144"/>
      <c r="F1033" s="144"/>
    </row>
    <row r="1034" spans="3:6" x14ac:dyDescent="0.25">
      <c r="C1034" s="180"/>
      <c r="D1034" s="180"/>
      <c r="E1034" s="144"/>
      <c r="F1034" s="144"/>
    </row>
    <row r="1035" spans="3:6" x14ac:dyDescent="0.25">
      <c r="C1035" s="180"/>
      <c r="D1035" s="180"/>
      <c r="E1035" s="144"/>
      <c r="F1035" s="144"/>
    </row>
    <row r="1036" spans="3:6" x14ac:dyDescent="0.25">
      <c r="C1036" s="180"/>
      <c r="D1036" s="180"/>
      <c r="E1036" s="144"/>
      <c r="F1036" s="144"/>
    </row>
    <row r="1037" spans="3:6" x14ac:dyDescent="0.25">
      <c r="C1037" s="180"/>
      <c r="D1037" s="180"/>
      <c r="E1037" s="144"/>
      <c r="F1037" s="144"/>
    </row>
    <row r="1038" spans="3:6" x14ac:dyDescent="0.25">
      <c r="C1038" s="180"/>
      <c r="D1038" s="180"/>
      <c r="E1038" s="144"/>
      <c r="F1038" s="144"/>
    </row>
    <row r="1039" spans="3:6" x14ac:dyDescent="0.25">
      <c r="C1039" s="180"/>
      <c r="D1039" s="180"/>
      <c r="E1039" s="144"/>
      <c r="F1039" s="144"/>
    </row>
    <row r="1040" spans="3:6" x14ac:dyDescent="0.25">
      <c r="C1040" s="180"/>
      <c r="D1040" s="180"/>
      <c r="E1040" s="144"/>
      <c r="F1040" s="144"/>
    </row>
    <row r="1041" spans="3:6" x14ac:dyDescent="0.25">
      <c r="C1041" s="180"/>
      <c r="D1041" s="180"/>
      <c r="E1041" s="144"/>
      <c r="F1041" s="144"/>
    </row>
    <row r="1042" spans="3:6" x14ac:dyDescent="0.25">
      <c r="C1042" s="180"/>
      <c r="D1042" s="180"/>
      <c r="E1042" s="144"/>
      <c r="F1042" s="144"/>
    </row>
    <row r="1043" spans="3:6" x14ac:dyDescent="0.25">
      <c r="C1043" s="180"/>
      <c r="D1043" s="180"/>
      <c r="E1043" s="144"/>
      <c r="F1043" s="144"/>
    </row>
    <row r="1044" spans="3:6" x14ac:dyDescent="0.25">
      <c r="C1044" s="180"/>
      <c r="D1044" s="180"/>
      <c r="E1044" s="144"/>
      <c r="F1044" s="144"/>
    </row>
    <row r="1045" spans="3:6" x14ac:dyDescent="0.25">
      <c r="C1045" s="180"/>
      <c r="D1045" s="180"/>
      <c r="E1045" s="144"/>
      <c r="F1045" s="144"/>
    </row>
    <row r="1046" spans="3:6" x14ac:dyDescent="0.25">
      <c r="C1046" s="180"/>
      <c r="D1046" s="180"/>
      <c r="E1046" s="144"/>
      <c r="F1046" s="144"/>
    </row>
    <row r="1047" spans="3:6" x14ac:dyDescent="0.25">
      <c r="C1047" s="180"/>
      <c r="D1047" s="180"/>
      <c r="E1047" s="144"/>
      <c r="F1047" s="144"/>
    </row>
    <row r="1048" spans="3:6" x14ac:dyDescent="0.25">
      <c r="C1048" s="180"/>
      <c r="D1048" s="180"/>
      <c r="E1048" s="144"/>
      <c r="F1048" s="144"/>
    </row>
    <row r="1049" spans="3:6" x14ac:dyDescent="0.25">
      <c r="C1049" s="180"/>
      <c r="D1049" s="180"/>
      <c r="E1049" s="144"/>
      <c r="F1049" s="144"/>
    </row>
    <row r="1050" spans="3:6" x14ac:dyDescent="0.25">
      <c r="C1050" s="180"/>
      <c r="D1050" s="180"/>
      <c r="E1050" s="144"/>
      <c r="F1050" s="144"/>
    </row>
    <row r="1051" spans="3:6" x14ac:dyDescent="0.25">
      <c r="C1051" s="180"/>
      <c r="D1051" s="180"/>
      <c r="E1051" s="144"/>
      <c r="F1051" s="144"/>
    </row>
    <row r="1052" spans="3:6" x14ac:dyDescent="0.25">
      <c r="C1052" s="180"/>
      <c r="D1052" s="180"/>
      <c r="E1052" s="144"/>
      <c r="F1052" s="144"/>
    </row>
    <row r="1053" spans="3:6" x14ac:dyDescent="0.25">
      <c r="C1053" s="180"/>
      <c r="D1053" s="180"/>
      <c r="E1053" s="144"/>
      <c r="F1053" s="144"/>
    </row>
    <row r="1054" spans="3:6" x14ac:dyDescent="0.25">
      <c r="C1054" s="180"/>
      <c r="D1054" s="180"/>
      <c r="E1054" s="144"/>
      <c r="F1054" s="144"/>
    </row>
    <row r="1055" spans="3:6" x14ac:dyDescent="0.25">
      <c r="C1055" s="180"/>
      <c r="D1055" s="180"/>
      <c r="E1055" s="144"/>
      <c r="F1055" s="144"/>
    </row>
    <row r="1056" spans="3:6" x14ac:dyDescent="0.25">
      <c r="C1056" s="180"/>
      <c r="D1056" s="180"/>
      <c r="E1056" s="144"/>
      <c r="F1056" s="144"/>
    </row>
    <row r="1057" spans="3:6" x14ac:dyDescent="0.25">
      <c r="C1057" s="180"/>
      <c r="D1057" s="180"/>
      <c r="E1057" s="144"/>
      <c r="F1057" s="144"/>
    </row>
    <row r="1058" spans="3:6" x14ac:dyDescent="0.25">
      <c r="C1058" s="180"/>
      <c r="D1058" s="180"/>
      <c r="E1058" s="144"/>
      <c r="F1058" s="144"/>
    </row>
    <row r="1059" spans="3:6" x14ac:dyDescent="0.25">
      <c r="C1059" s="180"/>
      <c r="D1059" s="180"/>
      <c r="E1059" s="144"/>
      <c r="F1059" s="144"/>
    </row>
    <row r="1060" spans="3:6" x14ac:dyDescent="0.25">
      <c r="C1060" s="180"/>
      <c r="D1060" s="180"/>
      <c r="E1060" s="144"/>
      <c r="F1060" s="144"/>
    </row>
    <row r="1061" spans="3:6" x14ac:dyDescent="0.25">
      <c r="C1061" s="180"/>
      <c r="D1061" s="180"/>
      <c r="E1061" s="144"/>
      <c r="F1061" s="144"/>
    </row>
    <row r="1062" spans="3:6" x14ac:dyDescent="0.25">
      <c r="C1062" s="180"/>
      <c r="D1062" s="180"/>
      <c r="E1062" s="144"/>
      <c r="F1062" s="144"/>
    </row>
    <row r="1063" spans="3:6" x14ac:dyDescent="0.25">
      <c r="C1063" s="180"/>
      <c r="D1063" s="180"/>
      <c r="E1063" s="144"/>
      <c r="F1063" s="144"/>
    </row>
    <row r="1064" spans="3:6" x14ac:dyDescent="0.25">
      <c r="C1064" s="180"/>
      <c r="D1064" s="180"/>
      <c r="E1064" s="144"/>
      <c r="F1064" s="144"/>
    </row>
    <row r="1065" spans="3:6" x14ac:dyDescent="0.25">
      <c r="C1065" s="180"/>
      <c r="D1065" s="180"/>
      <c r="E1065" s="144"/>
      <c r="F1065" s="144"/>
    </row>
    <row r="1066" spans="3:6" x14ac:dyDescent="0.25">
      <c r="C1066" s="180"/>
      <c r="D1066" s="180"/>
      <c r="E1066" s="144"/>
      <c r="F1066" s="144"/>
    </row>
    <row r="1067" spans="3:6" x14ac:dyDescent="0.25">
      <c r="C1067" s="180"/>
      <c r="D1067" s="180"/>
      <c r="E1067" s="144"/>
      <c r="F1067" s="144"/>
    </row>
    <row r="1068" spans="3:6" x14ac:dyDescent="0.25">
      <c r="C1068" s="180"/>
      <c r="D1068" s="180"/>
      <c r="E1068" s="144"/>
      <c r="F1068" s="144"/>
    </row>
    <row r="1069" spans="3:6" x14ac:dyDescent="0.25">
      <c r="C1069" s="180"/>
      <c r="D1069" s="180"/>
      <c r="E1069" s="144"/>
      <c r="F1069" s="144"/>
    </row>
    <row r="1070" spans="3:6" x14ac:dyDescent="0.25">
      <c r="C1070" s="180"/>
      <c r="D1070" s="180"/>
      <c r="E1070" s="144"/>
      <c r="F1070" s="144"/>
    </row>
    <row r="1071" spans="3:6" x14ac:dyDescent="0.25">
      <c r="C1071" s="180"/>
      <c r="D1071" s="180"/>
      <c r="E1071" s="144"/>
      <c r="F1071" s="144"/>
    </row>
    <row r="1072" spans="3:6" x14ac:dyDescent="0.25">
      <c r="C1072" s="180"/>
      <c r="D1072" s="180"/>
      <c r="E1072" s="144"/>
      <c r="F1072" s="144"/>
    </row>
    <row r="1073" spans="3:6" x14ac:dyDescent="0.25">
      <c r="C1073" s="180"/>
      <c r="D1073" s="180"/>
      <c r="E1073" s="144"/>
      <c r="F1073" s="144"/>
    </row>
    <row r="1074" spans="3:6" x14ac:dyDescent="0.25">
      <c r="C1074" s="180"/>
      <c r="D1074" s="180"/>
      <c r="E1074" s="144"/>
      <c r="F1074" s="144"/>
    </row>
    <row r="1075" spans="3:6" x14ac:dyDescent="0.25">
      <c r="C1075" s="180"/>
      <c r="D1075" s="180"/>
      <c r="E1075" s="144"/>
      <c r="F1075" s="144"/>
    </row>
    <row r="1076" spans="3:6" x14ac:dyDescent="0.25">
      <c r="C1076" s="180"/>
      <c r="D1076" s="180"/>
      <c r="E1076" s="144"/>
      <c r="F1076" s="144"/>
    </row>
    <row r="1077" spans="3:6" x14ac:dyDescent="0.25">
      <c r="C1077" s="180"/>
      <c r="D1077" s="180"/>
      <c r="E1077" s="144"/>
      <c r="F1077" s="144"/>
    </row>
    <row r="1078" spans="3:6" x14ac:dyDescent="0.25">
      <c r="C1078" s="180"/>
      <c r="D1078" s="180"/>
      <c r="E1078" s="144"/>
      <c r="F1078" s="144"/>
    </row>
    <row r="1079" spans="3:6" x14ac:dyDescent="0.25">
      <c r="C1079" s="180"/>
      <c r="D1079" s="180"/>
      <c r="E1079" s="144"/>
      <c r="F1079" s="144"/>
    </row>
    <row r="1080" spans="3:6" x14ac:dyDescent="0.25">
      <c r="C1080" s="180"/>
      <c r="D1080" s="180"/>
      <c r="E1080" s="144"/>
      <c r="F1080" s="144"/>
    </row>
    <row r="1081" spans="3:6" x14ac:dyDescent="0.25">
      <c r="C1081" s="180"/>
      <c r="D1081" s="180"/>
      <c r="E1081" s="144"/>
      <c r="F1081" s="144"/>
    </row>
    <row r="1082" spans="3:6" x14ac:dyDescent="0.25">
      <c r="C1082" s="180"/>
      <c r="D1082" s="180"/>
      <c r="E1082" s="144"/>
      <c r="F1082" s="144"/>
    </row>
    <row r="1083" spans="3:6" x14ac:dyDescent="0.25">
      <c r="C1083" s="180"/>
      <c r="D1083" s="180"/>
      <c r="E1083" s="144"/>
      <c r="F1083" s="144"/>
    </row>
    <row r="1084" spans="3:6" x14ac:dyDescent="0.25">
      <c r="C1084" s="180"/>
      <c r="D1084" s="180"/>
      <c r="E1084" s="144"/>
      <c r="F1084" s="144"/>
    </row>
    <row r="1085" spans="3:6" x14ac:dyDescent="0.25">
      <c r="C1085" s="180"/>
      <c r="D1085" s="180"/>
      <c r="E1085" s="144"/>
      <c r="F1085" s="144"/>
    </row>
    <row r="1086" spans="3:6" x14ac:dyDescent="0.25">
      <c r="C1086" s="180"/>
      <c r="D1086" s="180"/>
      <c r="E1086" s="144"/>
      <c r="F1086" s="144"/>
    </row>
    <row r="1087" spans="3:6" x14ac:dyDescent="0.25">
      <c r="C1087" s="180"/>
      <c r="D1087" s="180"/>
      <c r="E1087" s="144"/>
      <c r="F1087" s="144"/>
    </row>
    <row r="1088" spans="3:6" x14ac:dyDescent="0.25">
      <c r="C1088" s="180"/>
      <c r="D1088" s="180"/>
      <c r="E1088" s="144"/>
      <c r="F1088" s="144"/>
    </row>
    <row r="1089" spans="3:6" x14ac:dyDescent="0.25">
      <c r="C1089" s="180"/>
      <c r="D1089" s="180"/>
      <c r="E1089" s="144"/>
      <c r="F1089" s="144"/>
    </row>
    <row r="1090" spans="3:6" x14ac:dyDescent="0.25">
      <c r="C1090" s="180"/>
      <c r="D1090" s="180"/>
      <c r="E1090" s="144"/>
      <c r="F1090" s="144"/>
    </row>
    <row r="1091" spans="3:6" x14ac:dyDescent="0.25">
      <c r="C1091" s="180"/>
      <c r="D1091" s="180"/>
      <c r="E1091" s="144"/>
      <c r="F1091" s="144"/>
    </row>
    <row r="1092" spans="3:6" x14ac:dyDescent="0.25">
      <c r="C1092" s="180"/>
      <c r="D1092" s="180"/>
      <c r="E1092" s="144"/>
      <c r="F1092" s="144"/>
    </row>
    <row r="1093" spans="3:6" x14ac:dyDescent="0.25">
      <c r="C1093" s="180"/>
      <c r="D1093" s="180"/>
      <c r="E1093" s="144"/>
      <c r="F1093" s="144"/>
    </row>
    <row r="1094" spans="3:6" x14ac:dyDescent="0.25">
      <c r="C1094" s="180"/>
      <c r="D1094" s="180"/>
      <c r="E1094" s="144"/>
      <c r="F1094" s="144"/>
    </row>
    <row r="1095" spans="3:6" x14ac:dyDescent="0.25">
      <c r="C1095" s="180"/>
      <c r="D1095" s="180"/>
      <c r="E1095" s="144"/>
      <c r="F1095" s="144"/>
    </row>
    <row r="1096" spans="3:6" x14ac:dyDescent="0.25">
      <c r="C1096" s="180"/>
      <c r="D1096" s="180"/>
      <c r="E1096" s="144"/>
      <c r="F1096" s="144"/>
    </row>
    <row r="1097" spans="3:6" x14ac:dyDescent="0.25">
      <c r="C1097" s="180"/>
      <c r="D1097" s="180"/>
      <c r="E1097" s="144"/>
      <c r="F1097" s="144"/>
    </row>
    <row r="1098" spans="3:6" x14ac:dyDescent="0.25">
      <c r="C1098" s="180"/>
      <c r="D1098" s="180"/>
      <c r="E1098" s="144"/>
      <c r="F1098" s="144"/>
    </row>
    <row r="1099" spans="3:6" x14ac:dyDescent="0.25">
      <c r="C1099" s="180"/>
      <c r="D1099" s="180"/>
      <c r="E1099" s="144"/>
      <c r="F1099" s="144"/>
    </row>
    <row r="1100" spans="3:6" x14ac:dyDescent="0.25">
      <c r="C1100" s="180"/>
      <c r="D1100" s="180"/>
      <c r="E1100" s="144"/>
      <c r="F1100" s="144"/>
    </row>
    <row r="1101" spans="3:6" x14ac:dyDescent="0.25">
      <c r="C1101" s="180"/>
      <c r="D1101" s="180"/>
      <c r="E1101" s="144"/>
      <c r="F1101" s="144"/>
    </row>
    <row r="1102" spans="3:6" x14ac:dyDescent="0.25">
      <c r="C1102" s="180"/>
      <c r="D1102" s="180"/>
      <c r="E1102" s="144"/>
      <c r="F1102" s="144"/>
    </row>
    <row r="1103" spans="3:6" x14ac:dyDescent="0.25">
      <c r="C1103" s="180"/>
      <c r="D1103" s="180"/>
      <c r="E1103" s="144"/>
      <c r="F1103" s="144"/>
    </row>
    <row r="1104" spans="3:6" x14ac:dyDescent="0.25">
      <c r="C1104" s="180"/>
      <c r="D1104" s="180"/>
      <c r="E1104" s="144"/>
      <c r="F1104" s="144"/>
    </row>
    <row r="1105" spans="3:6" x14ac:dyDescent="0.25">
      <c r="C1105" s="180"/>
      <c r="D1105" s="180"/>
      <c r="E1105" s="144"/>
      <c r="F1105" s="144"/>
    </row>
    <row r="1106" spans="3:6" x14ac:dyDescent="0.25">
      <c r="C1106" s="180"/>
      <c r="D1106" s="180"/>
      <c r="E1106" s="144"/>
      <c r="F1106" s="144"/>
    </row>
    <row r="1107" spans="3:6" x14ac:dyDescent="0.25">
      <c r="C1107" s="180"/>
      <c r="D1107" s="180"/>
      <c r="E1107" s="144"/>
      <c r="F1107" s="144"/>
    </row>
    <row r="1108" spans="3:6" x14ac:dyDescent="0.25">
      <c r="C1108" s="180"/>
      <c r="D1108" s="180"/>
      <c r="E1108" s="144"/>
      <c r="F1108" s="144"/>
    </row>
    <row r="1109" spans="3:6" x14ac:dyDescent="0.25">
      <c r="C1109" s="180"/>
      <c r="D1109" s="180"/>
      <c r="E1109" s="144"/>
      <c r="F1109" s="144"/>
    </row>
    <row r="1110" spans="3:6" x14ac:dyDescent="0.25">
      <c r="C1110" s="180"/>
      <c r="D1110" s="180"/>
      <c r="E1110" s="144"/>
      <c r="F1110" s="144"/>
    </row>
    <row r="1111" spans="3:6" x14ac:dyDescent="0.25">
      <c r="C1111" s="180"/>
      <c r="D1111" s="180"/>
      <c r="E1111" s="144"/>
      <c r="F1111" s="144"/>
    </row>
    <row r="1112" spans="3:6" x14ac:dyDescent="0.25">
      <c r="C1112" s="180"/>
      <c r="D1112" s="180"/>
      <c r="E1112" s="144"/>
      <c r="F1112" s="144"/>
    </row>
    <row r="1113" spans="3:6" x14ac:dyDescent="0.25">
      <c r="C1113" s="180"/>
      <c r="D1113" s="180"/>
      <c r="E1113" s="144"/>
      <c r="F1113" s="144"/>
    </row>
    <row r="1114" spans="3:6" x14ac:dyDescent="0.25">
      <c r="C1114" s="180"/>
      <c r="D1114" s="180"/>
      <c r="E1114" s="144"/>
      <c r="F1114" s="144"/>
    </row>
    <row r="1115" spans="3:6" x14ac:dyDescent="0.25">
      <c r="C1115" s="180"/>
      <c r="D1115" s="180"/>
      <c r="E1115" s="144"/>
      <c r="F1115" s="144"/>
    </row>
    <row r="1116" spans="3:6" x14ac:dyDescent="0.25">
      <c r="C1116" s="180"/>
      <c r="D1116" s="180"/>
      <c r="E1116" s="144"/>
      <c r="F1116" s="144"/>
    </row>
    <row r="1117" spans="3:6" x14ac:dyDescent="0.25">
      <c r="C1117" s="180"/>
      <c r="D1117" s="180"/>
      <c r="E1117" s="144"/>
      <c r="F1117" s="144"/>
    </row>
    <row r="1118" spans="3:6" x14ac:dyDescent="0.25">
      <c r="C1118" s="180"/>
      <c r="D1118" s="180"/>
      <c r="E1118" s="144"/>
      <c r="F1118" s="144"/>
    </row>
    <row r="1119" spans="3:6" x14ac:dyDescent="0.25">
      <c r="C1119" s="180"/>
      <c r="D1119" s="180"/>
      <c r="E1119" s="144"/>
      <c r="F1119" s="144"/>
    </row>
    <row r="1120" spans="3:6" x14ac:dyDescent="0.25">
      <c r="C1120" s="180"/>
      <c r="D1120" s="180"/>
      <c r="E1120" s="144"/>
      <c r="F1120" s="144"/>
    </row>
    <row r="1121" spans="3:6" x14ac:dyDescent="0.25">
      <c r="C1121" s="180"/>
      <c r="D1121" s="180"/>
      <c r="E1121" s="144"/>
      <c r="F1121" s="144"/>
    </row>
    <row r="1122" spans="3:6" x14ac:dyDescent="0.25">
      <c r="C1122" s="180"/>
      <c r="D1122" s="180"/>
      <c r="E1122" s="144"/>
      <c r="F1122" s="144"/>
    </row>
    <row r="1123" spans="3:6" x14ac:dyDescent="0.25">
      <c r="C1123" s="180"/>
      <c r="D1123" s="180"/>
      <c r="E1123" s="144"/>
      <c r="F1123" s="144"/>
    </row>
    <row r="1124" spans="3:6" x14ac:dyDescent="0.25">
      <c r="C1124" s="180"/>
      <c r="D1124" s="180"/>
      <c r="E1124" s="144"/>
      <c r="F1124" s="144"/>
    </row>
    <row r="1125" spans="3:6" x14ac:dyDescent="0.25">
      <c r="C1125" s="180"/>
      <c r="D1125" s="180"/>
      <c r="E1125" s="144"/>
      <c r="F1125" s="144"/>
    </row>
    <row r="1126" spans="3:6" x14ac:dyDescent="0.25">
      <c r="C1126" s="180"/>
      <c r="D1126" s="180"/>
      <c r="E1126" s="144"/>
      <c r="F1126" s="144"/>
    </row>
    <row r="1127" spans="3:6" x14ac:dyDescent="0.25">
      <c r="C1127" s="180"/>
      <c r="D1127" s="180"/>
      <c r="E1127" s="144"/>
      <c r="F1127" s="144"/>
    </row>
    <row r="1128" spans="3:6" x14ac:dyDescent="0.25">
      <c r="C1128" s="180"/>
      <c r="D1128" s="180"/>
      <c r="E1128" s="144"/>
      <c r="F1128" s="144"/>
    </row>
    <row r="1129" spans="3:6" x14ac:dyDescent="0.25">
      <c r="C1129" s="180"/>
      <c r="D1129" s="180"/>
      <c r="E1129" s="144"/>
      <c r="F1129" s="144"/>
    </row>
    <row r="1130" spans="3:6" x14ac:dyDescent="0.25">
      <c r="C1130" s="180"/>
      <c r="D1130" s="180"/>
      <c r="E1130" s="144"/>
      <c r="F1130" s="144"/>
    </row>
    <row r="1131" spans="3:6" x14ac:dyDescent="0.25">
      <c r="C1131" s="180"/>
      <c r="D1131" s="180"/>
      <c r="E1131" s="144"/>
      <c r="F1131" s="144"/>
    </row>
    <row r="1132" spans="3:6" x14ac:dyDescent="0.25">
      <c r="C1132" s="180"/>
      <c r="D1132" s="180"/>
      <c r="E1132" s="144"/>
      <c r="F1132" s="144"/>
    </row>
    <row r="1133" spans="3:6" x14ac:dyDescent="0.25">
      <c r="C1133" s="180"/>
      <c r="D1133" s="180"/>
      <c r="E1133" s="144"/>
      <c r="F1133" s="144"/>
    </row>
    <row r="1134" spans="3:6" x14ac:dyDescent="0.25">
      <c r="C1134" s="180"/>
      <c r="D1134" s="180"/>
      <c r="E1134" s="144"/>
      <c r="F1134" s="144"/>
    </row>
    <row r="1135" spans="3:6" x14ac:dyDescent="0.25">
      <c r="C1135" s="180"/>
      <c r="D1135" s="180"/>
      <c r="E1135" s="144"/>
      <c r="F1135" s="144"/>
    </row>
    <row r="1136" spans="3:6" x14ac:dyDescent="0.25">
      <c r="C1136" s="180"/>
      <c r="D1136" s="180"/>
      <c r="E1136" s="144"/>
      <c r="F1136" s="144"/>
    </row>
    <row r="1137" spans="3:6" x14ac:dyDescent="0.25">
      <c r="C1137" s="180"/>
      <c r="D1137" s="180"/>
      <c r="E1137" s="144"/>
      <c r="F1137" s="144"/>
    </row>
    <row r="1138" spans="3:6" x14ac:dyDescent="0.25">
      <c r="C1138" s="180"/>
      <c r="D1138" s="180"/>
      <c r="E1138" s="144"/>
      <c r="F1138" s="144"/>
    </row>
    <row r="1139" spans="3:6" x14ac:dyDescent="0.25">
      <c r="C1139" s="180"/>
      <c r="D1139" s="180"/>
      <c r="E1139" s="144"/>
      <c r="F1139" s="144"/>
    </row>
    <row r="1140" spans="3:6" x14ac:dyDescent="0.25">
      <c r="C1140" s="180"/>
      <c r="D1140" s="180"/>
      <c r="E1140" s="144"/>
      <c r="F1140" s="144"/>
    </row>
    <row r="1141" spans="3:6" x14ac:dyDescent="0.25">
      <c r="C1141" s="180"/>
      <c r="D1141" s="180"/>
      <c r="E1141" s="144"/>
      <c r="F1141" s="144"/>
    </row>
    <row r="1142" spans="3:6" x14ac:dyDescent="0.25">
      <c r="C1142" s="180"/>
      <c r="D1142" s="180"/>
      <c r="E1142" s="144"/>
      <c r="F1142" s="144"/>
    </row>
    <row r="1143" spans="3:6" x14ac:dyDescent="0.25">
      <c r="C1143" s="180"/>
      <c r="D1143" s="180"/>
      <c r="E1143" s="144"/>
      <c r="F1143" s="144"/>
    </row>
    <row r="1144" spans="3:6" x14ac:dyDescent="0.25">
      <c r="C1144" s="180"/>
      <c r="D1144" s="180"/>
      <c r="E1144" s="144"/>
      <c r="F1144" s="144"/>
    </row>
    <row r="1145" spans="3:6" x14ac:dyDescent="0.25">
      <c r="C1145" s="180"/>
      <c r="D1145" s="180"/>
      <c r="E1145" s="144"/>
      <c r="F1145" s="144"/>
    </row>
    <row r="1146" spans="3:6" x14ac:dyDescent="0.25">
      <c r="C1146" s="180"/>
      <c r="D1146" s="180"/>
      <c r="E1146" s="144"/>
      <c r="F1146" s="144"/>
    </row>
    <row r="1147" spans="3:6" x14ac:dyDescent="0.25">
      <c r="C1147" s="180"/>
      <c r="D1147" s="180"/>
      <c r="E1147" s="144"/>
      <c r="F1147" s="144"/>
    </row>
    <row r="1148" spans="3:6" x14ac:dyDescent="0.25">
      <c r="C1148" s="180"/>
      <c r="D1148" s="180"/>
      <c r="E1148" s="144"/>
      <c r="F1148" s="144"/>
    </row>
    <row r="1149" spans="3:6" x14ac:dyDescent="0.25">
      <c r="C1149" s="180"/>
      <c r="D1149" s="180"/>
      <c r="E1149" s="144"/>
      <c r="F1149" s="144"/>
    </row>
    <row r="1150" spans="3:6" x14ac:dyDescent="0.25">
      <c r="C1150" s="180"/>
      <c r="D1150" s="180"/>
      <c r="E1150" s="144"/>
      <c r="F1150" s="144"/>
    </row>
    <row r="1151" spans="3:6" x14ac:dyDescent="0.25">
      <c r="C1151" s="180"/>
      <c r="D1151" s="180"/>
      <c r="E1151" s="144"/>
      <c r="F1151" s="144"/>
    </row>
    <row r="1152" spans="3:6" x14ac:dyDescent="0.25">
      <c r="C1152" s="180"/>
      <c r="D1152" s="180"/>
      <c r="E1152" s="144"/>
      <c r="F1152" s="144"/>
    </row>
    <row r="1153" spans="3:6" x14ac:dyDescent="0.25">
      <c r="C1153" s="180"/>
      <c r="D1153" s="180"/>
      <c r="E1153" s="144"/>
      <c r="F1153" s="144"/>
    </row>
    <row r="1154" spans="3:6" x14ac:dyDescent="0.25">
      <c r="C1154" s="180"/>
      <c r="D1154" s="180"/>
      <c r="E1154" s="144"/>
      <c r="F1154" s="144"/>
    </row>
    <row r="1155" spans="3:6" x14ac:dyDescent="0.25">
      <c r="C1155" s="180"/>
      <c r="D1155" s="180"/>
      <c r="E1155" s="144"/>
      <c r="F1155" s="144"/>
    </row>
    <row r="1156" spans="3:6" x14ac:dyDescent="0.25">
      <c r="C1156" s="180"/>
      <c r="D1156" s="180"/>
      <c r="E1156" s="144"/>
      <c r="F1156" s="144"/>
    </row>
    <row r="1157" spans="3:6" x14ac:dyDescent="0.25">
      <c r="C1157" s="180"/>
      <c r="D1157" s="180"/>
      <c r="E1157" s="144"/>
      <c r="F1157" s="144"/>
    </row>
    <row r="1158" spans="3:6" x14ac:dyDescent="0.25">
      <c r="C1158" s="180"/>
      <c r="D1158" s="180"/>
      <c r="E1158" s="144"/>
      <c r="F1158" s="144"/>
    </row>
    <row r="1159" spans="3:6" x14ac:dyDescent="0.25">
      <c r="C1159" s="180"/>
      <c r="D1159" s="180"/>
      <c r="E1159" s="144"/>
      <c r="F1159" s="144"/>
    </row>
    <row r="1160" spans="3:6" x14ac:dyDescent="0.25">
      <c r="C1160" s="180"/>
      <c r="D1160" s="180"/>
      <c r="E1160" s="144"/>
      <c r="F1160" s="144"/>
    </row>
    <row r="1161" spans="3:6" x14ac:dyDescent="0.25">
      <c r="C1161" s="180"/>
      <c r="D1161" s="180"/>
      <c r="E1161" s="144"/>
      <c r="F1161" s="144"/>
    </row>
    <row r="1162" spans="3:6" x14ac:dyDescent="0.25">
      <c r="C1162" s="180"/>
      <c r="D1162" s="180"/>
      <c r="E1162" s="144"/>
      <c r="F1162" s="144"/>
    </row>
    <row r="1163" spans="3:6" x14ac:dyDescent="0.25">
      <c r="C1163" s="180"/>
      <c r="D1163" s="180"/>
      <c r="E1163" s="144"/>
      <c r="F1163" s="144"/>
    </row>
    <row r="1164" spans="3:6" x14ac:dyDescent="0.25">
      <c r="C1164" s="180"/>
      <c r="D1164" s="180"/>
      <c r="E1164" s="144"/>
      <c r="F1164" s="144"/>
    </row>
    <row r="1165" spans="3:6" x14ac:dyDescent="0.25">
      <c r="C1165" s="180"/>
      <c r="D1165" s="180"/>
      <c r="E1165" s="144"/>
      <c r="F1165" s="144"/>
    </row>
    <row r="1166" spans="3:6" x14ac:dyDescent="0.25">
      <c r="C1166" s="180"/>
      <c r="D1166" s="180"/>
      <c r="E1166" s="144"/>
      <c r="F1166" s="144"/>
    </row>
    <row r="1167" spans="3:6" x14ac:dyDescent="0.25">
      <c r="C1167" s="180"/>
      <c r="D1167" s="180"/>
      <c r="E1167" s="144"/>
      <c r="F1167" s="144"/>
    </row>
    <row r="1168" spans="3:6" x14ac:dyDescent="0.25">
      <c r="C1168" s="180"/>
      <c r="D1168" s="180"/>
      <c r="E1168" s="144"/>
      <c r="F1168" s="144"/>
    </row>
    <row r="1169" spans="3:6" x14ac:dyDescent="0.25">
      <c r="C1169" s="180"/>
      <c r="D1169" s="180"/>
      <c r="E1169" s="144"/>
      <c r="F1169" s="144"/>
    </row>
    <row r="1170" spans="3:6" x14ac:dyDescent="0.25">
      <c r="C1170" s="180"/>
      <c r="D1170" s="180"/>
      <c r="E1170" s="144"/>
      <c r="F1170" s="144"/>
    </row>
    <row r="1171" spans="3:6" x14ac:dyDescent="0.25">
      <c r="C1171" s="180"/>
      <c r="D1171" s="180"/>
      <c r="E1171" s="144"/>
      <c r="F1171" s="144"/>
    </row>
    <row r="1172" spans="3:6" x14ac:dyDescent="0.25">
      <c r="C1172" s="180"/>
      <c r="D1172" s="180"/>
      <c r="E1172" s="144"/>
      <c r="F1172" s="144"/>
    </row>
    <row r="1173" spans="3:6" x14ac:dyDescent="0.25">
      <c r="C1173" s="180"/>
      <c r="D1173" s="180"/>
      <c r="E1173" s="144"/>
      <c r="F1173" s="144"/>
    </row>
    <row r="1174" spans="3:6" x14ac:dyDescent="0.25">
      <c r="C1174" s="180"/>
      <c r="D1174" s="180"/>
      <c r="E1174" s="144"/>
      <c r="F1174" s="144"/>
    </row>
    <row r="1175" spans="3:6" x14ac:dyDescent="0.25">
      <c r="C1175" s="180"/>
      <c r="D1175" s="180"/>
      <c r="E1175" s="144"/>
      <c r="F1175" s="144"/>
    </row>
    <row r="1176" spans="3:6" x14ac:dyDescent="0.25">
      <c r="C1176" s="180"/>
      <c r="D1176" s="180"/>
      <c r="E1176" s="144"/>
      <c r="F1176" s="144"/>
    </row>
    <row r="1177" spans="3:6" x14ac:dyDescent="0.25">
      <c r="C1177" s="180"/>
      <c r="D1177" s="180"/>
      <c r="E1177" s="144"/>
      <c r="F1177" s="144"/>
    </row>
    <row r="1178" spans="3:6" x14ac:dyDescent="0.25">
      <c r="C1178" s="180"/>
      <c r="D1178" s="180"/>
      <c r="E1178" s="144"/>
      <c r="F1178" s="144"/>
    </row>
    <row r="1179" spans="3:6" x14ac:dyDescent="0.25">
      <c r="C1179" s="180"/>
      <c r="D1179" s="180"/>
      <c r="E1179" s="144"/>
      <c r="F1179" s="144"/>
    </row>
    <row r="1180" spans="3:6" x14ac:dyDescent="0.25">
      <c r="C1180" s="180"/>
      <c r="D1180" s="180"/>
      <c r="E1180" s="144"/>
      <c r="F1180" s="144"/>
    </row>
    <row r="1181" spans="3:6" x14ac:dyDescent="0.25">
      <c r="C1181" s="180"/>
      <c r="D1181" s="180"/>
      <c r="E1181" s="144"/>
      <c r="F1181" s="144"/>
    </row>
    <row r="1182" spans="3:6" x14ac:dyDescent="0.25">
      <c r="C1182" s="180"/>
      <c r="D1182" s="180"/>
      <c r="E1182" s="144"/>
      <c r="F1182" s="144"/>
    </row>
    <row r="1183" spans="3:6" x14ac:dyDescent="0.25">
      <c r="C1183" s="180"/>
      <c r="D1183" s="180"/>
      <c r="E1183" s="144"/>
      <c r="F1183" s="144"/>
    </row>
    <row r="1184" spans="3:6" x14ac:dyDescent="0.25">
      <c r="C1184" s="180"/>
      <c r="D1184" s="180"/>
      <c r="E1184" s="144"/>
      <c r="F1184" s="144"/>
    </row>
    <row r="1185" spans="3:6" x14ac:dyDescent="0.25">
      <c r="C1185" s="180"/>
      <c r="D1185" s="180"/>
      <c r="E1185" s="144"/>
      <c r="F1185" s="144"/>
    </row>
    <row r="1186" spans="3:6" x14ac:dyDescent="0.25">
      <c r="C1186" s="180"/>
      <c r="D1186" s="180"/>
      <c r="E1186" s="144"/>
      <c r="F1186" s="144"/>
    </row>
    <row r="1187" spans="3:6" x14ac:dyDescent="0.25">
      <c r="C1187" s="180"/>
      <c r="D1187" s="180"/>
      <c r="E1187" s="144"/>
      <c r="F1187" s="144"/>
    </row>
    <row r="1188" spans="3:6" x14ac:dyDescent="0.25">
      <c r="C1188" s="180"/>
      <c r="D1188" s="180"/>
      <c r="E1188" s="144"/>
      <c r="F1188" s="144"/>
    </row>
    <row r="1189" spans="3:6" x14ac:dyDescent="0.25">
      <c r="C1189" s="180"/>
      <c r="D1189" s="180"/>
      <c r="E1189" s="144"/>
      <c r="F1189" s="144"/>
    </row>
    <row r="1190" spans="3:6" x14ac:dyDescent="0.25">
      <c r="C1190" s="180"/>
      <c r="D1190" s="180"/>
      <c r="E1190" s="144"/>
      <c r="F1190" s="144"/>
    </row>
    <row r="1191" spans="3:6" x14ac:dyDescent="0.25">
      <c r="C1191" s="180"/>
      <c r="D1191" s="180"/>
      <c r="E1191" s="144"/>
      <c r="F1191" s="144"/>
    </row>
    <row r="1192" spans="3:6" x14ac:dyDescent="0.25">
      <c r="C1192" s="180"/>
      <c r="D1192" s="180"/>
      <c r="E1192" s="144"/>
      <c r="F1192" s="144"/>
    </row>
    <row r="1193" spans="3:6" x14ac:dyDescent="0.25">
      <c r="C1193" s="180"/>
      <c r="D1193" s="180"/>
      <c r="E1193" s="144"/>
      <c r="F1193" s="144"/>
    </row>
    <row r="1194" spans="3:6" x14ac:dyDescent="0.25">
      <c r="C1194" s="180"/>
      <c r="D1194" s="180"/>
      <c r="E1194" s="144"/>
      <c r="F1194" s="144"/>
    </row>
    <row r="1195" spans="3:6" x14ac:dyDescent="0.25">
      <c r="C1195" s="180"/>
      <c r="D1195" s="180"/>
      <c r="E1195" s="144"/>
      <c r="F1195" s="144"/>
    </row>
    <row r="1196" spans="3:6" x14ac:dyDescent="0.25">
      <c r="C1196" s="180"/>
      <c r="D1196" s="180"/>
      <c r="E1196" s="144"/>
      <c r="F1196" s="144"/>
    </row>
    <row r="1197" spans="3:6" x14ac:dyDescent="0.25">
      <c r="C1197" s="180"/>
      <c r="D1197" s="180"/>
      <c r="E1197" s="144"/>
      <c r="F1197" s="144"/>
    </row>
    <row r="1198" spans="3:6" x14ac:dyDescent="0.25">
      <c r="C1198" s="180"/>
      <c r="D1198" s="180"/>
      <c r="E1198" s="144"/>
      <c r="F1198" s="144"/>
    </row>
    <row r="1199" spans="3:6" x14ac:dyDescent="0.25">
      <c r="C1199" s="180"/>
      <c r="D1199" s="180"/>
      <c r="E1199" s="144"/>
      <c r="F1199" s="144"/>
    </row>
    <row r="1200" spans="3:6" x14ac:dyDescent="0.25">
      <c r="C1200" s="180"/>
      <c r="D1200" s="180"/>
      <c r="E1200" s="144"/>
      <c r="F1200" s="144"/>
    </row>
    <row r="1201" spans="3:6" x14ac:dyDescent="0.25">
      <c r="C1201" s="180"/>
      <c r="D1201" s="180"/>
      <c r="E1201" s="144"/>
      <c r="F1201" s="144"/>
    </row>
    <row r="1202" spans="3:6" x14ac:dyDescent="0.25">
      <c r="C1202" s="180"/>
      <c r="D1202" s="180"/>
      <c r="E1202" s="144"/>
      <c r="F1202" s="144"/>
    </row>
    <row r="1203" spans="3:6" x14ac:dyDescent="0.25">
      <c r="C1203" s="180"/>
      <c r="D1203" s="180"/>
      <c r="E1203" s="144"/>
      <c r="F1203" s="144"/>
    </row>
    <row r="1204" spans="3:6" x14ac:dyDescent="0.25">
      <c r="C1204" s="180"/>
      <c r="D1204" s="180"/>
      <c r="E1204" s="144"/>
      <c r="F1204" s="144"/>
    </row>
    <row r="1205" spans="3:6" x14ac:dyDescent="0.25">
      <c r="C1205" s="180"/>
      <c r="D1205" s="180"/>
      <c r="E1205" s="144"/>
      <c r="F1205" s="144"/>
    </row>
    <row r="1206" spans="3:6" x14ac:dyDescent="0.25">
      <c r="C1206" s="180"/>
      <c r="D1206" s="180"/>
      <c r="E1206" s="144"/>
      <c r="F1206" s="144"/>
    </row>
    <row r="1207" spans="3:6" x14ac:dyDescent="0.25">
      <c r="C1207" s="180"/>
      <c r="D1207" s="180"/>
      <c r="E1207" s="144"/>
      <c r="F1207" s="144"/>
    </row>
    <row r="1208" spans="3:6" x14ac:dyDescent="0.25">
      <c r="C1208" s="180"/>
      <c r="D1208" s="180"/>
      <c r="E1208" s="144"/>
      <c r="F1208" s="144"/>
    </row>
    <row r="1209" spans="3:6" x14ac:dyDescent="0.25">
      <c r="C1209" s="180"/>
      <c r="D1209" s="180"/>
      <c r="E1209" s="144"/>
      <c r="F1209" s="144"/>
    </row>
    <row r="1210" spans="3:6" x14ac:dyDescent="0.25">
      <c r="C1210" s="180"/>
      <c r="D1210" s="180"/>
      <c r="E1210" s="144"/>
      <c r="F1210" s="144"/>
    </row>
    <row r="1211" spans="3:6" x14ac:dyDescent="0.25">
      <c r="C1211" s="180"/>
      <c r="D1211" s="180"/>
      <c r="E1211" s="144"/>
      <c r="F1211" s="144"/>
    </row>
    <row r="1212" spans="3:6" x14ac:dyDescent="0.25">
      <c r="C1212" s="180"/>
      <c r="D1212" s="180"/>
      <c r="E1212" s="144"/>
      <c r="F1212" s="144"/>
    </row>
    <row r="1213" spans="3:6" x14ac:dyDescent="0.25">
      <c r="C1213" s="180"/>
      <c r="D1213" s="180"/>
      <c r="E1213" s="144"/>
      <c r="F1213" s="144"/>
    </row>
    <row r="1214" spans="3:6" x14ac:dyDescent="0.25">
      <c r="C1214" s="180"/>
      <c r="D1214" s="180"/>
      <c r="E1214" s="144"/>
      <c r="F1214" s="144"/>
    </row>
    <row r="1215" spans="3:6" x14ac:dyDescent="0.25">
      <c r="C1215" s="180"/>
      <c r="D1215" s="180"/>
      <c r="E1215" s="144"/>
      <c r="F1215" s="144"/>
    </row>
    <row r="1216" spans="3:6" x14ac:dyDescent="0.25">
      <c r="C1216" s="180"/>
      <c r="D1216" s="180"/>
      <c r="E1216" s="144"/>
      <c r="F1216" s="144"/>
    </row>
    <row r="1217" spans="3:6" x14ac:dyDescent="0.25">
      <c r="C1217" s="180"/>
      <c r="D1217" s="180"/>
      <c r="E1217" s="144"/>
      <c r="F1217" s="144"/>
    </row>
    <row r="1218" spans="3:6" x14ac:dyDescent="0.25">
      <c r="C1218" s="180"/>
      <c r="D1218" s="180"/>
      <c r="E1218" s="144"/>
      <c r="F1218" s="144"/>
    </row>
    <row r="1219" spans="3:6" x14ac:dyDescent="0.25">
      <c r="C1219" s="180"/>
      <c r="D1219" s="180"/>
      <c r="E1219" s="144"/>
      <c r="F1219" s="144"/>
    </row>
    <row r="1220" spans="3:6" x14ac:dyDescent="0.25">
      <c r="C1220" s="180"/>
      <c r="D1220" s="180"/>
      <c r="E1220" s="144"/>
      <c r="F1220" s="144"/>
    </row>
    <row r="1221" spans="3:6" x14ac:dyDescent="0.25">
      <c r="C1221" s="180"/>
      <c r="D1221" s="180"/>
      <c r="E1221" s="144"/>
      <c r="F1221" s="144"/>
    </row>
    <row r="1222" spans="3:6" x14ac:dyDescent="0.25">
      <c r="C1222" s="180"/>
      <c r="D1222" s="180"/>
      <c r="E1222" s="144"/>
      <c r="F1222" s="144"/>
    </row>
    <row r="1223" spans="3:6" x14ac:dyDescent="0.25">
      <c r="C1223" s="180"/>
      <c r="D1223" s="180"/>
      <c r="E1223" s="144"/>
      <c r="F1223" s="144"/>
    </row>
    <row r="1224" spans="3:6" x14ac:dyDescent="0.25">
      <c r="C1224" s="180"/>
      <c r="D1224" s="180"/>
      <c r="E1224" s="144"/>
      <c r="F1224" s="144"/>
    </row>
    <row r="1225" spans="3:6" x14ac:dyDescent="0.25">
      <c r="C1225" s="180"/>
      <c r="D1225" s="180"/>
      <c r="E1225" s="144"/>
      <c r="F1225" s="144"/>
    </row>
    <row r="1226" spans="3:6" x14ac:dyDescent="0.25">
      <c r="C1226" s="180"/>
      <c r="D1226" s="180"/>
      <c r="E1226" s="144"/>
      <c r="F1226" s="144"/>
    </row>
    <row r="1227" spans="3:6" x14ac:dyDescent="0.25">
      <c r="C1227" s="180"/>
      <c r="D1227" s="180"/>
      <c r="E1227" s="144"/>
      <c r="F1227" s="144"/>
    </row>
    <row r="1228" spans="3:6" x14ac:dyDescent="0.25">
      <c r="C1228" s="180"/>
      <c r="D1228" s="180"/>
      <c r="E1228" s="144"/>
      <c r="F1228" s="144"/>
    </row>
    <row r="1229" spans="3:6" x14ac:dyDescent="0.25">
      <c r="C1229" s="180"/>
      <c r="D1229" s="180"/>
      <c r="E1229" s="144"/>
      <c r="F1229" s="144"/>
    </row>
    <row r="1230" spans="3:6" x14ac:dyDescent="0.25">
      <c r="C1230" s="180"/>
      <c r="D1230" s="180"/>
      <c r="E1230" s="144"/>
      <c r="F1230" s="144"/>
    </row>
    <row r="1231" spans="3:6" x14ac:dyDescent="0.25">
      <c r="C1231" s="180"/>
      <c r="D1231" s="180"/>
      <c r="E1231" s="144"/>
      <c r="F1231" s="144"/>
    </row>
    <row r="1232" spans="3:6" x14ac:dyDescent="0.25">
      <c r="C1232" s="180"/>
      <c r="D1232" s="180"/>
      <c r="E1232" s="144"/>
      <c r="F1232" s="144"/>
    </row>
    <row r="1233" spans="3:6" x14ac:dyDescent="0.25">
      <c r="C1233" s="180"/>
      <c r="D1233" s="180"/>
      <c r="E1233" s="144"/>
      <c r="F1233" s="144"/>
    </row>
    <row r="1234" spans="3:6" x14ac:dyDescent="0.25">
      <c r="C1234" s="180"/>
      <c r="D1234" s="180"/>
      <c r="E1234" s="144"/>
      <c r="F1234" s="144"/>
    </row>
    <row r="1235" spans="3:6" x14ac:dyDescent="0.25">
      <c r="C1235" s="180"/>
      <c r="D1235" s="180"/>
      <c r="E1235" s="144"/>
      <c r="F1235" s="144"/>
    </row>
    <row r="1236" spans="3:6" x14ac:dyDescent="0.25">
      <c r="C1236" s="180"/>
      <c r="D1236" s="180"/>
      <c r="E1236" s="144"/>
      <c r="F1236" s="144"/>
    </row>
    <row r="1237" spans="3:6" x14ac:dyDescent="0.25">
      <c r="C1237" s="180"/>
      <c r="D1237" s="180"/>
      <c r="E1237" s="144"/>
      <c r="F1237" s="144"/>
    </row>
    <row r="1238" spans="3:6" x14ac:dyDescent="0.25">
      <c r="C1238" s="180"/>
      <c r="D1238" s="180"/>
      <c r="E1238" s="144"/>
      <c r="F1238" s="144"/>
    </row>
    <row r="1239" spans="3:6" x14ac:dyDescent="0.25">
      <c r="C1239" s="180"/>
      <c r="D1239" s="180"/>
      <c r="E1239" s="144"/>
      <c r="F1239" s="144"/>
    </row>
    <row r="1240" spans="3:6" x14ac:dyDescent="0.25">
      <c r="C1240" s="180"/>
      <c r="D1240" s="180"/>
      <c r="E1240" s="144"/>
      <c r="F1240" s="144"/>
    </row>
    <row r="1241" spans="3:6" x14ac:dyDescent="0.25">
      <c r="C1241" s="180"/>
      <c r="D1241" s="180"/>
      <c r="E1241" s="144"/>
      <c r="F1241" s="144"/>
    </row>
    <row r="1242" spans="3:6" x14ac:dyDescent="0.25">
      <c r="C1242" s="180"/>
      <c r="D1242" s="180"/>
      <c r="E1242" s="144"/>
      <c r="F1242" s="144"/>
    </row>
    <row r="1243" spans="3:6" x14ac:dyDescent="0.25">
      <c r="C1243" s="180"/>
      <c r="D1243" s="180"/>
      <c r="E1243" s="144"/>
      <c r="F1243" s="144"/>
    </row>
    <row r="1244" spans="3:6" x14ac:dyDescent="0.25">
      <c r="C1244" s="180"/>
      <c r="D1244" s="180"/>
      <c r="E1244" s="144"/>
      <c r="F1244" s="144"/>
    </row>
    <row r="1245" spans="3:6" x14ac:dyDescent="0.25">
      <c r="C1245" s="180"/>
      <c r="D1245" s="180"/>
      <c r="E1245" s="144"/>
      <c r="F1245" s="144"/>
    </row>
    <row r="1246" spans="3:6" x14ac:dyDescent="0.25">
      <c r="C1246" s="180"/>
      <c r="D1246" s="180"/>
      <c r="E1246" s="144"/>
      <c r="F1246" s="144"/>
    </row>
    <row r="1247" spans="3:6" x14ac:dyDescent="0.25">
      <c r="C1247" s="180"/>
      <c r="D1247" s="180"/>
      <c r="E1247" s="144"/>
      <c r="F1247" s="144"/>
    </row>
    <row r="1248" spans="3:6" x14ac:dyDescent="0.25">
      <c r="C1248" s="180"/>
      <c r="D1248" s="180"/>
      <c r="E1248" s="144"/>
      <c r="F1248" s="144"/>
    </row>
    <row r="1249" spans="3:6" x14ac:dyDescent="0.25">
      <c r="C1249" s="180"/>
      <c r="D1249" s="180"/>
      <c r="E1249" s="144"/>
      <c r="F1249" s="144"/>
    </row>
    <row r="1250" spans="3:6" x14ac:dyDescent="0.25">
      <c r="C1250" s="180"/>
      <c r="D1250" s="180"/>
      <c r="E1250" s="144"/>
      <c r="F1250" s="144"/>
    </row>
    <row r="1251" spans="3:6" x14ac:dyDescent="0.25">
      <c r="C1251" s="180"/>
      <c r="D1251" s="180"/>
      <c r="E1251" s="144"/>
      <c r="F1251" s="144"/>
    </row>
    <row r="1252" spans="3:6" x14ac:dyDescent="0.25">
      <c r="C1252" s="180"/>
      <c r="D1252" s="180"/>
      <c r="E1252" s="144"/>
      <c r="F1252" s="144"/>
    </row>
    <row r="1253" spans="3:6" x14ac:dyDescent="0.25">
      <c r="C1253" s="180"/>
      <c r="D1253" s="180"/>
      <c r="E1253" s="144"/>
      <c r="F1253" s="144"/>
    </row>
    <row r="1254" spans="3:6" x14ac:dyDescent="0.25">
      <c r="C1254" s="180"/>
      <c r="D1254" s="180"/>
      <c r="E1254" s="144"/>
      <c r="F1254" s="144"/>
    </row>
    <row r="1255" spans="3:6" x14ac:dyDescent="0.25">
      <c r="C1255" s="180"/>
      <c r="D1255" s="180"/>
      <c r="E1255" s="144"/>
      <c r="F1255" s="144"/>
    </row>
    <row r="1256" spans="3:6" x14ac:dyDescent="0.25">
      <c r="C1256" s="180"/>
      <c r="D1256" s="180"/>
      <c r="E1256" s="144"/>
      <c r="F1256" s="144"/>
    </row>
    <row r="1257" spans="3:6" x14ac:dyDescent="0.25">
      <c r="C1257" s="180"/>
      <c r="D1257" s="180"/>
      <c r="E1257" s="144"/>
      <c r="F1257" s="144"/>
    </row>
    <row r="1258" spans="3:6" x14ac:dyDescent="0.25">
      <c r="C1258" s="180"/>
      <c r="D1258" s="180"/>
      <c r="E1258" s="144"/>
      <c r="F1258" s="144"/>
    </row>
    <row r="1259" spans="3:6" x14ac:dyDescent="0.25">
      <c r="C1259" s="180"/>
      <c r="D1259" s="180"/>
      <c r="E1259" s="144"/>
      <c r="F1259" s="144"/>
    </row>
    <row r="1260" spans="3:6" x14ac:dyDescent="0.25">
      <c r="C1260" s="180"/>
      <c r="D1260" s="180"/>
      <c r="E1260" s="144"/>
      <c r="F1260" s="144"/>
    </row>
    <row r="1261" spans="3:6" x14ac:dyDescent="0.25">
      <c r="C1261" s="180"/>
      <c r="D1261" s="180"/>
      <c r="E1261" s="144"/>
      <c r="F1261" s="144"/>
    </row>
    <row r="1262" spans="3:6" x14ac:dyDescent="0.25">
      <c r="C1262" s="180"/>
      <c r="D1262" s="180"/>
      <c r="E1262" s="144"/>
      <c r="F1262" s="144"/>
    </row>
    <row r="1263" spans="3:6" x14ac:dyDescent="0.25">
      <c r="C1263" s="180"/>
      <c r="D1263" s="180"/>
      <c r="E1263" s="144"/>
      <c r="F1263" s="144"/>
    </row>
    <row r="1264" spans="3:6" x14ac:dyDescent="0.25">
      <c r="C1264" s="180"/>
      <c r="D1264" s="180"/>
      <c r="E1264" s="144"/>
      <c r="F1264" s="144"/>
    </row>
    <row r="1265" spans="3:6" x14ac:dyDescent="0.25">
      <c r="C1265" s="180"/>
      <c r="D1265" s="180"/>
      <c r="E1265" s="144"/>
      <c r="F1265" s="144"/>
    </row>
    <row r="1266" spans="3:6" x14ac:dyDescent="0.25">
      <c r="C1266" s="180"/>
      <c r="D1266" s="180"/>
      <c r="E1266" s="144"/>
      <c r="F1266" s="144"/>
    </row>
    <row r="1267" spans="3:6" x14ac:dyDescent="0.25">
      <c r="C1267" s="180"/>
      <c r="D1267" s="180"/>
      <c r="E1267" s="144"/>
      <c r="F1267" s="144"/>
    </row>
    <row r="1268" spans="3:6" x14ac:dyDescent="0.25">
      <c r="C1268" s="180"/>
      <c r="D1268" s="180"/>
      <c r="E1268" s="144"/>
      <c r="F1268" s="144"/>
    </row>
    <row r="1269" spans="3:6" x14ac:dyDescent="0.25">
      <c r="C1269" s="180"/>
      <c r="D1269" s="180"/>
      <c r="E1269" s="144"/>
      <c r="F1269" s="144"/>
    </row>
    <row r="1270" spans="3:6" x14ac:dyDescent="0.25">
      <c r="C1270" s="180"/>
      <c r="D1270" s="180"/>
      <c r="E1270" s="144"/>
      <c r="F1270" s="144"/>
    </row>
    <row r="1271" spans="3:6" x14ac:dyDescent="0.25">
      <c r="C1271" s="180"/>
      <c r="D1271" s="180"/>
      <c r="E1271" s="144"/>
      <c r="F1271" s="144"/>
    </row>
    <row r="1272" spans="3:6" x14ac:dyDescent="0.25">
      <c r="C1272" s="180"/>
      <c r="D1272" s="180"/>
      <c r="E1272" s="144"/>
      <c r="F1272" s="144"/>
    </row>
    <row r="1273" spans="3:6" x14ac:dyDescent="0.25">
      <c r="C1273" s="180"/>
      <c r="D1273" s="180"/>
      <c r="E1273" s="144"/>
      <c r="F1273" s="144"/>
    </row>
    <row r="1274" spans="3:6" x14ac:dyDescent="0.25">
      <c r="C1274" s="180"/>
      <c r="D1274" s="180"/>
      <c r="E1274" s="144"/>
      <c r="F1274" s="144"/>
    </row>
    <row r="1275" spans="3:6" x14ac:dyDescent="0.25">
      <c r="C1275" s="180"/>
      <c r="D1275" s="180"/>
      <c r="E1275" s="144"/>
      <c r="F1275" s="144"/>
    </row>
    <row r="1276" spans="3:6" x14ac:dyDescent="0.25">
      <c r="C1276" s="180"/>
      <c r="D1276" s="180"/>
      <c r="E1276" s="144"/>
      <c r="F1276" s="144"/>
    </row>
    <row r="1277" spans="3:6" x14ac:dyDescent="0.25">
      <c r="C1277" s="180"/>
      <c r="D1277" s="180"/>
      <c r="E1277" s="144"/>
      <c r="F1277" s="144"/>
    </row>
    <row r="1278" spans="3:6" x14ac:dyDescent="0.25">
      <c r="C1278" s="180"/>
      <c r="D1278" s="180"/>
      <c r="E1278" s="144"/>
      <c r="F1278" s="144"/>
    </row>
    <row r="1279" spans="3:6" x14ac:dyDescent="0.25">
      <c r="C1279" s="180"/>
      <c r="D1279" s="180"/>
      <c r="E1279" s="144"/>
      <c r="F1279" s="144"/>
    </row>
    <row r="1280" spans="3:6" x14ac:dyDescent="0.25">
      <c r="C1280" s="180"/>
      <c r="D1280" s="180"/>
      <c r="E1280" s="144"/>
      <c r="F1280" s="144"/>
    </row>
    <row r="1281" spans="3:6" x14ac:dyDescent="0.25">
      <c r="C1281" s="180"/>
      <c r="D1281" s="180"/>
      <c r="E1281" s="144"/>
      <c r="F1281" s="144"/>
    </row>
    <row r="1282" spans="3:6" x14ac:dyDescent="0.25">
      <c r="C1282" s="180"/>
      <c r="D1282" s="180"/>
      <c r="E1282" s="144"/>
      <c r="F1282" s="144"/>
    </row>
    <row r="1283" spans="3:6" x14ac:dyDescent="0.25">
      <c r="C1283" s="180"/>
      <c r="D1283" s="180"/>
      <c r="E1283" s="144"/>
      <c r="F1283" s="144"/>
    </row>
    <row r="1284" spans="3:6" x14ac:dyDescent="0.25">
      <c r="C1284" s="180"/>
      <c r="D1284" s="180"/>
      <c r="E1284" s="144"/>
      <c r="F1284" s="144"/>
    </row>
    <row r="1285" spans="3:6" x14ac:dyDescent="0.25">
      <c r="C1285" s="180"/>
      <c r="D1285" s="180"/>
      <c r="E1285" s="144"/>
      <c r="F1285" s="144"/>
    </row>
    <row r="1286" spans="3:6" x14ac:dyDescent="0.25">
      <c r="C1286" s="180"/>
      <c r="D1286" s="180"/>
      <c r="E1286" s="144"/>
      <c r="F1286" s="144"/>
    </row>
    <row r="1287" spans="3:6" x14ac:dyDescent="0.25">
      <c r="C1287" s="180"/>
      <c r="D1287" s="180"/>
      <c r="E1287" s="144"/>
      <c r="F1287" s="144"/>
    </row>
    <row r="1288" spans="3:6" x14ac:dyDescent="0.25">
      <c r="C1288" s="180"/>
      <c r="D1288" s="180"/>
      <c r="E1288" s="144"/>
      <c r="F1288" s="144"/>
    </row>
    <row r="1289" spans="3:6" x14ac:dyDescent="0.25">
      <c r="C1289" s="180"/>
      <c r="D1289" s="180"/>
      <c r="E1289" s="144"/>
      <c r="F1289" s="144"/>
    </row>
    <row r="1290" spans="3:6" x14ac:dyDescent="0.25">
      <c r="C1290" s="180"/>
      <c r="D1290" s="180"/>
      <c r="E1290" s="144"/>
      <c r="F1290" s="144"/>
    </row>
    <row r="1291" spans="3:6" x14ac:dyDescent="0.25">
      <c r="C1291" s="180"/>
      <c r="D1291" s="180"/>
      <c r="E1291" s="144"/>
      <c r="F1291" s="144"/>
    </row>
    <row r="1292" spans="3:6" x14ac:dyDescent="0.25">
      <c r="C1292" s="180"/>
      <c r="D1292" s="180"/>
      <c r="E1292" s="144"/>
      <c r="F1292" s="144"/>
    </row>
    <row r="1293" spans="3:6" x14ac:dyDescent="0.25">
      <c r="C1293" s="180"/>
      <c r="D1293" s="180"/>
      <c r="E1293" s="144"/>
      <c r="F1293" s="144"/>
    </row>
    <row r="1294" spans="3:6" x14ac:dyDescent="0.25">
      <c r="C1294" s="180"/>
      <c r="D1294" s="180"/>
      <c r="E1294" s="144"/>
      <c r="F1294" s="144"/>
    </row>
    <row r="1295" spans="3:6" x14ac:dyDescent="0.25">
      <c r="C1295" s="180"/>
      <c r="D1295" s="180"/>
      <c r="E1295" s="144"/>
      <c r="F1295" s="144"/>
    </row>
    <row r="1296" spans="3:6" x14ac:dyDescent="0.25">
      <c r="C1296" s="180"/>
      <c r="D1296" s="180"/>
      <c r="E1296" s="144"/>
      <c r="F1296" s="144"/>
    </row>
    <row r="1297" spans="3:6" x14ac:dyDescent="0.25">
      <c r="C1297" s="180"/>
      <c r="D1297" s="180"/>
      <c r="E1297" s="144"/>
      <c r="F1297" s="144"/>
    </row>
    <row r="1298" spans="3:6" x14ac:dyDescent="0.25">
      <c r="C1298" s="180"/>
      <c r="D1298" s="180"/>
      <c r="E1298" s="144"/>
      <c r="F1298" s="144"/>
    </row>
    <row r="1299" spans="3:6" x14ac:dyDescent="0.25">
      <c r="C1299" s="180"/>
      <c r="D1299" s="180"/>
      <c r="E1299" s="144"/>
      <c r="F1299" s="144"/>
    </row>
    <row r="1300" spans="3:6" x14ac:dyDescent="0.25">
      <c r="C1300" s="180"/>
      <c r="D1300" s="180"/>
      <c r="E1300" s="144"/>
      <c r="F1300" s="144"/>
    </row>
    <row r="1301" spans="3:6" x14ac:dyDescent="0.25">
      <c r="C1301" s="180"/>
      <c r="D1301" s="180"/>
      <c r="E1301" s="144"/>
      <c r="F1301" s="144"/>
    </row>
    <row r="1302" spans="3:6" x14ac:dyDescent="0.25">
      <c r="C1302" s="180"/>
      <c r="D1302" s="180"/>
      <c r="E1302" s="144"/>
      <c r="F1302" s="144"/>
    </row>
    <row r="1303" spans="3:6" x14ac:dyDescent="0.25">
      <c r="C1303" s="180"/>
      <c r="D1303" s="180"/>
      <c r="E1303" s="144"/>
      <c r="F1303" s="144"/>
    </row>
    <row r="1304" spans="3:6" x14ac:dyDescent="0.25">
      <c r="C1304" s="180"/>
      <c r="D1304" s="180"/>
      <c r="E1304" s="144"/>
      <c r="F1304" s="144"/>
    </row>
    <row r="1305" spans="3:6" x14ac:dyDescent="0.25">
      <c r="C1305" s="180"/>
      <c r="D1305" s="180"/>
      <c r="E1305" s="144"/>
      <c r="F1305" s="144"/>
    </row>
    <row r="1306" spans="3:6" x14ac:dyDescent="0.25">
      <c r="C1306" s="180"/>
      <c r="D1306" s="180"/>
      <c r="E1306" s="144"/>
      <c r="F1306" s="144"/>
    </row>
    <row r="1307" spans="3:6" x14ac:dyDescent="0.25">
      <c r="C1307" s="180"/>
      <c r="D1307" s="180"/>
      <c r="E1307" s="144"/>
      <c r="F1307" s="144"/>
    </row>
    <row r="1308" spans="3:6" x14ac:dyDescent="0.25">
      <c r="C1308" s="180"/>
      <c r="D1308" s="180"/>
      <c r="E1308" s="144"/>
      <c r="F1308" s="144"/>
    </row>
    <row r="1309" spans="3:6" x14ac:dyDescent="0.25">
      <c r="C1309" s="180"/>
      <c r="D1309" s="180"/>
      <c r="E1309" s="144"/>
      <c r="F1309" s="144"/>
    </row>
    <row r="1310" spans="3:6" x14ac:dyDescent="0.25">
      <c r="C1310" s="180"/>
      <c r="D1310" s="180"/>
      <c r="E1310" s="144"/>
      <c r="F1310" s="144"/>
    </row>
    <row r="1311" spans="3:6" x14ac:dyDescent="0.25">
      <c r="C1311" s="180"/>
      <c r="D1311" s="180"/>
      <c r="E1311" s="144"/>
      <c r="F1311" s="144"/>
    </row>
    <row r="1312" spans="3:6" x14ac:dyDescent="0.25">
      <c r="C1312" s="180"/>
      <c r="D1312" s="180"/>
      <c r="E1312" s="144"/>
      <c r="F1312" s="144"/>
    </row>
    <row r="1313" spans="3:6" x14ac:dyDescent="0.25">
      <c r="C1313" s="180"/>
      <c r="D1313" s="180"/>
      <c r="E1313" s="144"/>
      <c r="F1313" s="144"/>
    </row>
    <row r="1314" spans="3:6" x14ac:dyDescent="0.25">
      <c r="C1314" s="180"/>
      <c r="D1314" s="180"/>
      <c r="E1314" s="144"/>
      <c r="F1314" s="144"/>
    </row>
    <row r="1315" spans="3:6" x14ac:dyDescent="0.25">
      <c r="C1315" s="180"/>
      <c r="D1315" s="180"/>
      <c r="E1315" s="144"/>
      <c r="F1315" s="144"/>
    </row>
    <row r="1316" spans="3:6" x14ac:dyDescent="0.25">
      <c r="C1316" s="180"/>
      <c r="D1316" s="180"/>
      <c r="E1316" s="144"/>
      <c r="F1316" s="144"/>
    </row>
    <row r="1317" spans="3:6" x14ac:dyDescent="0.25">
      <c r="C1317" s="180"/>
      <c r="D1317" s="180"/>
      <c r="E1317" s="144"/>
      <c r="F1317" s="144"/>
    </row>
    <row r="1318" spans="3:6" x14ac:dyDescent="0.25">
      <c r="C1318" s="180"/>
      <c r="D1318" s="180"/>
      <c r="E1318" s="144"/>
      <c r="F1318" s="144"/>
    </row>
    <row r="1319" spans="3:6" x14ac:dyDescent="0.25">
      <c r="C1319" s="180"/>
      <c r="D1319" s="180"/>
      <c r="E1319" s="144"/>
      <c r="F1319" s="144"/>
    </row>
    <row r="1320" spans="3:6" x14ac:dyDescent="0.25">
      <c r="C1320" s="180"/>
      <c r="D1320" s="180"/>
      <c r="E1320" s="144"/>
      <c r="F1320" s="144"/>
    </row>
    <row r="1321" spans="3:6" x14ac:dyDescent="0.25">
      <c r="C1321" s="180"/>
      <c r="D1321" s="180"/>
      <c r="E1321" s="144"/>
      <c r="F1321" s="144"/>
    </row>
    <row r="1322" spans="3:6" x14ac:dyDescent="0.25">
      <c r="C1322" s="180"/>
      <c r="D1322" s="180"/>
      <c r="E1322" s="144"/>
      <c r="F1322" s="144"/>
    </row>
    <row r="1323" spans="3:6" x14ac:dyDescent="0.25">
      <c r="C1323" s="180"/>
      <c r="D1323" s="180"/>
      <c r="E1323" s="144"/>
      <c r="F1323" s="144"/>
    </row>
    <row r="1324" spans="3:6" x14ac:dyDescent="0.25">
      <c r="C1324" s="180"/>
      <c r="D1324" s="180"/>
      <c r="E1324" s="144"/>
      <c r="F1324" s="144"/>
    </row>
    <row r="1325" spans="3:6" x14ac:dyDescent="0.25">
      <c r="C1325" s="180"/>
      <c r="D1325" s="180"/>
      <c r="E1325" s="144"/>
      <c r="F1325" s="144"/>
    </row>
    <row r="1326" spans="3:6" x14ac:dyDescent="0.25">
      <c r="C1326" s="180"/>
      <c r="D1326" s="180"/>
      <c r="E1326" s="144"/>
      <c r="F1326" s="144"/>
    </row>
    <row r="1327" spans="3:6" x14ac:dyDescent="0.25">
      <c r="C1327" s="180"/>
      <c r="D1327" s="180"/>
      <c r="E1327" s="144"/>
      <c r="F1327" s="144"/>
    </row>
    <row r="1328" spans="3:6" x14ac:dyDescent="0.25">
      <c r="C1328" s="180"/>
      <c r="D1328" s="180"/>
      <c r="E1328" s="144"/>
      <c r="F1328" s="144"/>
    </row>
    <row r="1329" spans="3:6" x14ac:dyDescent="0.25">
      <c r="C1329" s="180"/>
      <c r="D1329" s="180"/>
      <c r="E1329" s="144"/>
      <c r="F1329" s="144"/>
    </row>
    <row r="1330" spans="3:6" x14ac:dyDescent="0.25">
      <c r="C1330" s="180"/>
      <c r="D1330" s="180"/>
      <c r="E1330" s="144"/>
      <c r="F1330" s="144"/>
    </row>
    <row r="1331" spans="3:6" x14ac:dyDescent="0.25">
      <c r="C1331" s="180"/>
      <c r="D1331" s="180"/>
      <c r="E1331" s="144"/>
      <c r="F1331" s="144"/>
    </row>
    <row r="1332" spans="3:6" x14ac:dyDescent="0.25">
      <c r="C1332" s="180"/>
      <c r="D1332" s="180"/>
      <c r="E1332" s="144"/>
      <c r="F1332" s="144"/>
    </row>
    <row r="1333" spans="3:6" x14ac:dyDescent="0.25">
      <c r="C1333" s="180"/>
      <c r="D1333" s="180"/>
      <c r="E1333" s="144"/>
      <c r="F1333" s="144"/>
    </row>
    <row r="1334" spans="3:6" x14ac:dyDescent="0.25">
      <c r="C1334" s="180"/>
      <c r="D1334" s="180"/>
      <c r="E1334" s="144"/>
      <c r="F1334" s="144"/>
    </row>
    <row r="1335" spans="3:6" x14ac:dyDescent="0.25">
      <c r="C1335" s="180"/>
      <c r="D1335" s="180"/>
      <c r="E1335" s="144"/>
      <c r="F1335" s="144"/>
    </row>
    <row r="1336" spans="3:6" x14ac:dyDescent="0.25">
      <c r="C1336" s="180"/>
      <c r="D1336" s="180"/>
      <c r="E1336" s="144"/>
      <c r="F1336" s="144"/>
    </row>
    <row r="1337" spans="3:6" x14ac:dyDescent="0.25">
      <c r="C1337" s="180"/>
      <c r="D1337" s="180"/>
      <c r="E1337" s="144"/>
      <c r="F1337" s="144"/>
    </row>
    <row r="1338" spans="3:6" x14ac:dyDescent="0.25">
      <c r="C1338" s="180"/>
      <c r="D1338" s="180"/>
      <c r="E1338" s="144"/>
      <c r="F1338" s="144"/>
    </row>
    <row r="1339" spans="3:6" x14ac:dyDescent="0.25">
      <c r="C1339" s="180"/>
      <c r="D1339" s="180"/>
      <c r="E1339" s="144"/>
      <c r="F1339" s="144"/>
    </row>
    <row r="1340" spans="3:6" x14ac:dyDescent="0.25">
      <c r="C1340" s="180"/>
      <c r="D1340" s="180"/>
      <c r="E1340" s="144"/>
      <c r="F1340" s="144"/>
    </row>
    <row r="1341" spans="3:6" x14ac:dyDescent="0.25">
      <c r="C1341" s="180"/>
      <c r="D1341" s="180"/>
      <c r="E1341" s="144"/>
      <c r="F1341" s="144"/>
    </row>
    <row r="1342" spans="3:6" x14ac:dyDescent="0.25">
      <c r="C1342" s="180"/>
      <c r="D1342" s="180"/>
      <c r="E1342" s="144"/>
      <c r="F1342" s="144"/>
    </row>
    <row r="1343" spans="3:6" x14ac:dyDescent="0.25">
      <c r="C1343" s="180"/>
      <c r="D1343" s="180"/>
      <c r="E1343" s="144"/>
      <c r="F1343" s="144"/>
    </row>
    <row r="1344" spans="3:6" x14ac:dyDescent="0.25">
      <c r="C1344" s="180"/>
      <c r="D1344" s="180"/>
      <c r="E1344" s="144"/>
      <c r="F1344" s="144"/>
    </row>
    <row r="1345" spans="3:6" x14ac:dyDescent="0.25">
      <c r="C1345" s="180"/>
      <c r="D1345" s="180"/>
      <c r="E1345" s="144"/>
      <c r="F1345" s="144"/>
    </row>
    <row r="1346" spans="3:6" x14ac:dyDescent="0.25">
      <c r="C1346" s="180"/>
      <c r="D1346" s="180"/>
      <c r="E1346" s="144"/>
      <c r="F1346" s="144"/>
    </row>
    <row r="1347" spans="3:6" x14ac:dyDescent="0.25">
      <c r="C1347" s="180"/>
      <c r="D1347" s="180"/>
      <c r="E1347" s="144"/>
      <c r="F1347" s="144"/>
    </row>
    <row r="1348" spans="3:6" x14ac:dyDescent="0.25">
      <c r="C1348" s="180"/>
      <c r="D1348" s="180"/>
      <c r="E1348" s="144"/>
      <c r="F1348" s="144"/>
    </row>
    <row r="1349" spans="3:6" x14ac:dyDescent="0.25">
      <c r="C1349" s="180"/>
      <c r="D1349" s="180"/>
      <c r="E1349" s="144"/>
      <c r="F1349" s="144"/>
    </row>
    <row r="1350" spans="3:6" x14ac:dyDescent="0.25">
      <c r="C1350" s="180"/>
      <c r="D1350" s="180"/>
      <c r="E1350" s="144"/>
      <c r="F1350" s="144"/>
    </row>
    <row r="1351" spans="3:6" x14ac:dyDescent="0.25">
      <c r="C1351" s="180"/>
      <c r="D1351" s="180"/>
      <c r="E1351" s="144"/>
      <c r="F1351" s="144"/>
    </row>
    <row r="1352" spans="3:6" x14ac:dyDescent="0.25">
      <c r="C1352" s="180"/>
      <c r="D1352" s="180"/>
      <c r="E1352" s="144"/>
      <c r="F1352" s="144"/>
    </row>
    <row r="1353" spans="3:6" x14ac:dyDescent="0.25">
      <c r="C1353" s="180"/>
      <c r="D1353" s="180"/>
      <c r="E1353" s="144"/>
      <c r="F1353" s="144"/>
    </row>
    <row r="1354" spans="3:6" x14ac:dyDescent="0.25">
      <c r="C1354" s="180"/>
      <c r="D1354" s="180"/>
      <c r="E1354" s="144"/>
      <c r="F1354" s="144"/>
    </row>
    <row r="1355" spans="3:6" x14ac:dyDescent="0.25">
      <c r="C1355" s="180"/>
      <c r="D1355" s="180"/>
      <c r="E1355" s="144"/>
      <c r="F1355" s="144"/>
    </row>
    <row r="1356" spans="3:6" x14ac:dyDescent="0.25">
      <c r="C1356" s="180"/>
      <c r="D1356" s="180"/>
      <c r="E1356" s="144"/>
      <c r="F1356" s="144"/>
    </row>
    <row r="1357" spans="3:6" x14ac:dyDescent="0.25">
      <c r="C1357" s="180"/>
      <c r="D1357" s="180"/>
      <c r="E1357" s="144"/>
      <c r="F1357" s="144"/>
    </row>
    <row r="1358" spans="3:6" x14ac:dyDescent="0.25">
      <c r="C1358" s="180"/>
      <c r="D1358" s="180"/>
      <c r="E1358" s="144"/>
      <c r="F1358" s="144"/>
    </row>
    <row r="1359" spans="3:6" x14ac:dyDescent="0.25">
      <c r="C1359" s="180"/>
      <c r="D1359" s="180"/>
      <c r="E1359" s="144"/>
      <c r="F1359" s="144"/>
    </row>
    <row r="1360" spans="3:6" x14ac:dyDescent="0.25">
      <c r="C1360" s="180"/>
      <c r="D1360" s="180"/>
      <c r="E1360" s="144"/>
      <c r="F1360" s="144"/>
    </row>
    <row r="1361" spans="3:6" x14ac:dyDescent="0.25">
      <c r="C1361" s="180"/>
      <c r="D1361" s="180"/>
      <c r="E1361" s="144"/>
      <c r="F1361" s="144"/>
    </row>
    <row r="1362" spans="3:6" x14ac:dyDescent="0.25">
      <c r="C1362" s="180"/>
      <c r="D1362" s="180"/>
      <c r="E1362" s="144"/>
      <c r="F1362" s="144"/>
    </row>
    <row r="1363" spans="3:6" x14ac:dyDescent="0.25">
      <c r="C1363" s="180"/>
      <c r="D1363" s="180"/>
      <c r="E1363" s="144"/>
      <c r="F1363" s="144"/>
    </row>
    <row r="1364" spans="3:6" x14ac:dyDescent="0.25">
      <c r="C1364" s="180"/>
      <c r="D1364" s="180"/>
      <c r="E1364" s="144"/>
      <c r="F1364" s="144"/>
    </row>
    <row r="1365" spans="3:6" x14ac:dyDescent="0.25">
      <c r="C1365" s="180"/>
      <c r="D1365" s="180"/>
      <c r="E1365" s="144"/>
      <c r="F1365" s="144"/>
    </row>
    <row r="1366" spans="3:6" x14ac:dyDescent="0.25">
      <c r="C1366" s="180"/>
      <c r="D1366" s="180"/>
      <c r="E1366" s="144"/>
      <c r="F1366" s="144"/>
    </row>
    <row r="1367" spans="3:6" x14ac:dyDescent="0.25">
      <c r="C1367" s="180"/>
      <c r="D1367" s="180"/>
      <c r="E1367" s="144"/>
      <c r="F1367" s="144"/>
    </row>
    <row r="1368" spans="3:6" x14ac:dyDescent="0.25">
      <c r="C1368" s="180"/>
      <c r="D1368" s="180"/>
      <c r="E1368" s="144"/>
      <c r="F1368" s="144"/>
    </row>
    <row r="1369" spans="3:6" x14ac:dyDescent="0.25">
      <c r="C1369" s="180"/>
      <c r="D1369" s="180"/>
      <c r="E1369" s="144"/>
      <c r="F1369" s="144"/>
    </row>
    <row r="1370" spans="3:6" x14ac:dyDescent="0.25">
      <c r="C1370" s="180"/>
      <c r="D1370" s="180"/>
      <c r="E1370" s="144"/>
      <c r="F1370" s="144"/>
    </row>
    <row r="1371" spans="3:6" x14ac:dyDescent="0.25">
      <c r="C1371" s="180"/>
      <c r="D1371" s="180"/>
      <c r="E1371" s="144"/>
      <c r="F1371" s="144"/>
    </row>
    <row r="1372" spans="3:6" x14ac:dyDescent="0.25">
      <c r="C1372" s="180"/>
      <c r="D1372" s="180"/>
      <c r="E1372" s="144"/>
      <c r="F1372" s="144"/>
    </row>
    <row r="1373" spans="3:6" x14ac:dyDescent="0.25">
      <c r="C1373" s="180"/>
      <c r="D1373" s="180"/>
      <c r="E1373" s="144"/>
      <c r="F1373" s="144"/>
    </row>
    <row r="1374" spans="3:6" x14ac:dyDescent="0.25">
      <c r="C1374" s="180"/>
      <c r="D1374" s="180"/>
      <c r="E1374" s="144"/>
      <c r="F1374" s="144"/>
    </row>
    <row r="1375" spans="3:6" x14ac:dyDescent="0.25">
      <c r="C1375" s="180"/>
      <c r="D1375" s="180"/>
      <c r="E1375" s="144"/>
      <c r="F1375" s="144"/>
    </row>
    <row r="1376" spans="3:6" x14ac:dyDescent="0.25">
      <c r="C1376" s="180"/>
      <c r="D1376" s="180"/>
      <c r="E1376" s="144"/>
      <c r="F1376" s="144"/>
    </row>
    <row r="1377" spans="3:6" x14ac:dyDescent="0.25">
      <c r="C1377" s="180"/>
      <c r="D1377" s="180"/>
      <c r="E1377" s="144"/>
      <c r="F1377" s="144"/>
    </row>
    <row r="1378" spans="3:6" x14ac:dyDescent="0.25">
      <c r="C1378" s="180"/>
      <c r="D1378" s="180"/>
      <c r="E1378" s="144"/>
      <c r="F1378" s="144"/>
    </row>
    <row r="1379" spans="3:6" x14ac:dyDescent="0.25">
      <c r="C1379" s="180"/>
      <c r="D1379" s="180"/>
      <c r="E1379" s="144"/>
      <c r="F1379" s="144"/>
    </row>
    <row r="1380" spans="3:6" x14ac:dyDescent="0.25">
      <c r="C1380" s="180"/>
      <c r="D1380" s="180"/>
      <c r="E1380" s="144"/>
      <c r="F1380" s="144"/>
    </row>
    <row r="1381" spans="3:6" x14ac:dyDescent="0.25">
      <c r="C1381" s="180"/>
      <c r="D1381" s="180"/>
      <c r="E1381" s="144"/>
      <c r="F1381" s="144"/>
    </row>
    <row r="1382" spans="3:6" x14ac:dyDescent="0.25">
      <c r="C1382" s="180"/>
      <c r="D1382" s="180"/>
      <c r="E1382" s="144"/>
      <c r="F1382" s="144"/>
    </row>
    <row r="1383" spans="3:6" x14ac:dyDescent="0.25">
      <c r="C1383" s="180"/>
      <c r="D1383" s="180"/>
      <c r="E1383" s="144"/>
      <c r="F1383" s="144"/>
    </row>
    <row r="1384" spans="3:6" x14ac:dyDescent="0.25">
      <c r="C1384" s="180"/>
      <c r="D1384" s="180"/>
      <c r="E1384" s="144"/>
      <c r="F1384" s="144"/>
    </row>
    <row r="1385" spans="3:6" x14ac:dyDescent="0.25">
      <c r="C1385" s="180"/>
      <c r="D1385" s="180"/>
      <c r="E1385" s="144"/>
      <c r="F1385" s="144"/>
    </row>
    <row r="1386" spans="3:6" x14ac:dyDescent="0.25">
      <c r="C1386" s="180"/>
      <c r="D1386" s="180"/>
      <c r="E1386" s="144"/>
      <c r="F1386" s="144"/>
    </row>
    <row r="1387" spans="3:6" x14ac:dyDescent="0.25">
      <c r="C1387" s="180"/>
      <c r="D1387" s="180"/>
      <c r="E1387" s="144"/>
      <c r="F1387" s="144"/>
    </row>
    <row r="1388" spans="3:6" x14ac:dyDescent="0.25">
      <c r="C1388" s="180"/>
      <c r="D1388" s="180"/>
      <c r="E1388" s="144"/>
      <c r="F1388" s="144"/>
    </row>
    <row r="1389" spans="3:6" x14ac:dyDescent="0.25">
      <c r="C1389" s="180"/>
      <c r="D1389" s="180"/>
      <c r="E1389" s="144"/>
      <c r="F1389" s="144"/>
    </row>
    <row r="1390" spans="3:6" x14ac:dyDescent="0.25">
      <c r="C1390" s="180"/>
      <c r="D1390" s="180"/>
      <c r="E1390" s="144"/>
      <c r="F1390" s="144"/>
    </row>
    <row r="1391" spans="3:6" x14ac:dyDescent="0.25">
      <c r="C1391" s="180"/>
      <c r="D1391" s="180"/>
      <c r="E1391" s="144"/>
      <c r="F1391" s="144"/>
    </row>
    <row r="1392" spans="3:6" x14ac:dyDescent="0.25">
      <c r="C1392" s="180"/>
      <c r="D1392" s="180"/>
      <c r="E1392" s="144"/>
      <c r="F1392" s="144"/>
    </row>
    <row r="1393" spans="3:6" x14ac:dyDescent="0.25">
      <c r="C1393" s="180"/>
      <c r="D1393" s="180"/>
      <c r="E1393" s="144"/>
      <c r="F1393" s="144"/>
    </row>
    <row r="1394" spans="3:6" x14ac:dyDescent="0.25">
      <c r="C1394" s="180"/>
      <c r="D1394" s="180"/>
      <c r="E1394" s="144"/>
      <c r="F1394" s="144"/>
    </row>
    <row r="1395" spans="3:6" x14ac:dyDescent="0.25">
      <c r="C1395" s="180"/>
      <c r="D1395" s="180"/>
      <c r="E1395" s="144"/>
      <c r="F1395" s="144"/>
    </row>
    <row r="1396" spans="3:6" x14ac:dyDescent="0.25">
      <c r="C1396" s="180"/>
      <c r="D1396" s="180"/>
      <c r="E1396" s="144"/>
      <c r="F1396" s="144"/>
    </row>
    <row r="1397" spans="3:6" x14ac:dyDescent="0.25">
      <c r="C1397" s="180"/>
      <c r="D1397" s="180"/>
      <c r="E1397" s="144"/>
      <c r="F1397" s="144"/>
    </row>
    <row r="1398" spans="3:6" x14ac:dyDescent="0.25">
      <c r="C1398" s="180"/>
      <c r="D1398" s="180"/>
      <c r="E1398" s="144"/>
      <c r="F1398" s="144"/>
    </row>
    <row r="1399" spans="3:6" x14ac:dyDescent="0.25">
      <c r="C1399" s="180"/>
      <c r="D1399" s="180"/>
      <c r="E1399" s="144"/>
      <c r="F1399" s="144"/>
    </row>
    <row r="1400" spans="3:6" x14ac:dyDescent="0.25">
      <c r="C1400" s="180"/>
      <c r="D1400" s="180"/>
      <c r="E1400" s="144"/>
      <c r="F1400" s="144"/>
    </row>
    <row r="1401" spans="3:6" x14ac:dyDescent="0.25">
      <c r="C1401" s="180"/>
      <c r="D1401" s="180"/>
      <c r="E1401" s="144"/>
      <c r="F1401" s="144"/>
    </row>
    <row r="1402" spans="3:6" x14ac:dyDescent="0.25">
      <c r="C1402" s="180"/>
      <c r="D1402" s="180"/>
      <c r="E1402" s="144"/>
      <c r="F1402" s="144"/>
    </row>
    <row r="1403" spans="3:6" x14ac:dyDescent="0.25">
      <c r="C1403" s="180"/>
      <c r="D1403" s="180"/>
      <c r="E1403" s="144"/>
      <c r="F1403" s="144"/>
    </row>
    <row r="1404" spans="3:6" x14ac:dyDescent="0.25">
      <c r="C1404" s="180"/>
      <c r="D1404" s="180"/>
      <c r="E1404" s="144"/>
      <c r="F1404" s="144"/>
    </row>
    <row r="1405" spans="3:6" x14ac:dyDescent="0.25">
      <c r="C1405" s="180"/>
      <c r="D1405" s="180"/>
      <c r="E1405" s="144"/>
      <c r="F1405" s="144"/>
    </row>
    <row r="1406" spans="3:6" x14ac:dyDescent="0.25">
      <c r="C1406" s="180"/>
      <c r="D1406" s="180"/>
      <c r="E1406" s="144"/>
      <c r="F1406" s="144"/>
    </row>
    <row r="1407" spans="3:6" x14ac:dyDescent="0.25">
      <c r="C1407" s="180"/>
      <c r="D1407" s="180"/>
      <c r="E1407" s="144"/>
      <c r="F1407" s="144"/>
    </row>
    <row r="1408" spans="3:6" x14ac:dyDescent="0.25">
      <c r="C1408" s="180"/>
      <c r="D1408" s="180"/>
      <c r="E1408" s="144"/>
      <c r="F1408" s="144"/>
    </row>
    <row r="1409" spans="3:6" x14ac:dyDescent="0.25">
      <c r="C1409" s="180"/>
      <c r="D1409" s="180"/>
      <c r="E1409" s="144"/>
      <c r="F1409" s="144"/>
    </row>
    <row r="1410" spans="3:6" x14ac:dyDescent="0.25">
      <c r="C1410" s="180"/>
      <c r="D1410" s="180"/>
      <c r="E1410" s="144"/>
      <c r="F1410" s="144"/>
    </row>
    <row r="1411" spans="3:6" x14ac:dyDescent="0.25">
      <c r="C1411" s="180"/>
      <c r="D1411" s="180"/>
      <c r="E1411" s="144"/>
      <c r="F1411" s="144"/>
    </row>
    <row r="1412" spans="3:6" x14ac:dyDescent="0.25">
      <c r="C1412" s="180"/>
      <c r="D1412" s="180"/>
      <c r="E1412" s="144"/>
      <c r="F1412" s="144"/>
    </row>
    <row r="1413" spans="3:6" x14ac:dyDescent="0.25">
      <c r="C1413" s="180"/>
      <c r="D1413" s="180"/>
      <c r="E1413" s="144"/>
      <c r="F1413" s="144"/>
    </row>
    <row r="1414" spans="3:6" x14ac:dyDescent="0.25">
      <c r="C1414" s="180"/>
      <c r="D1414" s="180"/>
      <c r="E1414" s="144"/>
      <c r="F1414" s="144"/>
    </row>
    <row r="1415" spans="3:6" x14ac:dyDescent="0.25">
      <c r="C1415" s="180"/>
      <c r="D1415" s="180"/>
      <c r="E1415" s="144"/>
      <c r="F1415" s="144"/>
    </row>
    <row r="1416" spans="3:6" x14ac:dyDescent="0.25">
      <c r="C1416" s="180"/>
      <c r="D1416" s="180"/>
      <c r="E1416" s="144"/>
      <c r="F1416" s="144"/>
    </row>
    <row r="1417" spans="3:6" x14ac:dyDescent="0.25">
      <c r="C1417" s="180"/>
      <c r="D1417" s="180"/>
      <c r="E1417" s="144"/>
      <c r="F1417" s="144"/>
    </row>
    <row r="1418" spans="3:6" x14ac:dyDescent="0.25">
      <c r="C1418" s="180"/>
      <c r="D1418" s="180"/>
      <c r="E1418" s="144"/>
      <c r="F1418" s="144"/>
    </row>
    <row r="1419" spans="3:6" x14ac:dyDescent="0.25">
      <c r="C1419" s="180"/>
      <c r="D1419" s="180"/>
      <c r="E1419" s="144"/>
      <c r="F1419" s="144"/>
    </row>
    <row r="1420" spans="3:6" x14ac:dyDescent="0.25">
      <c r="C1420" s="180"/>
      <c r="D1420" s="180"/>
      <c r="E1420" s="144"/>
      <c r="F1420" s="144"/>
    </row>
    <row r="1421" spans="3:6" x14ac:dyDescent="0.25">
      <c r="C1421" s="180"/>
      <c r="D1421" s="180"/>
      <c r="E1421" s="144"/>
      <c r="F1421" s="144"/>
    </row>
    <row r="1422" spans="3:6" x14ac:dyDescent="0.25">
      <c r="C1422" s="180"/>
      <c r="D1422" s="180"/>
      <c r="E1422" s="144"/>
      <c r="F1422" s="144"/>
    </row>
    <row r="1423" spans="3:6" x14ac:dyDescent="0.25">
      <c r="C1423" s="180"/>
      <c r="D1423" s="180"/>
      <c r="E1423" s="144"/>
      <c r="F1423" s="144"/>
    </row>
    <row r="1424" spans="3:6" x14ac:dyDescent="0.25">
      <c r="C1424" s="180"/>
      <c r="D1424" s="180"/>
      <c r="E1424" s="144"/>
      <c r="F1424" s="144"/>
    </row>
    <row r="1425" spans="3:6" x14ac:dyDescent="0.25">
      <c r="C1425" s="180"/>
      <c r="D1425" s="180"/>
      <c r="E1425" s="144"/>
      <c r="F1425" s="144"/>
    </row>
    <row r="1426" spans="3:6" x14ac:dyDescent="0.25">
      <c r="C1426" s="180"/>
      <c r="D1426" s="180"/>
      <c r="E1426" s="144"/>
      <c r="F1426" s="144"/>
    </row>
    <row r="1427" spans="3:6" x14ac:dyDescent="0.25">
      <c r="C1427" s="180"/>
      <c r="D1427" s="180"/>
      <c r="E1427" s="144"/>
      <c r="F1427" s="144"/>
    </row>
    <row r="1428" spans="3:6" x14ac:dyDescent="0.25">
      <c r="C1428" s="180"/>
      <c r="D1428" s="180"/>
      <c r="E1428" s="144"/>
      <c r="F1428" s="144"/>
    </row>
    <row r="1429" spans="3:6" x14ac:dyDescent="0.25">
      <c r="C1429" s="180"/>
      <c r="D1429" s="180"/>
      <c r="E1429" s="144"/>
      <c r="F1429" s="144"/>
    </row>
    <row r="1430" spans="3:6" x14ac:dyDescent="0.25">
      <c r="C1430" s="180"/>
      <c r="D1430" s="180"/>
      <c r="E1430" s="144"/>
      <c r="F1430" s="144"/>
    </row>
    <row r="1431" spans="3:6" x14ac:dyDescent="0.25">
      <c r="C1431" s="180"/>
      <c r="D1431" s="180"/>
      <c r="E1431" s="144"/>
      <c r="F1431" s="144"/>
    </row>
    <row r="1432" spans="3:6" x14ac:dyDescent="0.25">
      <c r="C1432" s="180"/>
      <c r="D1432" s="180"/>
      <c r="E1432" s="144"/>
      <c r="F1432" s="144"/>
    </row>
    <row r="1433" spans="3:6" x14ac:dyDescent="0.25">
      <c r="C1433" s="180"/>
      <c r="D1433" s="180"/>
      <c r="E1433" s="144"/>
      <c r="F1433" s="144"/>
    </row>
    <row r="1434" spans="3:6" x14ac:dyDescent="0.25">
      <c r="C1434" s="180"/>
      <c r="D1434" s="180"/>
      <c r="E1434" s="144"/>
      <c r="F1434" s="144"/>
    </row>
    <row r="1435" spans="3:6" x14ac:dyDescent="0.25">
      <c r="C1435" s="180"/>
      <c r="D1435" s="180"/>
      <c r="E1435" s="144"/>
      <c r="F1435" s="144"/>
    </row>
    <row r="1436" spans="3:6" x14ac:dyDescent="0.25">
      <c r="C1436" s="180"/>
      <c r="D1436" s="180"/>
      <c r="E1436" s="144"/>
      <c r="F1436" s="144"/>
    </row>
    <row r="1437" spans="3:6" x14ac:dyDescent="0.25">
      <c r="C1437" s="180"/>
      <c r="D1437" s="180"/>
      <c r="E1437" s="144"/>
      <c r="F1437" s="144"/>
    </row>
    <row r="1438" spans="3:6" x14ac:dyDescent="0.25">
      <c r="C1438" s="180"/>
      <c r="D1438" s="180"/>
      <c r="E1438" s="144"/>
      <c r="F1438" s="144"/>
    </row>
    <row r="1439" spans="3:6" x14ac:dyDescent="0.25">
      <c r="C1439" s="180"/>
      <c r="D1439" s="180"/>
      <c r="E1439" s="144"/>
      <c r="F1439" s="144"/>
    </row>
    <row r="1440" spans="3:6" x14ac:dyDescent="0.25">
      <c r="C1440" s="180"/>
      <c r="D1440" s="180"/>
      <c r="E1440" s="144"/>
      <c r="F1440" s="144"/>
    </row>
    <row r="1441" spans="3:6" x14ac:dyDescent="0.25">
      <c r="C1441" s="180"/>
      <c r="D1441" s="180"/>
      <c r="E1441" s="144"/>
      <c r="F1441" s="144"/>
    </row>
    <row r="1442" spans="3:6" x14ac:dyDescent="0.25">
      <c r="C1442" s="180"/>
      <c r="D1442" s="180"/>
      <c r="E1442" s="144"/>
      <c r="F1442" s="144"/>
    </row>
    <row r="1443" spans="3:6" x14ac:dyDescent="0.25">
      <c r="C1443" s="180"/>
      <c r="D1443" s="180"/>
      <c r="E1443" s="144"/>
      <c r="F1443" s="144"/>
    </row>
    <row r="1444" spans="3:6" x14ac:dyDescent="0.25">
      <c r="C1444" s="180"/>
      <c r="D1444" s="180"/>
      <c r="E1444" s="144"/>
      <c r="F1444" s="144"/>
    </row>
    <row r="1445" spans="3:6" x14ac:dyDescent="0.25">
      <c r="C1445" s="180"/>
      <c r="D1445" s="180"/>
      <c r="E1445" s="144"/>
      <c r="F1445" s="144"/>
    </row>
    <row r="1446" spans="3:6" x14ac:dyDescent="0.25">
      <c r="C1446" s="180"/>
      <c r="D1446" s="180"/>
      <c r="E1446" s="144"/>
      <c r="F1446" s="144"/>
    </row>
    <row r="1447" spans="3:6" x14ac:dyDescent="0.25">
      <c r="C1447" s="180"/>
      <c r="D1447" s="180"/>
      <c r="E1447" s="144"/>
      <c r="F1447" s="144"/>
    </row>
    <row r="1448" spans="3:6" x14ac:dyDescent="0.25">
      <c r="C1448" s="180"/>
      <c r="D1448" s="180"/>
      <c r="E1448" s="144"/>
      <c r="F1448" s="144"/>
    </row>
    <row r="1449" spans="3:6" x14ac:dyDescent="0.25">
      <c r="C1449" s="180"/>
      <c r="D1449" s="180"/>
      <c r="E1449" s="144"/>
      <c r="F1449" s="144"/>
    </row>
    <row r="1450" spans="3:6" x14ac:dyDescent="0.25">
      <c r="C1450" s="180"/>
      <c r="D1450" s="180"/>
      <c r="E1450" s="144"/>
      <c r="F1450" s="144"/>
    </row>
    <row r="1451" spans="3:6" x14ac:dyDescent="0.25">
      <c r="C1451" s="180"/>
      <c r="D1451" s="180"/>
      <c r="E1451" s="144"/>
      <c r="F1451" s="144"/>
    </row>
    <row r="1452" spans="3:6" x14ac:dyDescent="0.25">
      <c r="C1452" s="180"/>
      <c r="D1452" s="180"/>
      <c r="E1452" s="144"/>
      <c r="F1452" s="144"/>
    </row>
    <row r="1453" spans="3:6" x14ac:dyDescent="0.25">
      <c r="C1453" s="180"/>
      <c r="D1453" s="180"/>
      <c r="E1453" s="144"/>
      <c r="F1453" s="144"/>
    </row>
    <row r="1454" spans="3:6" x14ac:dyDescent="0.25">
      <c r="C1454" s="180"/>
      <c r="D1454" s="180"/>
      <c r="E1454" s="144"/>
      <c r="F1454" s="144"/>
    </row>
    <row r="1455" spans="3:6" x14ac:dyDescent="0.25">
      <c r="C1455" s="180"/>
      <c r="D1455" s="180"/>
      <c r="E1455" s="144"/>
      <c r="F1455" s="144"/>
    </row>
    <row r="1456" spans="3:6" x14ac:dyDescent="0.25">
      <c r="C1456" s="180"/>
      <c r="D1456" s="180"/>
      <c r="E1456" s="144"/>
      <c r="F1456" s="144"/>
    </row>
    <row r="1457" spans="3:6" x14ac:dyDescent="0.25">
      <c r="C1457" s="180"/>
      <c r="D1457" s="180"/>
      <c r="E1457" s="144"/>
      <c r="F1457" s="144"/>
    </row>
    <row r="1458" spans="3:6" x14ac:dyDescent="0.25">
      <c r="C1458" s="180"/>
      <c r="D1458" s="180"/>
      <c r="E1458" s="144"/>
      <c r="F1458" s="144"/>
    </row>
    <row r="1459" spans="3:6" x14ac:dyDescent="0.25">
      <c r="C1459" s="180"/>
      <c r="D1459" s="180"/>
      <c r="E1459" s="144"/>
      <c r="F1459" s="144"/>
    </row>
    <row r="1460" spans="3:6" x14ac:dyDescent="0.25">
      <c r="C1460" s="180"/>
      <c r="D1460" s="180"/>
      <c r="E1460" s="144"/>
      <c r="F1460" s="144"/>
    </row>
    <row r="1461" spans="3:6" x14ac:dyDescent="0.25">
      <c r="C1461" s="180"/>
      <c r="D1461" s="180"/>
      <c r="E1461" s="144"/>
      <c r="F1461" s="144"/>
    </row>
    <row r="1462" spans="3:6" x14ac:dyDescent="0.25">
      <c r="C1462" s="180"/>
      <c r="D1462" s="180"/>
      <c r="E1462" s="144"/>
      <c r="F1462" s="144"/>
    </row>
    <row r="1463" spans="3:6" x14ac:dyDescent="0.25">
      <c r="C1463" s="180"/>
      <c r="D1463" s="180"/>
      <c r="E1463" s="144"/>
      <c r="F1463" s="144"/>
    </row>
    <row r="1464" spans="3:6" x14ac:dyDescent="0.25">
      <c r="C1464" s="180"/>
      <c r="D1464" s="180"/>
      <c r="E1464" s="144"/>
      <c r="F1464" s="144"/>
    </row>
    <row r="1465" spans="3:6" x14ac:dyDescent="0.25">
      <c r="C1465" s="180"/>
      <c r="D1465" s="180"/>
      <c r="E1465" s="144"/>
      <c r="F1465" s="144"/>
    </row>
    <row r="1466" spans="3:6" x14ac:dyDescent="0.25">
      <c r="C1466" s="180"/>
      <c r="D1466" s="180"/>
      <c r="E1466" s="144"/>
      <c r="F1466" s="144"/>
    </row>
    <row r="1467" spans="3:6" x14ac:dyDescent="0.25">
      <c r="C1467" s="180"/>
      <c r="D1467" s="180"/>
      <c r="E1467" s="144"/>
      <c r="F1467" s="144"/>
    </row>
    <row r="1468" spans="3:6" x14ac:dyDescent="0.25">
      <c r="C1468" s="180"/>
      <c r="D1468" s="180"/>
      <c r="E1468" s="144"/>
      <c r="F1468" s="144"/>
    </row>
    <row r="1469" spans="3:6" x14ac:dyDescent="0.25">
      <c r="C1469" s="180"/>
      <c r="D1469" s="180"/>
      <c r="E1469" s="144"/>
      <c r="F1469" s="144"/>
    </row>
    <row r="1470" spans="3:6" x14ac:dyDescent="0.25">
      <c r="C1470" s="180"/>
      <c r="D1470" s="180"/>
      <c r="E1470" s="144"/>
      <c r="F1470" s="144"/>
    </row>
    <row r="1471" spans="3:6" x14ac:dyDescent="0.25">
      <c r="C1471" s="180"/>
      <c r="D1471" s="180"/>
      <c r="E1471" s="144"/>
      <c r="F1471" s="144"/>
    </row>
    <row r="1472" spans="3:6" x14ac:dyDescent="0.25">
      <c r="C1472" s="180"/>
      <c r="D1472" s="180"/>
      <c r="E1472" s="144"/>
      <c r="F1472" s="144"/>
    </row>
    <row r="1473" spans="3:6" x14ac:dyDescent="0.25">
      <c r="C1473" s="180"/>
      <c r="D1473" s="180"/>
      <c r="E1473" s="144"/>
      <c r="F1473" s="144"/>
    </row>
    <row r="1474" spans="3:6" x14ac:dyDescent="0.25">
      <c r="C1474" s="180"/>
      <c r="D1474" s="180"/>
      <c r="E1474" s="144"/>
      <c r="F1474" s="144"/>
    </row>
    <row r="1475" spans="3:6" x14ac:dyDescent="0.25">
      <c r="C1475" s="180"/>
      <c r="D1475" s="180"/>
      <c r="E1475" s="144"/>
      <c r="F1475" s="144"/>
    </row>
    <row r="1476" spans="3:6" x14ac:dyDescent="0.25">
      <c r="C1476" s="180"/>
      <c r="D1476" s="180"/>
      <c r="E1476" s="144"/>
      <c r="F1476" s="144"/>
    </row>
    <row r="1477" spans="3:6" x14ac:dyDescent="0.25">
      <c r="C1477" s="180"/>
      <c r="D1477" s="180"/>
      <c r="E1477" s="144"/>
      <c r="F1477" s="144"/>
    </row>
    <row r="1478" spans="3:6" x14ac:dyDescent="0.25">
      <c r="C1478" s="180"/>
      <c r="D1478" s="180"/>
      <c r="E1478" s="144"/>
      <c r="F1478" s="144"/>
    </row>
    <row r="1479" spans="3:6" x14ac:dyDescent="0.25">
      <c r="C1479" s="180"/>
      <c r="D1479" s="180"/>
      <c r="E1479" s="144"/>
      <c r="F1479" s="144"/>
    </row>
    <row r="1480" spans="3:6" x14ac:dyDescent="0.25">
      <c r="C1480" s="180"/>
      <c r="D1480" s="180"/>
      <c r="E1480" s="144"/>
      <c r="F1480" s="144"/>
    </row>
    <row r="1481" spans="3:6" x14ac:dyDescent="0.25">
      <c r="C1481" s="180"/>
      <c r="D1481" s="180"/>
      <c r="E1481" s="144"/>
      <c r="F1481" s="144"/>
    </row>
    <row r="1482" spans="3:6" x14ac:dyDescent="0.25">
      <c r="C1482" s="180"/>
      <c r="D1482" s="180"/>
      <c r="E1482" s="144"/>
      <c r="F1482" s="144"/>
    </row>
    <row r="1483" spans="3:6" x14ac:dyDescent="0.25">
      <c r="C1483" s="180"/>
      <c r="D1483" s="180"/>
      <c r="E1483" s="144"/>
      <c r="F1483" s="144"/>
    </row>
    <row r="1484" spans="3:6" x14ac:dyDescent="0.25">
      <c r="C1484" s="180"/>
      <c r="D1484" s="180"/>
      <c r="E1484" s="144"/>
      <c r="F1484" s="144"/>
    </row>
    <row r="1485" spans="3:6" x14ac:dyDescent="0.25">
      <c r="C1485" s="180"/>
      <c r="D1485" s="180"/>
      <c r="E1485" s="144"/>
      <c r="F1485" s="144"/>
    </row>
    <row r="1486" spans="3:6" x14ac:dyDescent="0.25">
      <c r="C1486" s="180"/>
      <c r="D1486" s="180"/>
      <c r="E1486" s="144"/>
      <c r="F1486" s="144"/>
    </row>
    <row r="1487" spans="3:6" x14ac:dyDescent="0.25">
      <c r="C1487" s="180"/>
      <c r="D1487" s="180"/>
      <c r="E1487" s="144"/>
      <c r="F1487" s="144"/>
    </row>
    <row r="1488" spans="3:6" x14ac:dyDescent="0.25">
      <c r="C1488" s="180"/>
      <c r="D1488" s="180"/>
      <c r="E1488" s="144"/>
      <c r="F1488" s="144"/>
    </row>
    <row r="1489" spans="3:6" x14ac:dyDescent="0.25">
      <c r="C1489" s="180"/>
      <c r="D1489" s="180"/>
      <c r="E1489" s="144"/>
      <c r="F1489" s="144"/>
    </row>
    <row r="1490" spans="3:6" x14ac:dyDescent="0.25">
      <c r="C1490" s="180"/>
      <c r="D1490" s="180"/>
      <c r="E1490" s="144"/>
      <c r="F1490" s="144"/>
    </row>
    <row r="1491" spans="3:6" x14ac:dyDescent="0.25">
      <c r="C1491" s="180"/>
      <c r="D1491" s="180"/>
      <c r="E1491" s="144"/>
      <c r="F1491" s="144"/>
    </row>
    <row r="1492" spans="3:6" x14ac:dyDescent="0.25">
      <c r="C1492" s="180"/>
      <c r="D1492" s="180"/>
      <c r="E1492" s="144"/>
      <c r="F1492" s="144"/>
    </row>
    <row r="1493" spans="3:6" x14ac:dyDescent="0.25">
      <c r="C1493" s="180"/>
      <c r="D1493" s="180"/>
      <c r="E1493" s="144"/>
      <c r="F1493" s="144"/>
    </row>
    <row r="1494" spans="3:6" x14ac:dyDescent="0.25">
      <c r="C1494" s="180"/>
      <c r="D1494" s="180"/>
      <c r="E1494" s="144"/>
      <c r="F1494" s="144"/>
    </row>
    <row r="1495" spans="3:6" x14ac:dyDescent="0.25">
      <c r="C1495" s="180"/>
      <c r="D1495" s="180"/>
      <c r="E1495" s="144"/>
      <c r="F1495" s="144"/>
    </row>
    <row r="1496" spans="3:6" x14ac:dyDescent="0.25">
      <c r="C1496" s="180"/>
      <c r="D1496" s="180"/>
      <c r="E1496" s="144"/>
      <c r="F1496" s="144"/>
    </row>
    <row r="1497" spans="3:6" x14ac:dyDescent="0.25">
      <c r="C1497" s="180"/>
      <c r="D1497" s="180"/>
      <c r="E1497" s="144"/>
      <c r="F1497" s="144"/>
    </row>
    <row r="1498" spans="3:6" x14ac:dyDescent="0.25">
      <c r="C1498" s="180"/>
      <c r="D1498" s="180"/>
      <c r="E1498" s="144"/>
      <c r="F1498" s="144"/>
    </row>
    <row r="1499" spans="3:6" x14ac:dyDescent="0.25">
      <c r="C1499" s="180"/>
      <c r="D1499" s="180"/>
      <c r="E1499" s="144"/>
      <c r="F1499" s="144"/>
    </row>
    <row r="1500" spans="3:6" x14ac:dyDescent="0.25">
      <c r="C1500" s="180"/>
      <c r="D1500" s="180"/>
      <c r="E1500" s="144"/>
      <c r="F1500" s="144"/>
    </row>
    <row r="1501" spans="3:6" x14ac:dyDescent="0.25">
      <c r="C1501" s="180"/>
      <c r="D1501" s="180"/>
      <c r="E1501" s="144"/>
      <c r="F1501" s="144"/>
    </row>
    <row r="1502" spans="3:6" x14ac:dyDescent="0.25">
      <c r="C1502" s="180"/>
      <c r="D1502" s="180"/>
      <c r="E1502" s="144"/>
      <c r="F1502" s="144"/>
    </row>
    <row r="1503" spans="3:6" x14ac:dyDescent="0.25">
      <c r="C1503" s="180"/>
      <c r="D1503" s="180"/>
      <c r="E1503" s="144"/>
      <c r="F1503" s="144"/>
    </row>
    <row r="1504" spans="3:6" x14ac:dyDescent="0.25">
      <c r="C1504" s="180"/>
      <c r="D1504" s="180"/>
      <c r="E1504" s="144"/>
      <c r="F1504" s="144"/>
    </row>
    <row r="1505" spans="3:6" x14ac:dyDescent="0.25">
      <c r="C1505" s="180"/>
      <c r="D1505" s="180"/>
      <c r="E1505" s="144"/>
      <c r="F1505" s="144"/>
    </row>
    <row r="1506" spans="3:6" x14ac:dyDescent="0.25">
      <c r="C1506" s="180"/>
      <c r="D1506" s="180"/>
      <c r="E1506" s="144"/>
      <c r="F1506" s="144"/>
    </row>
    <row r="1507" spans="3:6" x14ac:dyDescent="0.25">
      <c r="C1507" s="180"/>
      <c r="D1507" s="180"/>
      <c r="E1507" s="144"/>
      <c r="F1507" s="144"/>
    </row>
    <row r="1508" spans="3:6" x14ac:dyDescent="0.25">
      <c r="C1508" s="180"/>
      <c r="D1508" s="180"/>
      <c r="E1508" s="144"/>
      <c r="F1508" s="144"/>
    </row>
    <row r="1509" spans="3:6" x14ac:dyDescent="0.25">
      <c r="C1509" s="180"/>
      <c r="D1509" s="180"/>
      <c r="E1509" s="144"/>
      <c r="F1509" s="144"/>
    </row>
    <row r="1510" spans="3:6" x14ac:dyDescent="0.25">
      <c r="C1510" s="180"/>
      <c r="D1510" s="180"/>
      <c r="E1510" s="144"/>
      <c r="F1510" s="144"/>
    </row>
    <row r="1511" spans="3:6" x14ac:dyDescent="0.25">
      <c r="C1511" s="180"/>
      <c r="D1511" s="180"/>
      <c r="E1511" s="144"/>
      <c r="F1511" s="144"/>
    </row>
    <row r="1512" spans="3:6" x14ac:dyDescent="0.25">
      <c r="C1512" s="180"/>
      <c r="D1512" s="180"/>
      <c r="E1512" s="144"/>
      <c r="F1512" s="144"/>
    </row>
    <row r="1513" spans="3:6" x14ac:dyDescent="0.25">
      <c r="C1513" s="180"/>
      <c r="D1513" s="180"/>
      <c r="E1513" s="144"/>
      <c r="F1513" s="144"/>
    </row>
    <row r="1514" spans="3:6" x14ac:dyDescent="0.25">
      <c r="C1514" s="180"/>
      <c r="D1514" s="180"/>
      <c r="E1514" s="144"/>
      <c r="F1514" s="144"/>
    </row>
    <row r="1515" spans="3:6" x14ac:dyDescent="0.25">
      <c r="C1515" s="180"/>
      <c r="D1515" s="180"/>
      <c r="E1515" s="144"/>
      <c r="F1515" s="144"/>
    </row>
    <row r="1516" spans="3:6" x14ac:dyDescent="0.25">
      <c r="C1516" s="180"/>
      <c r="D1516" s="180"/>
      <c r="E1516" s="144"/>
      <c r="F1516" s="144"/>
    </row>
    <row r="1517" spans="3:6" x14ac:dyDescent="0.25">
      <c r="C1517" s="180"/>
      <c r="D1517" s="180"/>
      <c r="E1517" s="144"/>
      <c r="F1517" s="144"/>
    </row>
    <row r="1518" spans="3:6" x14ac:dyDescent="0.25">
      <c r="C1518" s="180"/>
      <c r="D1518" s="180"/>
      <c r="E1518" s="144"/>
      <c r="F1518" s="144"/>
    </row>
    <row r="1519" spans="3:6" x14ac:dyDescent="0.25">
      <c r="C1519" s="180"/>
      <c r="D1519" s="180"/>
      <c r="E1519" s="144"/>
      <c r="F1519" s="144"/>
    </row>
    <row r="1520" spans="3:6" x14ac:dyDescent="0.25">
      <c r="C1520" s="180"/>
      <c r="D1520" s="180"/>
      <c r="E1520" s="144"/>
      <c r="F1520" s="144"/>
    </row>
    <row r="1521" spans="3:6" x14ac:dyDescent="0.25">
      <c r="C1521" s="180"/>
      <c r="D1521" s="180"/>
      <c r="E1521" s="144"/>
      <c r="F1521" s="144"/>
    </row>
    <row r="1522" spans="3:6" x14ac:dyDescent="0.25">
      <c r="C1522" s="180"/>
      <c r="D1522" s="180"/>
      <c r="E1522" s="144"/>
      <c r="F1522" s="144"/>
    </row>
    <row r="1523" spans="3:6" x14ac:dyDescent="0.25">
      <c r="C1523" s="180"/>
      <c r="D1523" s="180"/>
      <c r="E1523" s="144"/>
      <c r="F1523" s="144"/>
    </row>
    <row r="1524" spans="3:6" x14ac:dyDescent="0.25">
      <c r="C1524" s="180"/>
      <c r="D1524" s="180"/>
      <c r="E1524" s="144"/>
      <c r="F1524" s="144"/>
    </row>
    <row r="1525" spans="3:6" x14ac:dyDescent="0.25">
      <c r="C1525" s="180"/>
      <c r="D1525" s="180"/>
      <c r="E1525" s="144"/>
      <c r="F1525" s="144"/>
    </row>
    <row r="1526" spans="3:6" x14ac:dyDescent="0.25">
      <c r="C1526" s="180"/>
      <c r="D1526" s="180"/>
      <c r="E1526" s="144"/>
      <c r="F1526" s="144"/>
    </row>
    <row r="1527" spans="3:6" x14ac:dyDescent="0.25">
      <c r="C1527" s="180"/>
      <c r="D1527" s="180"/>
      <c r="E1527" s="144"/>
      <c r="F1527" s="144"/>
    </row>
    <row r="1528" spans="3:6" x14ac:dyDescent="0.25">
      <c r="C1528" s="180"/>
      <c r="D1528" s="180"/>
      <c r="E1528" s="144"/>
      <c r="F1528" s="144"/>
    </row>
    <row r="1529" spans="3:6" x14ac:dyDescent="0.25">
      <c r="C1529" s="180"/>
      <c r="D1529" s="180"/>
      <c r="E1529" s="144"/>
      <c r="F1529" s="144"/>
    </row>
    <row r="1530" spans="3:6" x14ac:dyDescent="0.25">
      <c r="C1530" s="180"/>
      <c r="D1530" s="180"/>
      <c r="E1530" s="144"/>
      <c r="F1530" s="144"/>
    </row>
    <row r="1531" spans="3:6" x14ac:dyDescent="0.25">
      <c r="C1531" s="180"/>
      <c r="D1531" s="180"/>
      <c r="E1531" s="144"/>
      <c r="F1531" s="144"/>
    </row>
    <row r="1532" spans="3:6" x14ac:dyDescent="0.25">
      <c r="C1532" s="180"/>
      <c r="D1532" s="180"/>
      <c r="E1532" s="144"/>
      <c r="F1532" s="144"/>
    </row>
    <row r="1533" spans="3:6" x14ac:dyDescent="0.25">
      <c r="C1533" s="180"/>
      <c r="D1533" s="180"/>
      <c r="E1533" s="144"/>
      <c r="F1533" s="144"/>
    </row>
    <row r="1534" spans="3:6" x14ac:dyDescent="0.25">
      <c r="C1534" s="180"/>
      <c r="D1534" s="180"/>
      <c r="E1534" s="144"/>
      <c r="F1534" s="144"/>
    </row>
    <row r="1535" spans="3:6" x14ac:dyDescent="0.25">
      <c r="C1535" s="180"/>
      <c r="D1535" s="180"/>
      <c r="E1535" s="144"/>
      <c r="F1535" s="144"/>
    </row>
    <row r="1536" spans="3:6" x14ac:dyDescent="0.25">
      <c r="C1536" s="180"/>
      <c r="D1536" s="180"/>
      <c r="E1536" s="144"/>
      <c r="F1536" s="144"/>
    </row>
    <row r="1537" spans="3:6" x14ac:dyDescent="0.25">
      <c r="C1537" s="180"/>
      <c r="D1537" s="180"/>
      <c r="E1537" s="144"/>
      <c r="F1537" s="144"/>
    </row>
    <row r="1538" spans="3:6" x14ac:dyDescent="0.25">
      <c r="C1538" s="180"/>
      <c r="D1538" s="180"/>
      <c r="E1538" s="144"/>
      <c r="F1538" s="144"/>
    </row>
    <row r="1539" spans="3:6" x14ac:dyDescent="0.25">
      <c r="C1539" s="180"/>
      <c r="D1539" s="180"/>
      <c r="E1539" s="144"/>
      <c r="F1539" s="144"/>
    </row>
    <row r="1540" spans="3:6" x14ac:dyDescent="0.25">
      <c r="C1540" s="180"/>
      <c r="D1540" s="180"/>
      <c r="E1540" s="144"/>
      <c r="F1540" s="144"/>
    </row>
    <row r="1541" spans="3:6" x14ac:dyDescent="0.25">
      <c r="C1541" s="180"/>
      <c r="D1541" s="180"/>
      <c r="E1541" s="144"/>
      <c r="F1541" s="144"/>
    </row>
    <row r="1542" spans="3:6" x14ac:dyDescent="0.25">
      <c r="C1542" s="180"/>
      <c r="D1542" s="180"/>
      <c r="E1542" s="144"/>
      <c r="F1542" s="144"/>
    </row>
    <row r="1543" spans="3:6" x14ac:dyDescent="0.25">
      <c r="C1543" s="180"/>
      <c r="D1543" s="180"/>
      <c r="E1543" s="144"/>
      <c r="F1543" s="144"/>
    </row>
    <row r="1544" spans="3:6" x14ac:dyDescent="0.25">
      <c r="C1544" s="180"/>
      <c r="D1544" s="180"/>
      <c r="E1544" s="144"/>
      <c r="F1544" s="144"/>
    </row>
    <row r="1545" spans="3:6" x14ac:dyDescent="0.25">
      <c r="C1545" s="180"/>
      <c r="D1545" s="180"/>
      <c r="E1545" s="144"/>
      <c r="F1545" s="144"/>
    </row>
    <row r="1546" spans="3:6" x14ac:dyDescent="0.25">
      <c r="C1546" s="180"/>
      <c r="D1546" s="180"/>
      <c r="E1546" s="144"/>
      <c r="F1546" s="144"/>
    </row>
    <row r="1547" spans="3:6" x14ac:dyDescent="0.25">
      <c r="C1547" s="180"/>
      <c r="D1547" s="180"/>
      <c r="E1547" s="144"/>
      <c r="F1547" s="144"/>
    </row>
    <row r="1548" spans="3:6" x14ac:dyDescent="0.25">
      <c r="C1548" s="180"/>
      <c r="D1548" s="180"/>
      <c r="E1548" s="144"/>
      <c r="F1548" s="144"/>
    </row>
    <row r="1549" spans="3:6" x14ac:dyDescent="0.25">
      <c r="C1549" s="180"/>
      <c r="D1549" s="180"/>
      <c r="E1549" s="144"/>
      <c r="F1549" s="144"/>
    </row>
    <row r="1550" spans="3:6" x14ac:dyDescent="0.25">
      <c r="C1550" s="180"/>
      <c r="D1550" s="180"/>
      <c r="E1550" s="144"/>
      <c r="F1550" s="144"/>
    </row>
    <row r="1551" spans="3:6" x14ac:dyDescent="0.25">
      <c r="C1551" s="180"/>
      <c r="D1551" s="180"/>
      <c r="E1551" s="144"/>
      <c r="F1551" s="144"/>
    </row>
    <row r="1552" spans="3:6" x14ac:dyDescent="0.25">
      <c r="C1552" s="180"/>
      <c r="D1552" s="180"/>
      <c r="E1552" s="144"/>
      <c r="F1552" s="144"/>
    </row>
    <row r="1553" spans="3:6" x14ac:dyDescent="0.25">
      <c r="C1553" s="180"/>
      <c r="D1553" s="180"/>
      <c r="E1553" s="144"/>
      <c r="F1553" s="144"/>
    </row>
    <row r="1554" spans="3:6" x14ac:dyDescent="0.25">
      <c r="C1554" s="180"/>
      <c r="D1554" s="180"/>
      <c r="E1554" s="144"/>
      <c r="F1554" s="144"/>
    </row>
    <row r="1555" spans="3:6" x14ac:dyDescent="0.25">
      <c r="C1555" s="180"/>
      <c r="D1555" s="180"/>
      <c r="E1555" s="144"/>
      <c r="F1555" s="144"/>
    </row>
    <row r="1556" spans="3:6" x14ac:dyDescent="0.25">
      <c r="C1556" s="180"/>
      <c r="D1556" s="180"/>
      <c r="E1556" s="144"/>
      <c r="F1556" s="144"/>
    </row>
    <row r="1557" spans="3:6" x14ac:dyDescent="0.25">
      <c r="C1557" s="180"/>
      <c r="D1557" s="180"/>
      <c r="E1557" s="144"/>
      <c r="F1557" s="144"/>
    </row>
    <row r="1558" spans="3:6" x14ac:dyDescent="0.25">
      <c r="C1558" s="180"/>
      <c r="D1558" s="180"/>
      <c r="E1558" s="144"/>
      <c r="F1558" s="144"/>
    </row>
    <row r="1559" spans="3:6" x14ac:dyDescent="0.25">
      <c r="C1559" s="180"/>
      <c r="D1559" s="180"/>
      <c r="E1559" s="144"/>
      <c r="F1559" s="144"/>
    </row>
    <row r="1560" spans="3:6" x14ac:dyDescent="0.25">
      <c r="C1560" s="180"/>
      <c r="D1560" s="180"/>
      <c r="E1560" s="144"/>
      <c r="F1560" s="144"/>
    </row>
    <row r="1561" spans="3:6" x14ac:dyDescent="0.25">
      <c r="C1561" s="180"/>
      <c r="D1561" s="180"/>
      <c r="E1561" s="144"/>
      <c r="F1561" s="144"/>
    </row>
    <row r="1562" spans="3:6" x14ac:dyDescent="0.25">
      <c r="C1562" s="180"/>
      <c r="D1562" s="180"/>
      <c r="E1562" s="144"/>
      <c r="F1562" s="144"/>
    </row>
    <row r="1563" spans="3:6" x14ac:dyDescent="0.25">
      <c r="C1563" s="180"/>
      <c r="D1563" s="180"/>
      <c r="E1563" s="144"/>
      <c r="F1563" s="144"/>
    </row>
    <row r="1564" spans="3:6" x14ac:dyDescent="0.25">
      <c r="C1564" s="180"/>
      <c r="D1564" s="180"/>
      <c r="E1564" s="144"/>
      <c r="F1564" s="144"/>
    </row>
    <row r="1565" spans="3:6" x14ac:dyDescent="0.25">
      <c r="C1565" s="180"/>
      <c r="D1565" s="180"/>
      <c r="E1565" s="144"/>
      <c r="F1565" s="144"/>
    </row>
    <row r="1566" spans="3:6" x14ac:dyDescent="0.25">
      <c r="C1566" s="180"/>
      <c r="D1566" s="180"/>
      <c r="E1566" s="144"/>
      <c r="F1566" s="144"/>
    </row>
    <row r="1567" spans="3:6" x14ac:dyDescent="0.25">
      <c r="C1567" s="180"/>
      <c r="D1567" s="180"/>
      <c r="E1567" s="144"/>
      <c r="F1567" s="144"/>
    </row>
    <row r="1568" spans="3:6" x14ac:dyDescent="0.25">
      <c r="C1568" s="180"/>
      <c r="D1568" s="180"/>
      <c r="E1568" s="144"/>
      <c r="F1568" s="144"/>
    </row>
    <row r="1569" spans="3:6" x14ac:dyDescent="0.25">
      <c r="C1569" s="180"/>
      <c r="D1569" s="180"/>
      <c r="E1569" s="144"/>
      <c r="F1569" s="144"/>
    </row>
    <row r="1570" spans="3:6" x14ac:dyDescent="0.25">
      <c r="C1570" s="180"/>
      <c r="D1570" s="180"/>
      <c r="E1570" s="144"/>
      <c r="F1570" s="144"/>
    </row>
    <row r="1571" spans="3:6" x14ac:dyDescent="0.25">
      <c r="C1571" s="180"/>
      <c r="D1571" s="180"/>
      <c r="E1571" s="144"/>
      <c r="F1571" s="144"/>
    </row>
    <row r="1572" spans="3:6" x14ac:dyDescent="0.25">
      <c r="C1572" s="180"/>
      <c r="D1572" s="180"/>
      <c r="E1572" s="144"/>
      <c r="F1572" s="144"/>
    </row>
    <row r="1573" spans="3:6" x14ac:dyDescent="0.25">
      <c r="C1573" s="180"/>
      <c r="D1573" s="180"/>
      <c r="E1573" s="144"/>
      <c r="F1573" s="144"/>
    </row>
    <row r="1574" spans="3:6" x14ac:dyDescent="0.25">
      <c r="C1574" s="180"/>
      <c r="D1574" s="180"/>
      <c r="E1574" s="144"/>
      <c r="F1574" s="144"/>
    </row>
    <row r="1575" spans="3:6" x14ac:dyDescent="0.25">
      <c r="C1575" s="180"/>
      <c r="D1575" s="180"/>
      <c r="E1575" s="144"/>
      <c r="F1575" s="144"/>
    </row>
    <row r="1576" spans="3:6" x14ac:dyDescent="0.25">
      <c r="C1576" s="180"/>
      <c r="D1576" s="180"/>
      <c r="E1576" s="144"/>
      <c r="F1576" s="144"/>
    </row>
    <row r="1577" spans="3:6" x14ac:dyDescent="0.25">
      <c r="C1577" s="180"/>
      <c r="D1577" s="180"/>
      <c r="E1577" s="144"/>
      <c r="F1577" s="144"/>
    </row>
    <row r="1578" spans="3:6" x14ac:dyDescent="0.25">
      <c r="C1578" s="180"/>
      <c r="D1578" s="180"/>
      <c r="E1578" s="144"/>
      <c r="F1578" s="144"/>
    </row>
    <row r="1579" spans="3:6" x14ac:dyDescent="0.25">
      <c r="C1579" s="180"/>
      <c r="D1579" s="180"/>
      <c r="E1579" s="144"/>
      <c r="F1579" s="144"/>
    </row>
    <row r="1580" spans="3:6" x14ac:dyDescent="0.25">
      <c r="C1580" s="180"/>
      <c r="D1580" s="180"/>
      <c r="E1580" s="144"/>
      <c r="F1580" s="144"/>
    </row>
    <row r="1581" spans="3:6" x14ac:dyDescent="0.25">
      <c r="C1581" s="180"/>
      <c r="D1581" s="180"/>
      <c r="E1581" s="144"/>
      <c r="F1581" s="144"/>
    </row>
    <row r="1582" spans="3:6" x14ac:dyDescent="0.25">
      <c r="C1582" s="180"/>
      <c r="D1582" s="180"/>
      <c r="E1582" s="144"/>
      <c r="F1582" s="144"/>
    </row>
    <row r="1583" spans="3:6" x14ac:dyDescent="0.25">
      <c r="C1583" s="180"/>
      <c r="D1583" s="180"/>
      <c r="E1583" s="144"/>
      <c r="F1583" s="144"/>
    </row>
    <row r="1584" spans="3:6" x14ac:dyDescent="0.25">
      <c r="C1584" s="180"/>
      <c r="D1584" s="180"/>
      <c r="E1584" s="144"/>
      <c r="F1584" s="144"/>
    </row>
    <row r="1585" spans="3:6" x14ac:dyDescent="0.25">
      <c r="C1585" s="180"/>
      <c r="D1585" s="180"/>
      <c r="E1585" s="144"/>
      <c r="F1585" s="144"/>
    </row>
    <row r="1586" spans="3:6" x14ac:dyDescent="0.25">
      <c r="C1586" s="180"/>
      <c r="D1586" s="180"/>
      <c r="E1586" s="144"/>
      <c r="F1586" s="144"/>
    </row>
    <row r="1587" spans="3:6" x14ac:dyDescent="0.25">
      <c r="C1587" s="180"/>
      <c r="D1587" s="180"/>
      <c r="E1587" s="144"/>
      <c r="F1587" s="144"/>
    </row>
    <row r="1588" spans="3:6" x14ac:dyDescent="0.25">
      <c r="C1588" s="180"/>
      <c r="D1588" s="180"/>
      <c r="E1588" s="144"/>
      <c r="F1588" s="144"/>
    </row>
    <row r="1589" spans="3:6" x14ac:dyDescent="0.25">
      <c r="C1589" s="180"/>
      <c r="D1589" s="180"/>
      <c r="E1589" s="144"/>
      <c r="F1589" s="144"/>
    </row>
    <row r="1590" spans="3:6" x14ac:dyDescent="0.25">
      <c r="C1590" s="180"/>
      <c r="D1590" s="180"/>
      <c r="E1590" s="144"/>
      <c r="F1590" s="144"/>
    </row>
    <row r="1591" spans="3:6" x14ac:dyDescent="0.25">
      <c r="C1591" s="180"/>
      <c r="D1591" s="180"/>
      <c r="E1591" s="144"/>
      <c r="F1591" s="144"/>
    </row>
    <row r="1592" spans="3:6" x14ac:dyDescent="0.25">
      <c r="C1592" s="180"/>
      <c r="D1592" s="180"/>
      <c r="E1592" s="144"/>
      <c r="F1592" s="144"/>
    </row>
    <row r="1593" spans="3:6" x14ac:dyDescent="0.25">
      <c r="C1593" s="180"/>
      <c r="D1593" s="180"/>
      <c r="E1593" s="144"/>
      <c r="F1593" s="144"/>
    </row>
    <row r="1594" spans="3:6" x14ac:dyDescent="0.25">
      <c r="C1594" s="180"/>
      <c r="D1594" s="180"/>
      <c r="E1594" s="144"/>
      <c r="F1594" s="144"/>
    </row>
    <row r="1595" spans="3:6" x14ac:dyDescent="0.25">
      <c r="C1595" s="180"/>
      <c r="D1595" s="180"/>
      <c r="E1595" s="144"/>
      <c r="F1595" s="144"/>
    </row>
    <row r="1596" spans="3:6" x14ac:dyDescent="0.25">
      <c r="C1596" s="180"/>
      <c r="D1596" s="180"/>
      <c r="E1596" s="144"/>
      <c r="F1596" s="144"/>
    </row>
    <row r="1597" spans="3:6" x14ac:dyDescent="0.25">
      <c r="C1597" s="180"/>
      <c r="D1597" s="180"/>
      <c r="E1597" s="144"/>
      <c r="F1597" s="144"/>
    </row>
    <row r="1598" spans="3:6" x14ac:dyDescent="0.25">
      <c r="C1598" s="180"/>
      <c r="D1598" s="180"/>
      <c r="E1598" s="144"/>
      <c r="F1598" s="144"/>
    </row>
    <row r="1599" spans="3:6" x14ac:dyDescent="0.25">
      <c r="C1599" s="180"/>
      <c r="D1599" s="180"/>
      <c r="E1599" s="144"/>
      <c r="F1599" s="144"/>
    </row>
    <row r="1600" spans="3:6" x14ac:dyDescent="0.25">
      <c r="C1600" s="180"/>
      <c r="D1600" s="180"/>
      <c r="E1600" s="144"/>
      <c r="F1600" s="144"/>
    </row>
    <row r="1601" spans="3:6" x14ac:dyDescent="0.25">
      <c r="C1601" s="180"/>
      <c r="D1601" s="180"/>
      <c r="E1601" s="144"/>
      <c r="F1601" s="144"/>
    </row>
    <row r="1602" spans="3:6" x14ac:dyDescent="0.25">
      <c r="C1602" s="180"/>
      <c r="D1602" s="180"/>
      <c r="E1602" s="144"/>
      <c r="F1602" s="144"/>
    </row>
    <row r="1603" spans="3:6" x14ac:dyDescent="0.25">
      <c r="C1603" s="180"/>
      <c r="D1603" s="180"/>
      <c r="E1603" s="144"/>
      <c r="F1603" s="144"/>
    </row>
    <row r="1604" spans="3:6" x14ac:dyDescent="0.25">
      <c r="C1604" s="180"/>
      <c r="D1604" s="180"/>
      <c r="E1604" s="144"/>
      <c r="F1604" s="144"/>
    </row>
    <row r="1605" spans="3:6" x14ac:dyDescent="0.25">
      <c r="C1605" s="180"/>
      <c r="D1605" s="180"/>
      <c r="E1605" s="144"/>
      <c r="F1605" s="144"/>
    </row>
    <row r="1606" spans="3:6" x14ac:dyDescent="0.25">
      <c r="C1606" s="180"/>
      <c r="D1606" s="180"/>
      <c r="E1606" s="144"/>
      <c r="F1606" s="144"/>
    </row>
    <row r="1607" spans="3:6" x14ac:dyDescent="0.25">
      <c r="C1607" s="180"/>
      <c r="D1607" s="180"/>
      <c r="E1607" s="144"/>
      <c r="F1607" s="144"/>
    </row>
    <row r="1608" spans="3:6" x14ac:dyDescent="0.25">
      <c r="C1608" s="180"/>
      <c r="D1608" s="180"/>
      <c r="E1608" s="144"/>
      <c r="F1608" s="144"/>
    </row>
    <row r="1609" spans="3:6" x14ac:dyDescent="0.25">
      <c r="C1609" s="180"/>
      <c r="D1609" s="180"/>
      <c r="E1609" s="144"/>
      <c r="F1609" s="144"/>
    </row>
    <row r="1610" spans="3:6" x14ac:dyDescent="0.25">
      <c r="C1610" s="180"/>
      <c r="D1610" s="180"/>
      <c r="E1610" s="144"/>
      <c r="F1610" s="144"/>
    </row>
    <row r="1611" spans="3:6" x14ac:dyDescent="0.25">
      <c r="C1611" s="180"/>
      <c r="D1611" s="180"/>
      <c r="E1611" s="144"/>
      <c r="F1611" s="144"/>
    </row>
    <row r="1612" spans="3:6" x14ac:dyDescent="0.25">
      <c r="C1612" s="180"/>
      <c r="D1612" s="180"/>
      <c r="E1612" s="144"/>
      <c r="F1612" s="144"/>
    </row>
    <row r="1613" spans="3:6" x14ac:dyDescent="0.25">
      <c r="C1613" s="180"/>
      <c r="D1613" s="180"/>
      <c r="E1613" s="144"/>
      <c r="F1613" s="144"/>
    </row>
    <row r="1614" spans="3:6" x14ac:dyDescent="0.25">
      <c r="C1614" s="180"/>
      <c r="D1614" s="180"/>
      <c r="E1614" s="144"/>
      <c r="F1614" s="144"/>
    </row>
    <row r="1615" spans="3:6" x14ac:dyDescent="0.25">
      <c r="C1615" s="180"/>
      <c r="D1615" s="180"/>
      <c r="E1615" s="144"/>
      <c r="F1615" s="144"/>
    </row>
    <row r="1616" spans="3:6" x14ac:dyDescent="0.25">
      <c r="C1616" s="180"/>
      <c r="D1616" s="180"/>
      <c r="E1616" s="144"/>
      <c r="F1616" s="144"/>
    </row>
    <row r="1617" spans="3:6" x14ac:dyDescent="0.25">
      <c r="C1617" s="180"/>
      <c r="D1617" s="180"/>
      <c r="E1617" s="144"/>
      <c r="F1617" s="144"/>
    </row>
    <row r="1618" spans="3:6" x14ac:dyDescent="0.25">
      <c r="C1618" s="180"/>
      <c r="D1618" s="180"/>
      <c r="E1618" s="144"/>
      <c r="F1618" s="144"/>
    </row>
    <row r="1619" spans="3:6" x14ac:dyDescent="0.25">
      <c r="C1619" s="180"/>
      <c r="D1619" s="180"/>
      <c r="E1619" s="144"/>
      <c r="F1619" s="144"/>
    </row>
    <row r="1620" spans="3:6" x14ac:dyDescent="0.25">
      <c r="C1620" s="180"/>
      <c r="D1620" s="180"/>
      <c r="E1620" s="144"/>
      <c r="F1620" s="144"/>
    </row>
    <row r="1621" spans="3:6" x14ac:dyDescent="0.25">
      <c r="C1621" s="180"/>
      <c r="D1621" s="180"/>
      <c r="E1621" s="144"/>
      <c r="F1621" s="144"/>
    </row>
    <row r="1622" spans="3:6" x14ac:dyDescent="0.25">
      <c r="C1622" s="180"/>
      <c r="D1622" s="180"/>
      <c r="E1622" s="144"/>
      <c r="F1622" s="144"/>
    </row>
    <row r="1623" spans="3:6" x14ac:dyDescent="0.25">
      <c r="C1623" s="180"/>
      <c r="D1623" s="180"/>
      <c r="E1623" s="144"/>
      <c r="F1623" s="144"/>
    </row>
    <row r="1624" spans="3:6" x14ac:dyDescent="0.25">
      <c r="C1624" s="180"/>
      <c r="D1624" s="180"/>
      <c r="E1624" s="144"/>
      <c r="F1624" s="144"/>
    </row>
    <row r="1625" spans="3:6" x14ac:dyDescent="0.25">
      <c r="C1625" s="180"/>
      <c r="D1625" s="180"/>
      <c r="E1625" s="144"/>
      <c r="F1625" s="144"/>
    </row>
    <row r="1626" spans="3:6" x14ac:dyDescent="0.25">
      <c r="C1626" s="180"/>
      <c r="D1626" s="180"/>
      <c r="E1626" s="144"/>
      <c r="F1626" s="144"/>
    </row>
    <row r="1627" spans="3:6" x14ac:dyDescent="0.25">
      <c r="C1627" s="180"/>
      <c r="D1627" s="180"/>
    </row>
    <row r="1628" spans="3:6" x14ac:dyDescent="0.25">
      <c r="C1628" s="180"/>
      <c r="D1628" s="180"/>
    </row>
    <row r="1629" spans="3:6" x14ac:dyDescent="0.25">
      <c r="C1629" s="180"/>
      <c r="D1629" s="180"/>
    </row>
    <row r="1630" spans="3:6" x14ac:dyDescent="0.25">
      <c r="C1630" s="180"/>
      <c r="D1630" s="180"/>
    </row>
    <row r="1631" spans="3:6" x14ac:dyDescent="0.25">
      <c r="C1631" s="180"/>
      <c r="D1631" s="180"/>
    </row>
    <row r="1632" spans="3:6" x14ac:dyDescent="0.25">
      <c r="C1632" s="180"/>
      <c r="D1632" s="180"/>
    </row>
    <row r="1633" spans="3:4" x14ac:dyDescent="0.25">
      <c r="C1633" s="180"/>
      <c r="D1633" s="180"/>
    </row>
    <row r="1634" spans="3:4" x14ac:dyDescent="0.25">
      <c r="C1634" s="180"/>
      <c r="D1634" s="180"/>
    </row>
    <row r="1635" spans="3:4" x14ac:dyDescent="0.25">
      <c r="C1635" s="180"/>
      <c r="D1635" s="180"/>
    </row>
    <row r="1636" spans="3:4" x14ac:dyDescent="0.25">
      <c r="C1636" s="180"/>
      <c r="D1636" s="180"/>
    </row>
    <row r="1637" spans="3:4" x14ac:dyDescent="0.25">
      <c r="C1637" s="180"/>
      <c r="D1637" s="180"/>
    </row>
    <row r="1638" spans="3:4" x14ac:dyDescent="0.25">
      <c r="C1638" s="180"/>
      <c r="D1638" s="180"/>
    </row>
    <row r="1639" spans="3:4" x14ac:dyDescent="0.25">
      <c r="C1639" s="180"/>
      <c r="D1639" s="180"/>
    </row>
    <row r="1640" spans="3:4" x14ac:dyDescent="0.25">
      <c r="C1640" s="180"/>
      <c r="D1640" s="180"/>
    </row>
    <row r="1641" spans="3:4" x14ac:dyDescent="0.25">
      <c r="C1641" s="180"/>
      <c r="D1641" s="180"/>
    </row>
    <row r="1642" spans="3:4" x14ac:dyDescent="0.25">
      <c r="C1642" s="180"/>
      <c r="D1642" s="180"/>
    </row>
    <row r="1643" spans="3:4" x14ac:dyDescent="0.25">
      <c r="C1643" s="180"/>
      <c r="D1643" s="180"/>
    </row>
    <row r="1644" spans="3:4" x14ac:dyDescent="0.25">
      <c r="C1644" s="180"/>
      <c r="D1644" s="180"/>
    </row>
    <row r="1645" spans="3:4" x14ac:dyDescent="0.25">
      <c r="C1645" s="180"/>
      <c r="D1645" s="180"/>
    </row>
    <row r="1646" spans="3:4" x14ac:dyDescent="0.25">
      <c r="C1646" s="180"/>
      <c r="D1646" s="180"/>
    </row>
    <row r="1647" spans="3:4" x14ac:dyDescent="0.25">
      <c r="C1647" s="180"/>
      <c r="D1647" s="180"/>
    </row>
    <row r="1648" spans="3:4" x14ac:dyDescent="0.25">
      <c r="C1648" s="180"/>
      <c r="D1648" s="180"/>
    </row>
    <row r="1649" spans="3:4" x14ac:dyDescent="0.25">
      <c r="C1649" s="180"/>
      <c r="D1649" s="180"/>
    </row>
    <row r="1650" spans="3:4" x14ac:dyDescent="0.25">
      <c r="C1650" s="180"/>
      <c r="D1650" s="180"/>
    </row>
    <row r="1651" spans="3:4" x14ac:dyDescent="0.25">
      <c r="C1651" s="180"/>
      <c r="D1651" s="180"/>
    </row>
    <row r="1652" spans="3:4" x14ac:dyDescent="0.25">
      <c r="C1652" s="180"/>
      <c r="D1652" s="180"/>
    </row>
    <row r="1653" spans="3:4" x14ac:dyDescent="0.25">
      <c r="C1653" s="180"/>
      <c r="D1653" s="180"/>
    </row>
    <row r="1654" spans="3:4" x14ac:dyDescent="0.25">
      <c r="C1654" s="180"/>
      <c r="D1654" s="180"/>
    </row>
    <row r="1655" spans="3:4" x14ac:dyDescent="0.25">
      <c r="C1655" s="180"/>
      <c r="D1655" s="180"/>
    </row>
    <row r="1656" spans="3:4" x14ac:dyDescent="0.25">
      <c r="C1656" s="180"/>
      <c r="D1656" s="180"/>
    </row>
    <row r="1657" spans="3:4" x14ac:dyDescent="0.25">
      <c r="C1657" s="180"/>
      <c r="D1657" s="180"/>
    </row>
    <row r="1658" spans="3:4" x14ac:dyDescent="0.25">
      <c r="C1658" s="180"/>
      <c r="D1658" s="180"/>
    </row>
    <row r="1659" spans="3:4" x14ac:dyDescent="0.25">
      <c r="C1659" s="180"/>
      <c r="D1659" s="180"/>
    </row>
    <row r="1660" spans="3:4" x14ac:dyDescent="0.25">
      <c r="C1660" s="180"/>
      <c r="D1660" s="180"/>
    </row>
    <row r="1661" spans="3:4" x14ac:dyDescent="0.25">
      <c r="C1661" s="180"/>
      <c r="D1661" s="180"/>
    </row>
    <row r="1662" spans="3:4" x14ac:dyDescent="0.25">
      <c r="C1662" s="180"/>
      <c r="D1662" s="180"/>
    </row>
    <row r="1663" spans="3:4" x14ac:dyDescent="0.25">
      <c r="C1663" s="180"/>
      <c r="D1663" s="180"/>
    </row>
    <row r="1664" spans="3:4" x14ac:dyDescent="0.25">
      <c r="C1664" s="180"/>
      <c r="D1664" s="180"/>
    </row>
    <row r="1665" spans="3:4" x14ac:dyDescent="0.25">
      <c r="C1665" s="180"/>
      <c r="D1665" s="180"/>
    </row>
    <row r="1666" spans="3:4" x14ac:dyDescent="0.25">
      <c r="C1666" s="180"/>
      <c r="D1666" s="180"/>
    </row>
    <row r="1667" spans="3:4" x14ac:dyDescent="0.25">
      <c r="C1667" s="180"/>
      <c r="D1667" s="180"/>
    </row>
    <row r="1668" spans="3:4" x14ac:dyDescent="0.25">
      <c r="C1668" s="180"/>
      <c r="D1668" s="180"/>
    </row>
    <row r="1669" spans="3:4" x14ac:dyDescent="0.25">
      <c r="C1669" s="180"/>
      <c r="D1669" s="180"/>
    </row>
    <row r="1670" spans="3:4" x14ac:dyDescent="0.25">
      <c r="C1670" s="180"/>
      <c r="D1670" s="180"/>
    </row>
    <row r="1671" spans="3:4" x14ac:dyDescent="0.25">
      <c r="C1671" s="180"/>
      <c r="D1671" s="180"/>
    </row>
    <row r="1672" spans="3:4" x14ac:dyDescent="0.25">
      <c r="C1672" s="180"/>
      <c r="D1672" s="180"/>
    </row>
    <row r="1673" spans="3:4" x14ac:dyDescent="0.25">
      <c r="C1673" s="180"/>
      <c r="D1673" s="180"/>
    </row>
    <row r="1674" spans="3:4" x14ac:dyDescent="0.25">
      <c r="C1674" s="180"/>
      <c r="D1674" s="180"/>
    </row>
    <row r="1675" spans="3:4" x14ac:dyDescent="0.25">
      <c r="C1675" s="180"/>
      <c r="D1675" s="180"/>
    </row>
    <row r="1676" spans="3:4" x14ac:dyDescent="0.25">
      <c r="C1676" s="180"/>
      <c r="D1676" s="180"/>
    </row>
    <row r="1677" spans="3:4" x14ac:dyDescent="0.25">
      <c r="C1677" s="180"/>
      <c r="D1677" s="180"/>
    </row>
    <row r="1678" spans="3:4" x14ac:dyDescent="0.25">
      <c r="C1678" s="180"/>
      <c r="D1678" s="180"/>
    </row>
    <row r="1679" spans="3:4" x14ac:dyDescent="0.25">
      <c r="C1679" s="180"/>
      <c r="D1679" s="180"/>
    </row>
    <row r="1680" spans="3:4" x14ac:dyDescent="0.25">
      <c r="C1680" s="180"/>
      <c r="D1680" s="180"/>
    </row>
    <row r="1681" spans="3:4" x14ac:dyDescent="0.25">
      <c r="C1681" s="180"/>
      <c r="D1681" s="180"/>
    </row>
    <row r="1682" spans="3:4" x14ac:dyDescent="0.25">
      <c r="C1682" s="180"/>
      <c r="D1682" s="180"/>
    </row>
    <row r="1683" spans="3:4" x14ac:dyDescent="0.25">
      <c r="C1683" s="180"/>
      <c r="D1683" s="180"/>
    </row>
    <row r="1684" spans="3:4" x14ac:dyDescent="0.25">
      <c r="C1684" s="180"/>
      <c r="D1684" s="180"/>
    </row>
    <row r="1685" spans="3:4" x14ac:dyDescent="0.25">
      <c r="C1685" s="180"/>
      <c r="D1685" s="180"/>
    </row>
    <row r="1686" spans="3:4" x14ac:dyDescent="0.25">
      <c r="C1686" s="180"/>
      <c r="D1686" s="180"/>
    </row>
    <row r="1687" spans="3:4" x14ac:dyDescent="0.25">
      <c r="C1687" s="180"/>
      <c r="D1687" s="180"/>
    </row>
    <row r="1688" spans="3:4" x14ac:dyDescent="0.25">
      <c r="C1688" s="180"/>
      <c r="D1688" s="180"/>
    </row>
    <row r="1689" spans="3:4" x14ac:dyDescent="0.25">
      <c r="C1689" s="180"/>
      <c r="D1689" s="180"/>
    </row>
    <row r="1690" spans="3:4" x14ac:dyDescent="0.25">
      <c r="C1690" s="180"/>
      <c r="D1690" s="180"/>
    </row>
    <row r="1691" spans="3:4" x14ac:dyDescent="0.25">
      <c r="C1691" s="180"/>
      <c r="D1691" s="180"/>
    </row>
    <row r="1692" spans="3:4" x14ac:dyDescent="0.25">
      <c r="C1692" s="180"/>
      <c r="D1692" s="180"/>
    </row>
    <row r="1693" spans="3:4" x14ac:dyDescent="0.25">
      <c r="C1693" s="180"/>
      <c r="D1693" s="180"/>
    </row>
    <row r="1694" spans="3:4" x14ac:dyDescent="0.25">
      <c r="C1694" s="180"/>
      <c r="D1694" s="180"/>
    </row>
    <row r="1695" spans="3:4" x14ac:dyDescent="0.25">
      <c r="C1695" s="180"/>
      <c r="D1695" s="180"/>
    </row>
    <row r="1696" spans="3:4" x14ac:dyDescent="0.25">
      <c r="C1696" s="180"/>
      <c r="D1696" s="180"/>
    </row>
    <row r="1697" spans="3:4" x14ac:dyDescent="0.25">
      <c r="C1697" s="180"/>
      <c r="D1697" s="180"/>
    </row>
    <row r="1698" spans="3:4" x14ac:dyDescent="0.25">
      <c r="C1698" s="180"/>
      <c r="D1698" s="180"/>
    </row>
    <row r="1699" spans="3:4" x14ac:dyDescent="0.25">
      <c r="C1699" s="180"/>
      <c r="D1699" s="180"/>
    </row>
    <row r="1700" spans="3:4" x14ac:dyDescent="0.25">
      <c r="C1700" s="180"/>
      <c r="D1700" s="180"/>
    </row>
    <row r="1701" spans="3:4" x14ac:dyDescent="0.25">
      <c r="C1701" s="180"/>
      <c r="D1701" s="180"/>
    </row>
    <row r="1702" spans="3:4" x14ac:dyDescent="0.25">
      <c r="C1702" s="180"/>
      <c r="D1702" s="180"/>
    </row>
    <row r="1703" spans="3:4" x14ac:dyDescent="0.25">
      <c r="C1703" s="180"/>
      <c r="D1703" s="180"/>
    </row>
    <row r="1704" spans="3:4" x14ac:dyDescent="0.25">
      <c r="C1704" s="180"/>
      <c r="D1704" s="180"/>
    </row>
    <row r="1705" spans="3:4" x14ac:dyDescent="0.25">
      <c r="C1705" s="180"/>
      <c r="D1705" s="180"/>
    </row>
    <row r="1706" spans="3:4" x14ac:dyDescent="0.25">
      <c r="C1706" s="180"/>
      <c r="D1706" s="180"/>
    </row>
    <row r="1707" spans="3:4" x14ac:dyDescent="0.25">
      <c r="C1707" s="180"/>
      <c r="D1707" s="180"/>
    </row>
    <row r="1708" spans="3:4" x14ac:dyDescent="0.25">
      <c r="C1708" s="180"/>
      <c r="D1708" s="180"/>
    </row>
    <row r="1709" spans="3:4" x14ac:dyDescent="0.25">
      <c r="C1709" s="180"/>
      <c r="D1709" s="180"/>
    </row>
    <row r="1710" spans="3:4" x14ac:dyDescent="0.25">
      <c r="C1710" s="180"/>
      <c r="D1710" s="180"/>
    </row>
    <row r="1711" spans="3:4" x14ac:dyDescent="0.25">
      <c r="C1711" s="180"/>
      <c r="D1711" s="180"/>
    </row>
    <row r="1712" spans="3:4" x14ac:dyDescent="0.25">
      <c r="C1712" s="180"/>
      <c r="D1712" s="180"/>
    </row>
    <row r="1713" spans="3:4" x14ac:dyDescent="0.25">
      <c r="C1713" s="180"/>
      <c r="D1713" s="180"/>
    </row>
    <row r="1714" spans="3:4" x14ac:dyDescent="0.25">
      <c r="C1714" s="180"/>
      <c r="D1714" s="180"/>
    </row>
    <row r="1715" spans="3:4" x14ac:dyDescent="0.25">
      <c r="C1715" s="180"/>
      <c r="D1715" s="180"/>
    </row>
    <row r="1716" spans="3:4" x14ac:dyDescent="0.25">
      <c r="C1716" s="180"/>
      <c r="D1716" s="180"/>
    </row>
    <row r="1717" spans="3:4" x14ac:dyDescent="0.25">
      <c r="C1717" s="180"/>
      <c r="D1717" s="180"/>
    </row>
    <row r="1718" spans="3:4" x14ac:dyDescent="0.25">
      <c r="C1718" s="180"/>
      <c r="D1718" s="180"/>
    </row>
    <row r="1719" spans="3:4" x14ac:dyDescent="0.25">
      <c r="C1719" s="180"/>
      <c r="D1719" s="180"/>
    </row>
    <row r="1720" spans="3:4" x14ac:dyDescent="0.25">
      <c r="C1720" s="180"/>
      <c r="D1720" s="180"/>
    </row>
    <row r="1721" spans="3:4" x14ac:dyDescent="0.25">
      <c r="C1721" s="180"/>
      <c r="D1721" s="180"/>
    </row>
    <row r="1722" spans="3:4" x14ac:dyDescent="0.25">
      <c r="C1722" s="180"/>
      <c r="D1722" s="180"/>
    </row>
    <row r="1723" spans="3:4" x14ac:dyDescent="0.25">
      <c r="C1723" s="180"/>
      <c r="D1723" s="180"/>
    </row>
    <row r="1724" spans="3:4" x14ac:dyDescent="0.25">
      <c r="C1724" s="180"/>
      <c r="D1724" s="180"/>
    </row>
    <row r="1725" spans="3:4" x14ac:dyDescent="0.25">
      <c r="C1725" s="180"/>
      <c r="D1725" s="180"/>
    </row>
    <row r="1726" spans="3:4" x14ac:dyDescent="0.25">
      <c r="C1726" s="180"/>
      <c r="D1726" s="180"/>
    </row>
    <row r="1727" spans="3:4" x14ac:dyDescent="0.25">
      <c r="C1727" s="180"/>
      <c r="D1727" s="180"/>
    </row>
    <row r="1728" spans="3:4" x14ac:dyDescent="0.25">
      <c r="C1728" s="180"/>
      <c r="D1728" s="180"/>
    </row>
    <row r="1729" spans="3:4" x14ac:dyDescent="0.25">
      <c r="C1729" s="180"/>
      <c r="D1729" s="180"/>
    </row>
    <row r="1730" spans="3:4" x14ac:dyDescent="0.25">
      <c r="C1730" s="180"/>
      <c r="D1730" s="180"/>
    </row>
    <row r="1731" spans="3:4" x14ac:dyDescent="0.25">
      <c r="C1731" s="180"/>
      <c r="D1731" s="180"/>
    </row>
    <row r="1732" spans="3:4" x14ac:dyDescent="0.25">
      <c r="C1732" s="180"/>
      <c r="D1732" s="180"/>
    </row>
    <row r="1733" spans="3:4" x14ac:dyDescent="0.25">
      <c r="C1733" s="180"/>
      <c r="D1733" s="180"/>
    </row>
    <row r="1734" spans="3:4" x14ac:dyDescent="0.25">
      <c r="C1734" s="180"/>
      <c r="D1734" s="180"/>
    </row>
    <row r="1735" spans="3:4" x14ac:dyDescent="0.25">
      <c r="C1735" s="180"/>
      <c r="D1735" s="180"/>
    </row>
    <row r="1736" spans="3:4" x14ac:dyDescent="0.25">
      <c r="C1736" s="180"/>
      <c r="D1736" s="180"/>
    </row>
    <row r="1737" spans="3:4" x14ac:dyDescent="0.25">
      <c r="C1737" s="180"/>
      <c r="D1737" s="180"/>
    </row>
    <row r="1738" spans="3:4" x14ac:dyDescent="0.25">
      <c r="C1738" s="180"/>
      <c r="D1738" s="180"/>
    </row>
    <row r="1739" spans="3:4" x14ac:dyDescent="0.25">
      <c r="C1739" s="180"/>
      <c r="D1739" s="180"/>
    </row>
    <row r="1740" spans="3:4" x14ac:dyDescent="0.25">
      <c r="C1740" s="180"/>
      <c r="D1740" s="180"/>
    </row>
    <row r="1741" spans="3:4" x14ac:dyDescent="0.25">
      <c r="C1741" s="180"/>
      <c r="D1741" s="180"/>
    </row>
    <row r="1742" spans="3:4" x14ac:dyDescent="0.25">
      <c r="C1742" s="180"/>
      <c r="D1742" s="180"/>
    </row>
    <row r="1743" spans="3:4" x14ac:dyDescent="0.25">
      <c r="C1743" s="180"/>
      <c r="D1743" s="180"/>
    </row>
    <row r="1744" spans="3:4" x14ac:dyDescent="0.25">
      <c r="C1744" s="180"/>
      <c r="D1744" s="180"/>
    </row>
    <row r="1745" spans="3:4" x14ac:dyDescent="0.25">
      <c r="C1745" s="180"/>
      <c r="D1745" s="180"/>
    </row>
    <row r="1746" spans="3:4" x14ac:dyDescent="0.25">
      <c r="C1746" s="180"/>
      <c r="D1746" s="180"/>
    </row>
    <row r="1747" spans="3:4" x14ac:dyDescent="0.25">
      <c r="C1747" s="180"/>
      <c r="D1747" s="180"/>
    </row>
    <row r="1748" spans="3:4" x14ac:dyDescent="0.25">
      <c r="C1748" s="180"/>
      <c r="D1748" s="180"/>
    </row>
    <row r="1749" spans="3:4" x14ac:dyDescent="0.25">
      <c r="C1749" s="180"/>
      <c r="D1749" s="180"/>
    </row>
    <row r="1750" spans="3:4" x14ac:dyDescent="0.25">
      <c r="C1750" s="180"/>
      <c r="D1750" s="180"/>
    </row>
    <row r="1751" spans="3:4" x14ac:dyDescent="0.25">
      <c r="C1751" s="180"/>
      <c r="D1751" s="180"/>
    </row>
    <row r="1752" spans="3:4" x14ac:dyDescent="0.25">
      <c r="C1752" s="180"/>
      <c r="D1752" s="180"/>
    </row>
    <row r="1753" spans="3:4" x14ac:dyDescent="0.25">
      <c r="C1753" s="180"/>
      <c r="D1753" s="180"/>
    </row>
    <row r="1754" spans="3:4" x14ac:dyDescent="0.25">
      <c r="C1754" s="180"/>
      <c r="D1754" s="180"/>
    </row>
    <row r="1755" spans="3:4" x14ac:dyDescent="0.25">
      <c r="C1755" s="180"/>
      <c r="D1755" s="180"/>
    </row>
    <row r="1756" spans="3:4" x14ac:dyDescent="0.25">
      <c r="C1756" s="180"/>
      <c r="D1756" s="180"/>
    </row>
    <row r="1757" spans="3:4" x14ac:dyDescent="0.25">
      <c r="C1757" s="180"/>
      <c r="D1757" s="180"/>
    </row>
    <row r="1758" spans="3:4" x14ac:dyDescent="0.25">
      <c r="C1758" s="180"/>
      <c r="D1758" s="180"/>
    </row>
    <row r="1759" spans="3:4" x14ac:dyDescent="0.25">
      <c r="C1759" s="180"/>
      <c r="D1759" s="180"/>
    </row>
    <row r="1760" spans="3:4" x14ac:dyDescent="0.25">
      <c r="C1760" s="180"/>
      <c r="D1760" s="180"/>
    </row>
    <row r="1761" spans="3:4" x14ac:dyDescent="0.25">
      <c r="C1761" s="180"/>
      <c r="D1761" s="180"/>
    </row>
    <row r="1762" spans="3:4" x14ac:dyDescent="0.25">
      <c r="C1762" s="180"/>
      <c r="D1762" s="180"/>
    </row>
    <row r="1763" spans="3:4" x14ac:dyDescent="0.25">
      <c r="C1763" s="180"/>
      <c r="D1763" s="180"/>
    </row>
    <row r="1764" spans="3:4" x14ac:dyDescent="0.25">
      <c r="C1764" s="180"/>
      <c r="D1764" s="180"/>
    </row>
    <row r="1765" spans="3:4" x14ac:dyDescent="0.25">
      <c r="C1765" s="180"/>
      <c r="D1765" s="180"/>
    </row>
    <row r="1766" spans="3:4" x14ac:dyDescent="0.25">
      <c r="C1766" s="180"/>
      <c r="D1766" s="180"/>
    </row>
    <row r="1767" spans="3:4" x14ac:dyDescent="0.25">
      <c r="C1767" s="180"/>
      <c r="D1767" s="180"/>
    </row>
    <row r="1768" spans="3:4" x14ac:dyDescent="0.25">
      <c r="C1768" s="180"/>
      <c r="D1768" s="180"/>
    </row>
    <row r="1769" spans="3:4" x14ac:dyDescent="0.25">
      <c r="C1769" s="180"/>
      <c r="D1769" s="180"/>
    </row>
    <row r="1770" spans="3:4" x14ac:dyDescent="0.25">
      <c r="C1770" s="180"/>
      <c r="D1770" s="180"/>
    </row>
    <row r="1771" spans="3:4" x14ac:dyDescent="0.25">
      <c r="C1771" s="180"/>
      <c r="D1771" s="180"/>
    </row>
    <row r="1772" spans="3:4" x14ac:dyDescent="0.25">
      <c r="C1772" s="180"/>
      <c r="D1772" s="180"/>
    </row>
    <row r="1773" spans="3:4" x14ac:dyDescent="0.25">
      <c r="C1773" s="180"/>
      <c r="D1773" s="180"/>
    </row>
    <row r="1774" spans="3:4" x14ac:dyDescent="0.25">
      <c r="C1774" s="180"/>
      <c r="D1774" s="180"/>
    </row>
    <row r="1775" spans="3:4" x14ac:dyDescent="0.25">
      <c r="C1775" s="180"/>
      <c r="D1775" s="180"/>
    </row>
    <row r="1776" spans="3:4" x14ac:dyDescent="0.25">
      <c r="C1776" s="180"/>
      <c r="D1776" s="180"/>
    </row>
    <row r="1777" spans="3:4" x14ac:dyDescent="0.25">
      <c r="C1777" s="180"/>
      <c r="D1777" s="180"/>
    </row>
    <row r="1778" spans="3:4" x14ac:dyDescent="0.25">
      <c r="C1778" s="180"/>
      <c r="D1778" s="180"/>
    </row>
    <row r="1779" spans="3:4" x14ac:dyDescent="0.25">
      <c r="C1779" s="180"/>
      <c r="D1779" s="180"/>
    </row>
    <row r="1780" spans="3:4" x14ac:dyDescent="0.25">
      <c r="C1780" s="180"/>
      <c r="D1780" s="180"/>
    </row>
    <row r="1781" spans="3:4" x14ac:dyDescent="0.25">
      <c r="C1781" s="180"/>
      <c r="D1781" s="180"/>
    </row>
    <row r="1782" spans="3:4" x14ac:dyDescent="0.25">
      <c r="C1782" s="180"/>
      <c r="D1782" s="180"/>
    </row>
    <row r="1783" spans="3:4" x14ac:dyDescent="0.25">
      <c r="C1783" s="180"/>
      <c r="D1783" s="180"/>
    </row>
    <row r="1784" spans="3:4" x14ac:dyDescent="0.25">
      <c r="C1784" s="180"/>
      <c r="D1784" s="180"/>
    </row>
    <row r="1785" spans="3:4" x14ac:dyDescent="0.25">
      <c r="C1785" s="180"/>
      <c r="D1785" s="180"/>
    </row>
    <row r="1786" spans="3:4" x14ac:dyDescent="0.25">
      <c r="C1786" s="180"/>
      <c r="D1786" s="180"/>
    </row>
    <row r="1787" spans="3:4" x14ac:dyDescent="0.25">
      <c r="C1787" s="180"/>
      <c r="D1787" s="180"/>
    </row>
    <row r="1788" spans="3:4" x14ac:dyDescent="0.25">
      <c r="C1788" s="180"/>
      <c r="D1788" s="180"/>
    </row>
    <row r="1789" spans="3:4" x14ac:dyDescent="0.25">
      <c r="C1789" s="180"/>
      <c r="D1789" s="180"/>
    </row>
    <row r="1790" spans="3:4" x14ac:dyDescent="0.25">
      <c r="C1790" s="180"/>
      <c r="D1790" s="180"/>
    </row>
    <row r="1791" spans="3:4" x14ac:dyDescent="0.25">
      <c r="C1791" s="180"/>
      <c r="D1791" s="180"/>
    </row>
    <row r="1792" spans="3:4" x14ac:dyDescent="0.25">
      <c r="C1792" s="180"/>
      <c r="D1792" s="180"/>
    </row>
    <row r="1793" spans="3:4" x14ac:dyDescent="0.25">
      <c r="C1793" s="180"/>
      <c r="D1793" s="180"/>
    </row>
    <row r="1794" spans="3:4" x14ac:dyDescent="0.25">
      <c r="C1794" s="180"/>
      <c r="D1794" s="180"/>
    </row>
    <row r="1795" spans="3:4" x14ac:dyDescent="0.25">
      <c r="C1795" s="180"/>
      <c r="D1795" s="180"/>
    </row>
    <row r="1796" spans="3:4" x14ac:dyDescent="0.25">
      <c r="C1796" s="180"/>
      <c r="D1796" s="180"/>
    </row>
    <row r="1797" spans="3:4" x14ac:dyDescent="0.25">
      <c r="C1797" s="180"/>
      <c r="D1797" s="180"/>
    </row>
    <row r="1798" spans="3:4" x14ac:dyDescent="0.25">
      <c r="C1798" s="180"/>
      <c r="D1798" s="180"/>
    </row>
    <row r="1799" spans="3:4" x14ac:dyDescent="0.25">
      <c r="C1799" s="180"/>
      <c r="D1799" s="180"/>
    </row>
    <row r="1800" spans="3:4" x14ac:dyDescent="0.25">
      <c r="C1800" s="180"/>
      <c r="D1800" s="180"/>
    </row>
    <row r="1801" spans="3:4" x14ac:dyDescent="0.25">
      <c r="C1801" s="180"/>
      <c r="D1801" s="180"/>
    </row>
    <row r="1802" spans="3:4" x14ac:dyDescent="0.25">
      <c r="C1802" s="180"/>
      <c r="D1802" s="180"/>
    </row>
  </sheetData>
  <sheetProtection password="EFD2" sheet="1" objects="1" scenarios="1" selectLockedCells="1"/>
  <conditionalFormatting sqref="E6">
    <cfRule type="containsBlanks" dxfId="1675" priority="60">
      <formula>LEN(TRIM(E6))=0</formula>
    </cfRule>
    <cfRule type="cellIs" dxfId="1674" priority="66" operator="greaterThan">
      <formula>$E$2</formula>
    </cfRule>
  </conditionalFormatting>
  <conditionalFormatting sqref="F6">
    <cfRule type="cellIs" dxfId="1673" priority="65" operator="greaterThan">
      <formula>$F$2</formula>
    </cfRule>
  </conditionalFormatting>
  <conditionalFormatting sqref="B6">
    <cfRule type="cellIs" dxfId="1672" priority="59" operator="equal">
      <formula>TRUE</formula>
    </cfRule>
  </conditionalFormatting>
  <conditionalFormatting sqref="F6:G6">
    <cfRule type="cellIs" dxfId="1671" priority="61" operator="equal">
      <formula>"EXC"</formula>
    </cfRule>
    <cfRule type="cellIs" dxfId="1670" priority="64" operator="equal">
      <formula>"ABS"</formula>
    </cfRule>
  </conditionalFormatting>
  <conditionalFormatting sqref="E7">
    <cfRule type="containsBlanks" dxfId="1669" priority="50">
      <formula>LEN(TRIM(E7))=0</formula>
    </cfRule>
    <cfRule type="cellIs" dxfId="1668" priority="54" operator="greaterThan">
      <formula>$E$2</formula>
    </cfRule>
  </conditionalFormatting>
  <conditionalFormatting sqref="F7">
    <cfRule type="cellIs" dxfId="1667" priority="53" operator="greaterThan">
      <formula>$F$2</formula>
    </cfRule>
  </conditionalFormatting>
  <conditionalFormatting sqref="B7">
    <cfRule type="cellIs" dxfId="1666" priority="49" operator="equal">
      <formula>TRUE</formula>
    </cfRule>
  </conditionalFormatting>
  <conditionalFormatting sqref="F7:G7">
    <cfRule type="cellIs" dxfId="1665" priority="51" operator="equal">
      <formula>"EXC"</formula>
    </cfRule>
    <cfRule type="cellIs" dxfId="1664" priority="52" operator="equal">
      <formula>"ABS"</formula>
    </cfRule>
  </conditionalFormatting>
  <conditionalFormatting sqref="E8">
    <cfRule type="containsBlanks" dxfId="1663" priority="44">
      <formula>LEN(TRIM(E8))=0</formula>
    </cfRule>
    <cfRule type="cellIs" dxfId="1662" priority="48" operator="greaterThan">
      <formula>$E$2</formula>
    </cfRule>
  </conditionalFormatting>
  <conditionalFormatting sqref="F8">
    <cfRule type="cellIs" dxfId="1661" priority="47" operator="greaterThan">
      <formula>$F$2</formula>
    </cfRule>
  </conditionalFormatting>
  <conditionalFormatting sqref="B8">
    <cfRule type="cellIs" dxfId="1660" priority="43" operator="equal">
      <formula>TRUE</formula>
    </cfRule>
  </conditionalFormatting>
  <conditionalFormatting sqref="F8:G8">
    <cfRule type="cellIs" dxfId="1659" priority="45" operator="equal">
      <formula>"EXC"</formula>
    </cfRule>
    <cfRule type="cellIs" dxfId="1658" priority="46" operator="equal">
      <formula>"ABS"</formula>
    </cfRule>
  </conditionalFormatting>
  <conditionalFormatting sqref="E9">
    <cfRule type="containsBlanks" dxfId="1657" priority="38">
      <formula>LEN(TRIM(E9))=0</formula>
    </cfRule>
    <cfRule type="cellIs" dxfId="1656" priority="42" operator="greaterThan">
      <formula>$E$2</formula>
    </cfRule>
  </conditionalFormatting>
  <conditionalFormatting sqref="F9">
    <cfRule type="cellIs" dxfId="1655" priority="41" operator="greaterThan">
      <formula>$F$2</formula>
    </cfRule>
  </conditionalFormatting>
  <conditionalFormatting sqref="B9">
    <cfRule type="cellIs" dxfId="1654" priority="37" operator="equal">
      <formula>TRUE</formula>
    </cfRule>
  </conditionalFormatting>
  <conditionalFormatting sqref="F9:G9">
    <cfRule type="cellIs" dxfId="1653" priority="39" operator="equal">
      <formula>"EXC"</formula>
    </cfRule>
    <cfRule type="cellIs" dxfId="1652" priority="40" operator="equal">
      <formula>"ABS"</formula>
    </cfRule>
  </conditionalFormatting>
  <conditionalFormatting sqref="E10">
    <cfRule type="containsBlanks" dxfId="1651" priority="32">
      <formula>LEN(TRIM(E10))=0</formula>
    </cfRule>
    <cfRule type="cellIs" dxfId="1650" priority="36" operator="greaterThan">
      <formula>$E$2</formula>
    </cfRule>
  </conditionalFormatting>
  <conditionalFormatting sqref="F10">
    <cfRule type="cellIs" dxfId="1649" priority="35" operator="greaterThan">
      <formula>$F$2</formula>
    </cfRule>
  </conditionalFormatting>
  <conditionalFormatting sqref="B10">
    <cfRule type="cellIs" dxfId="1648" priority="31" operator="equal">
      <formula>TRUE</formula>
    </cfRule>
  </conditionalFormatting>
  <conditionalFormatting sqref="F10:G10">
    <cfRule type="cellIs" dxfId="1647" priority="33" operator="equal">
      <formula>"EXC"</formula>
    </cfRule>
    <cfRule type="cellIs" dxfId="1646" priority="34" operator="equal">
      <formula>"ABS"</formula>
    </cfRule>
  </conditionalFormatting>
  <conditionalFormatting sqref="E11">
    <cfRule type="containsBlanks" dxfId="1645" priority="26">
      <formula>LEN(TRIM(E11))=0</formula>
    </cfRule>
    <cfRule type="cellIs" dxfId="1644" priority="30" operator="greaterThan">
      <formula>$E$2</formula>
    </cfRule>
  </conditionalFormatting>
  <conditionalFormatting sqref="F11">
    <cfRule type="cellIs" dxfId="1643" priority="29" operator="greaterThan">
      <formula>$F$2</formula>
    </cfRule>
  </conditionalFormatting>
  <conditionalFormatting sqref="B11">
    <cfRule type="cellIs" dxfId="1642" priority="25" operator="equal">
      <formula>TRUE</formula>
    </cfRule>
  </conditionalFormatting>
  <conditionalFormatting sqref="F11:G11">
    <cfRule type="cellIs" dxfId="1641" priority="27" operator="equal">
      <formula>"EXC"</formula>
    </cfRule>
    <cfRule type="cellIs" dxfId="1640" priority="28" operator="equal">
      <formula>"ABS"</formula>
    </cfRule>
  </conditionalFormatting>
  <conditionalFormatting sqref="E12">
    <cfRule type="containsBlanks" dxfId="1639" priority="20">
      <formula>LEN(TRIM(E12))=0</formula>
    </cfRule>
    <cfRule type="cellIs" dxfId="1638" priority="24" operator="greaterThan">
      <formula>$E$2</formula>
    </cfRule>
  </conditionalFormatting>
  <conditionalFormatting sqref="F12">
    <cfRule type="cellIs" dxfId="1637" priority="23" operator="greaterThan">
      <formula>$F$2</formula>
    </cfRule>
  </conditionalFormatting>
  <conditionalFormatting sqref="B12">
    <cfRule type="cellIs" dxfId="1636" priority="19" operator="equal">
      <formula>TRUE</formula>
    </cfRule>
  </conditionalFormatting>
  <conditionalFormatting sqref="F12:G12">
    <cfRule type="cellIs" dxfId="1635" priority="21" operator="equal">
      <formula>"EXC"</formula>
    </cfRule>
    <cfRule type="cellIs" dxfId="1634" priority="22" operator="equal">
      <formula>"ABS"</formula>
    </cfRule>
  </conditionalFormatting>
  <conditionalFormatting sqref="E13">
    <cfRule type="containsBlanks" dxfId="1633" priority="14">
      <formula>LEN(TRIM(E13))=0</formula>
    </cfRule>
    <cfRule type="cellIs" dxfId="1632" priority="18" operator="greaterThan">
      <formula>$E$2</formula>
    </cfRule>
  </conditionalFormatting>
  <conditionalFormatting sqref="F13">
    <cfRule type="cellIs" dxfId="1631" priority="17" operator="greaterThan">
      <formula>$F$2</formula>
    </cfRule>
  </conditionalFormatting>
  <conditionalFormatting sqref="B13">
    <cfRule type="cellIs" dxfId="1630" priority="13" operator="equal">
      <formula>TRUE</formula>
    </cfRule>
  </conditionalFormatting>
  <conditionalFormatting sqref="F13:G13">
    <cfRule type="cellIs" dxfId="1629" priority="15" operator="equal">
      <formula>"EXC"</formula>
    </cfRule>
    <cfRule type="cellIs" dxfId="1628" priority="16" operator="equal">
      <formula>"ABS"</formula>
    </cfRule>
  </conditionalFormatting>
  <conditionalFormatting sqref="E14">
    <cfRule type="containsBlanks" dxfId="1627" priority="8">
      <formula>LEN(TRIM(E14))=0</formula>
    </cfRule>
    <cfRule type="cellIs" dxfId="1626" priority="12" operator="greaterThan">
      <formula>$E$2</formula>
    </cfRule>
  </conditionalFormatting>
  <conditionalFormatting sqref="F14">
    <cfRule type="cellIs" dxfId="1625" priority="11" operator="greaterThan">
      <formula>$F$2</formula>
    </cfRule>
  </conditionalFormatting>
  <conditionalFormatting sqref="B14">
    <cfRule type="cellIs" dxfId="1624" priority="7" operator="equal">
      <formula>TRUE</formula>
    </cfRule>
  </conditionalFormatting>
  <conditionalFormatting sqref="F14:G14">
    <cfRule type="cellIs" dxfId="1623" priority="9" operator="equal">
      <formula>"EXC"</formula>
    </cfRule>
    <cfRule type="cellIs" dxfId="1622" priority="10" operator="equal">
      <formula>"ABS"</formula>
    </cfRule>
  </conditionalFormatting>
  <conditionalFormatting sqref="E15">
    <cfRule type="containsBlanks" dxfId="1621" priority="2">
      <formula>LEN(TRIM(E15))=0</formula>
    </cfRule>
    <cfRule type="cellIs" dxfId="1620" priority="6" operator="greaterThan">
      <formula>$E$2</formula>
    </cfRule>
  </conditionalFormatting>
  <conditionalFormatting sqref="F15">
    <cfRule type="cellIs" dxfId="1619" priority="5" operator="greaterThan">
      <formula>$F$2</formula>
    </cfRule>
  </conditionalFormatting>
  <conditionalFormatting sqref="B15">
    <cfRule type="cellIs" dxfId="1618" priority="1" operator="equal">
      <formula>TRUE</formula>
    </cfRule>
  </conditionalFormatting>
  <conditionalFormatting sqref="F15:G15">
    <cfRule type="cellIs" dxfId="1617" priority="3" operator="equal">
      <formula>"EXC"</formula>
    </cfRule>
    <cfRule type="cellIs" dxfId="1616" priority="4" operator="equal">
      <formula>"ABS"</formula>
    </cfRule>
  </conditionalFormatting>
  <pageMargins left="0.70866141732283472" right="0.70866141732283472" top="0.74803149606299213" bottom="0.74803149606299213" header="0.31496062992125984" footer="0.31496062992125984"/>
  <pageSetup paperSize="9" scale="84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I16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10.5703125" style="2" customWidth="1"/>
    <col min="6" max="28" width="9.140625" style="2"/>
  </cols>
  <sheetData>
    <row r="1" spans="1:35" ht="15.75" thickBot="1" x14ac:dyDescent="0.3">
      <c r="A1" s="1" t="s">
        <v>10</v>
      </c>
      <c r="D1" s="126" t="s">
        <v>1</v>
      </c>
      <c r="E1" s="15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2"/>
      <c r="AD1" s="22"/>
      <c r="AE1" s="2"/>
      <c r="AF1" s="2"/>
      <c r="AG1" s="2"/>
      <c r="AH1" s="2"/>
      <c r="AI1" s="2"/>
    </row>
    <row r="2" spans="1:35" ht="15.75" thickBot="1" x14ac:dyDescent="0.3">
      <c r="D2" s="3" t="s">
        <v>2</v>
      </c>
      <c r="E2" s="17">
        <v>100</v>
      </c>
      <c r="F2" s="192">
        <f>'VULA LAB'!D2</f>
        <v>20</v>
      </c>
      <c r="G2" s="192">
        <f>'VULA LAB'!F2</f>
        <v>20</v>
      </c>
      <c r="H2" s="192">
        <f>'VULA LAB'!H2</f>
        <v>0</v>
      </c>
      <c r="I2" s="192">
        <f>'VULA LAB'!J2</f>
        <v>0</v>
      </c>
      <c r="J2" s="192">
        <f>'VULA LAB'!L2</f>
        <v>0</v>
      </c>
      <c r="K2" s="192">
        <f>'VULA LAB'!N2</f>
        <v>0</v>
      </c>
      <c r="L2" s="192">
        <f>'VULA LAB'!P2</f>
        <v>0</v>
      </c>
      <c r="M2" s="192">
        <f>'VULA LAB'!R2</f>
        <v>0</v>
      </c>
      <c r="N2" s="192">
        <f>'VULA LAB'!T2</f>
        <v>0</v>
      </c>
      <c r="O2" s="192">
        <f>'VULA LAB'!V2</f>
        <v>0</v>
      </c>
      <c r="P2" s="192">
        <f>'VULA LAB'!X2</f>
        <v>0</v>
      </c>
      <c r="Q2" s="192">
        <f>'VULA LAB'!Z2</f>
        <v>0</v>
      </c>
      <c r="R2" s="192">
        <f>'VULA LAB'!AB2</f>
        <v>0</v>
      </c>
      <c r="S2" s="192">
        <f>'VULA LAB'!AD2</f>
        <v>0</v>
      </c>
      <c r="T2" s="192">
        <f>'VULA LAB'!AF2</f>
        <v>0</v>
      </c>
      <c r="U2" s="192">
        <f>'VULA LAB'!AH2</f>
        <v>0</v>
      </c>
      <c r="V2" s="192">
        <f>'VULA LAB'!AJ2</f>
        <v>0</v>
      </c>
      <c r="W2" s="192">
        <f>'VULA LAB'!AL2</f>
        <v>0</v>
      </c>
      <c r="X2" s="192">
        <f>'VULA LAB'!AN2</f>
        <v>0</v>
      </c>
      <c r="Y2" s="192">
        <f>'VULA LAB'!AP2</f>
        <v>0</v>
      </c>
      <c r="Z2" s="131"/>
      <c r="AA2" s="19"/>
      <c r="AB2" s="20">
        <v>100</v>
      </c>
      <c r="AC2" s="2"/>
      <c r="AD2" s="22"/>
      <c r="AE2" s="2"/>
      <c r="AF2" s="2"/>
      <c r="AG2" s="2"/>
      <c r="AH2" s="2"/>
      <c r="AI2" s="2"/>
    </row>
    <row r="3" spans="1:35" ht="15.75" thickBot="1" x14ac:dyDescent="0.3">
      <c r="D3" s="3" t="s">
        <v>11</v>
      </c>
      <c r="E3" s="21"/>
      <c r="F3" s="193">
        <f>IF('VULA LAB'!$B$1 &gt;= 1,1,0)</f>
        <v>1</v>
      </c>
      <c r="G3" s="193">
        <f>IF('VULA LAB'!$B$1 &gt;= 2,1,0)</f>
        <v>1</v>
      </c>
      <c r="H3" s="193">
        <f>IF('VULA LAB'!$B$1 &gt;= 3,1,0)</f>
        <v>0</v>
      </c>
      <c r="I3" s="193">
        <f>IF('VULA LAB'!$B$1 &gt;= 4,1,0)</f>
        <v>0</v>
      </c>
      <c r="J3" s="193">
        <f>IF('VULA LAB'!$B$1 &gt;= 5,1,0)</f>
        <v>0</v>
      </c>
      <c r="K3" s="193">
        <f>IF('VULA LAB'!$B$1 &gt;= 6,1,0)</f>
        <v>0</v>
      </c>
      <c r="L3" s="193">
        <f>IF('VULA LAB'!$B$1 &gt;= 7,1,0)</f>
        <v>0</v>
      </c>
      <c r="M3" s="193">
        <f>IF('VULA LAB'!$B$1 &gt;= 8,1,0)</f>
        <v>0</v>
      </c>
      <c r="N3" s="193">
        <f>IF('VULA LAB'!$B$1 &gt;= 9,1,0)</f>
        <v>0</v>
      </c>
      <c r="O3" s="193">
        <f>IF('VULA LAB'!$B$1 &gt;= 10,1,0)</f>
        <v>0</v>
      </c>
      <c r="P3" s="193">
        <f>IF('VULA LAB'!$B$1 &gt;= 11,1,0)</f>
        <v>0</v>
      </c>
      <c r="Q3" s="193">
        <f>IF('VULA LAB'!$B$1 &gt;= 12,1,0)</f>
        <v>0</v>
      </c>
      <c r="R3" s="193">
        <f>IF('VULA LAB'!$B$1 &gt;= 13,1,0)</f>
        <v>0</v>
      </c>
      <c r="S3" s="193">
        <f>IF('VULA LAB'!$B$1 &gt;= 14,1,0)</f>
        <v>0</v>
      </c>
      <c r="T3" s="193">
        <f>IF('VULA LAB'!$B$1 &gt;= 15,1,0)</f>
        <v>0</v>
      </c>
      <c r="U3" s="193">
        <f>IF('VULA LAB'!$B$1 &gt;= 16,1,0)</f>
        <v>0</v>
      </c>
      <c r="V3" s="193">
        <f>IF('VULA LAB'!$B$1 &gt;= 17,1,0)</f>
        <v>0</v>
      </c>
      <c r="W3" s="193">
        <f>IF('VULA LAB'!$B$1 &gt;= 18,1,0)</f>
        <v>0</v>
      </c>
      <c r="X3" s="193">
        <f>IF('VULA LAB'!$B$1 &gt;= 19,1,0)</f>
        <v>0</v>
      </c>
      <c r="Y3" s="193">
        <f>IF('VULA LAB'!$B$1 &gt;= 20,1,0)</f>
        <v>0</v>
      </c>
      <c r="Z3" s="132"/>
      <c r="AA3" s="19"/>
      <c r="AB3" s="19"/>
      <c r="AC3" s="2"/>
      <c r="AD3" s="28"/>
      <c r="AE3" s="2"/>
      <c r="AF3" s="2"/>
      <c r="AG3" s="2"/>
      <c r="AH3" s="2"/>
      <c r="AI3" s="2"/>
    </row>
    <row r="4" spans="1:35" ht="15.75" thickBot="1" x14ac:dyDescent="0.3">
      <c r="D4" s="6" t="s">
        <v>3</v>
      </c>
      <c r="E4" s="19"/>
      <c r="F4" s="23">
        <f>IF(SUM(F7:F2000)=0,"",AVERAGE(F7:F2000))</f>
        <v>15.714285714285714</v>
      </c>
      <c r="G4" s="23">
        <f t="shared" ref="G4:Y4" si="0">IF(SUM(G7:G2000)=0,"",AVERAGE(G7:G2000))</f>
        <v>16.25</v>
      </c>
      <c r="H4" s="23" t="str">
        <f t="shared" si="0"/>
        <v/>
      </c>
      <c r="I4" s="23" t="str">
        <f t="shared" si="0"/>
        <v/>
      </c>
      <c r="J4" s="23" t="str">
        <f t="shared" si="0"/>
        <v/>
      </c>
      <c r="K4" s="23" t="str">
        <f t="shared" si="0"/>
        <v/>
      </c>
      <c r="L4" s="23" t="str">
        <f t="shared" si="0"/>
        <v/>
      </c>
      <c r="M4" s="23" t="str">
        <f t="shared" si="0"/>
        <v/>
      </c>
      <c r="N4" s="23" t="str">
        <f t="shared" si="0"/>
        <v/>
      </c>
      <c r="O4" s="23" t="str">
        <f t="shared" si="0"/>
        <v/>
      </c>
      <c r="P4" s="23" t="str">
        <f t="shared" si="0"/>
        <v/>
      </c>
      <c r="Q4" s="23" t="str">
        <f t="shared" si="0"/>
        <v/>
      </c>
      <c r="R4" s="23" t="str">
        <f t="shared" si="0"/>
        <v/>
      </c>
      <c r="S4" s="23" t="str">
        <f t="shared" si="0"/>
        <v/>
      </c>
      <c r="T4" s="23" t="str">
        <f t="shared" si="0"/>
        <v/>
      </c>
      <c r="U4" s="23" t="str">
        <f t="shared" si="0"/>
        <v/>
      </c>
      <c r="V4" s="23" t="str">
        <f t="shared" si="0"/>
        <v/>
      </c>
      <c r="W4" s="23" t="str">
        <f t="shared" si="0"/>
        <v/>
      </c>
      <c r="X4" s="23" t="str">
        <f t="shared" si="0"/>
        <v/>
      </c>
      <c r="Y4" s="23" t="str">
        <f t="shared" si="0"/>
        <v/>
      </c>
      <c r="Z4" s="133"/>
      <c r="AA4" s="24"/>
      <c r="AB4" s="23" t="e">
        <f>IF(SUM(AB7:AB2000)=0,"",AVERAGE(AB7:AB2000))</f>
        <v>#DIV/0!</v>
      </c>
      <c r="AC4" s="2"/>
      <c r="AD4" s="22"/>
      <c r="AE4" s="2"/>
      <c r="AF4" s="2"/>
      <c r="AG4" s="2"/>
      <c r="AH4" s="2"/>
      <c r="AI4" s="2"/>
    </row>
    <row r="5" spans="1:35" s="29" customFormat="1" ht="15.75" thickBot="1" x14ac:dyDescent="0.3">
      <c r="A5" s="8"/>
      <c r="B5" s="8"/>
      <c r="C5" s="8"/>
      <c r="D5" s="127"/>
      <c r="E5" s="128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134"/>
      <c r="AA5" s="26"/>
      <c r="AB5" s="26"/>
      <c r="AC5" s="27"/>
      <c r="AD5" s="22"/>
      <c r="AE5" s="27"/>
      <c r="AF5" s="27"/>
      <c r="AG5" s="27"/>
      <c r="AH5" s="27"/>
      <c r="AI5" s="27"/>
    </row>
    <row r="6" spans="1:35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182" t="s">
        <v>7</v>
      </c>
      <c r="F6" s="183" t="s">
        <v>12</v>
      </c>
      <c r="G6" s="184" t="s">
        <v>13</v>
      </c>
      <c r="H6" s="185" t="s">
        <v>14</v>
      </c>
      <c r="I6" s="183" t="s">
        <v>15</v>
      </c>
      <c r="J6" s="184" t="s">
        <v>16</v>
      </c>
      <c r="K6" s="185" t="s">
        <v>17</v>
      </c>
      <c r="L6" s="183" t="s">
        <v>18</v>
      </c>
      <c r="M6" s="184" t="s">
        <v>19</v>
      </c>
      <c r="N6" s="185" t="s">
        <v>20</v>
      </c>
      <c r="O6" s="183" t="s">
        <v>21</v>
      </c>
      <c r="P6" s="184" t="s">
        <v>22</v>
      </c>
      <c r="Q6" s="185" t="s">
        <v>148</v>
      </c>
      <c r="R6" s="183" t="s">
        <v>154</v>
      </c>
      <c r="S6" s="184" t="s">
        <v>155</v>
      </c>
      <c r="T6" s="185" t="s">
        <v>178</v>
      </c>
      <c r="U6" s="183" t="s">
        <v>179</v>
      </c>
      <c r="V6" s="184" t="s">
        <v>180</v>
      </c>
      <c r="W6" s="185" t="s">
        <v>181</v>
      </c>
      <c r="X6" s="183" t="s">
        <v>182</v>
      </c>
      <c r="Y6" s="184" t="s">
        <v>183</v>
      </c>
      <c r="Z6" s="135"/>
      <c r="AA6" s="30" t="s">
        <v>8</v>
      </c>
      <c r="AB6" s="31" t="s">
        <v>9</v>
      </c>
      <c r="AC6" s="2"/>
      <c r="AD6" s="22"/>
      <c r="AE6" s="2"/>
      <c r="AF6" s="2"/>
      <c r="AG6" s="2"/>
      <c r="AH6" s="2"/>
      <c r="AI6" s="2"/>
    </row>
    <row r="7" spans="1:35" x14ac:dyDescent="0.25">
      <c r="A7" s="34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32" t="str">
        <f>IF(ISBLANK(VLOOKUP($C7,'VULA LAB'!$A:$AQ,3)),"",VLOOKUP($C7,'VULA LAB'!$A:$AQ,3))</f>
        <v/>
      </c>
      <c r="F7" s="32">
        <f>IF(ISBLANK(VLOOKUP($C7,'VULA LAB'!$A:$AQ,3)),IF(VLOOKUP($C7,'VULA LAB'!$A:$AQ,5)=1,"EXC",VLOOKUP($C7,'VULA LAB'!$A:$AQ,4)),"")</f>
        <v>20</v>
      </c>
      <c r="G7" s="32">
        <f>IF(ISBLANK(VLOOKUP($C7,'VULA LAB'!$A:$AQ,3)),IF(VLOOKUP($C7,'VULA LAB'!$A:$AQ,7)=1,"EXC",VLOOKUP($C7,'VULA LAB'!$A:$AQ,6)),"")</f>
        <v>20</v>
      </c>
      <c r="H7" s="32">
        <f>IF(ISBLANK(VLOOKUP($C7,'VULA LAB'!$A:$AQ,3)),IF(VLOOKUP($C7,'VULA LAB'!$A:$AQ,9)=1,"EXC",VLOOKUP($C7,'VULA LAB'!$A:$AQ,8)),"")</f>
        <v>0</v>
      </c>
      <c r="I7" s="32">
        <f>IF(ISBLANK(VLOOKUP($C7,'VULA LAB'!$A:$AQ,3)),IF(VLOOKUP($C7,'VULA LAB'!$A:$AQ,11)=1,"EXC",VLOOKUP($C7,'VULA LAB'!$A:$AQ,10)),"")</f>
        <v>0</v>
      </c>
      <c r="J7" s="32">
        <f>IF(ISBLANK(VLOOKUP($C7,'VULA LAB'!$A:$AQ,3)),IF(VLOOKUP($C7,'VULA LAB'!$A:$AQ,13)=1,"EXC",VLOOKUP($C7,'VULA LAB'!$A:$AQ,12)),"")</f>
        <v>0</v>
      </c>
      <c r="K7" s="32">
        <f>IF(ISBLANK(VLOOKUP($C7,'VULA LAB'!$A:$AQ,3)),IF(VLOOKUP($C7,'VULA LAB'!$A:$AQ,15)=1,"EXC",VLOOKUP($C7,'VULA LAB'!$A:$AQ,14)),"")</f>
        <v>0</v>
      </c>
      <c r="L7" s="32">
        <f>IF(ISBLANK(VLOOKUP($C7,'VULA LAB'!$A:$AQ,3)),IF(VLOOKUP($C7,'VULA LAB'!$A:$AQ,17)=1,"EXC",VLOOKUP($C7,'VULA LAB'!$A:$AQ,16)),"")</f>
        <v>0</v>
      </c>
      <c r="M7" s="32">
        <f>IF(ISBLANK(VLOOKUP($C7,'VULA LAB'!$A:$AQ,3)),IF(VLOOKUP($C7,'VULA LAB'!$A:$AQ,19)=1,"EXC",VLOOKUP($C7,'VULA LAB'!$A:$AQ,18)),"")</f>
        <v>0</v>
      </c>
      <c r="N7" s="32">
        <f>IF(ISBLANK(VLOOKUP($C7,'VULA LAB'!$A:$AQ,3)),IF(VLOOKUP($C7,'VULA LAB'!$A:$AQ,21)=1,"EXC",VLOOKUP($C7,'VULA LAB'!$A:$AQ,20)),"")</f>
        <v>0</v>
      </c>
      <c r="O7" s="32">
        <f>IF(ISBLANK(VLOOKUP($C7,'VULA LAB'!$A:$AQ,3)),IF(VLOOKUP($C7,'VULA LAB'!$A:$AQ,23)=1,"EXC",VLOOKUP($C7,'VULA LAB'!$A:$AQ,22)),"")</f>
        <v>0</v>
      </c>
      <c r="P7" s="32">
        <f>IF(ISBLANK(VLOOKUP($C7,'VULA LAB'!$A:$AQ,3)),IF(VLOOKUP($C7,'VULA LAB'!$A:$AQ,25)=1,"EXC",VLOOKUP($C7,'VULA LAB'!$A:$AQ,24)),"")</f>
        <v>0</v>
      </c>
      <c r="Q7" s="32">
        <f>IF(ISBLANK(VLOOKUP($C7,'VULA LAB'!$A:$AQ,3)),IF(VLOOKUP($C7,'VULA LAB'!$A:$AQ,27)=1,"EXC",VLOOKUP($C7,'VULA LAB'!$A:$AQ,26)),"")</f>
        <v>0</v>
      </c>
      <c r="R7" s="32">
        <f>IF(ISBLANK(VLOOKUP($C7,'VULA LAB'!$A:$AQ,3)),IF(VLOOKUP($C7,'VULA LAB'!$A:$AQ,29)=1,"EXC",VLOOKUP($C7,'VULA LAB'!$A:$AQ,28)),"")</f>
        <v>0</v>
      </c>
      <c r="S7" s="32">
        <f>IF(ISBLANK(VLOOKUP($C7,'VULA LAB'!$A:$AQ,3)),IF(VLOOKUP($C7,'VULA LAB'!$A:$AQ,31)=1,"EXC",VLOOKUP($C7,'VULA LAB'!$A:$AQ,30)),"")</f>
        <v>0</v>
      </c>
      <c r="T7" s="32">
        <f>IF(ISBLANK(VLOOKUP($C7,'VULA LAB'!$A:$AQ,3)),IF(VLOOKUP($C7,'VULA LAB'!$A:$AQ,33)=1,"EXC",VLOOKUP($C7,'VULA LAB'!$A:$AQ,32)),"")</f>
        <v>0</v>
      </c>
      <c r="U7" s="32">
        <f>IF(ISBLANK(VLOOKUP($C7,'VULA LAB'!$A:$AQ,3)),IF(VLOOKUP($C7,'VULA LAB'!$A:$AQ,35)=1,"EXC",VLOOKUP($C7,'VULA LAB'!$A:$AQ,34)),"")</f>
        <v>0</v>
      </c>
      <c r="V7" s="32">
        <f>IF(ISBLANK(VLOOKUP($C7,'VULA LAB'!$A:$AQ,3)),IF(VLOOKUP($C7,'VULA LAB'!$A:$AQ,37)=1,"EXC",VLOOKUP($C7,'VULA LAB'!$A:$AQ,36)),"")</f>
        <v>0</v>
      </c>
      <c r="W7" s="32">
        <f>IF(ISBLANK(VLOOKUP($C7,'VULA LAB'!$A:$AQ,3)),IF(VLOOKUP($C7,'VULA LAB'!$A:$AQ,39)=1,"EXC",VLOOKUP($C7,'VULA LAB'!$A:$AQ,38)),"")</f>
        <v>0</v>
      </c>
      <c r="X7" s="32">
        <f>IF(ISBLANK(VLOOKUP($C7,'VULA LAB'!$A:$AQ,3)),IF(VLOOKUP($C7,'VULA LAB'!$A:$AQ,41)=1,"EXC",VLOOKUP($C7,'VULA LAB'!$A:$AQ,40)),"")</f>
        <v>0</v>
      </c>
      <c r="Y7" s="32">
        <f>IF(ISBLANK(VLOOKUP($C7,'VULA LAB'!$A:$AQ,3)),IF(VLOOKUP($C7,'VULA LAB'!$A:$AQ,43)=1,"EXC",VLOOKUP($C7,'VULA LAB'!$A:$AQ,42)),"")</f>
        <v>0</v>
      </c>
      <c r="Z7" s="129"/>
      <c r="AA7" s="32">
        <f t="shared" ref="AA7:AA16" si="1">IF(COUNTBLANK(E7) = 0,"EXC",SUM(F7:Y7))</f>
        <v>40</v>
      </c>
      <c r="AB7" s="33">
        <f t="shared" ref="AB7:AB16" si="2">IF(COUNTBLANK(E7)=0,E7,100*(IF(OR(F7="EXC",F7="ABS"),0,F7)*$F$3+IF(OR(G7="EXC",G7="ABS"),0,G7)*$G$3+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+IF(OR(Q7="EXC",Q7="ABS"),0,Q7)*$Q$3+IF(OR(R7="EXC",R7="ABS"),0,R7)*$R$3+IF(OR(S7="EXC",S7="ABS"),0,S7)*$S$3+IF(OR(T7="EXC",T7="ABS"),0,T7)*$T$3+IF(OR(U7="EXC",U7="ABS"),0,U7)*$U$3+IF(OR(V7="EXC",V7="ABS"),0,V7)*$V$3+IF(OR(W7="EXC",W7="ABS"),0,W7)*$W$3+IF(OR(X7="EXC",X7="ABS"),0,X7)*$X$3+IF(OR(Y7="EXC",Y7="ABS"),0,Y7)*$Y$3)/(IF(F7="EXC",0,$F$2)*$F$3+IF(G7="EXC",0,$G$2)*$G$3+IF(H7="EXC",0,$H$2)*$H$3+IF(I7="EXC",0,$I$2)*$I$3+IF(J7="EXC",0,$J$2)*$J$3+IF(K7="EXC",0,$K$2)*$K$3+IF(L7="EXC",0,$L$2)*$L$3+IF(M7="EXC",0,$M$2)*$M$3+IF(N7="EXC",0,$N$2)*$N$3+IF(O7="EXC",0,$O$2)*$O$3+IF(P7="EXC",0,$P$2)*$P$3+IF(Q7="EXC",0,$Q$2)*$Q$3+IF(R7="EXC",0,$R$2)*$R$3+IF(S7="EXC",0,$S$2)*$S$3+IF(T7="EXC",0,$T$2)*$T$3+IF(U7="EXC",0,$U$2)*$U$3+IF(V7="EXC",0,$V$2)*$V$3+IF(W7="EXC",0,$W$2)*$W$3+IF(X7="EXC",0,$X$2)*$X$3+IF(Y7="EXC",0,$Y$2)*$Y$3))</f>
        <v>100</v>
      </c>
      <c r="AC7" s="2"/>
      <c r="AD7" s="22"/>
      <c r="AE7" s="2"/>
      <c r="AF7" s="2"/>
      <c r="AG7" s="2"/>
      <c r="AH7" s="2"/>
      <c r="AI7" s="2"/>
    </row>
    <row r="8" spans="1:35" x14ac:dyDescent="0.25">
      <c r="A8" s="34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32" t="str">
        <f>IF(ISBLANK(VLOOKUP($C8,'VULA LAB'!$A:$AQ,3)),"",VLOOKUP($C8,'VULA LAB'!$A:$AQ,3))</f>
        <v/>
      </c>
      <c r="F8" s="32">
        <f>IF(ISBLANK(VLOOKUP($C8,'VULA LAB'!$A:$AQ,3)),IF(VLOOKUP($C8,'VULA LAB'!$A:$AQ,5)=1,"EXC",VLOOKUP($C8,'VULA LAB'!$A:$AQ,4)),"")</f>
        <v>10</v>
      </c>
      <c r="G8" s="32">
        <f>IF(ISBLANK(VLOOKUP($C8,'VULA LAB'!$A:$AQ,3)),IF(VLOOKUP($C8,'VULA LAB'!$A:$AQ,7)=1,"EXC",VLOOKUP($C8,'VULA LAB'!$A:$AQ,6)),"")</f>
        <v>10</v>
      </c>
      <c r="H8" s="32">
        <f>IF(ISBLANK(VLOOKUP($C8,'VULA LAB'!$A:$AQ,3)),IF(VLOOKUP($C8,'VULA LAB'!$A:$AQ,9)=1,"EXC",VLOOKUP($C8,'VULA LAB'!$A:$AQ,8)),"")</f>
        <v>0</v>
      </c>
      <c r="I8" s="32">
        <f>IF(ISBLANK(VLOOKUP($C8,'VULA LAB'!$A:$AQ,3)),IF(VLOOKUP($C8,'VULA LAB'!$A:$AQ,11)=1,"EXC",VLOOKUP($C8,'VULA LAB'!$A:$AQ,10)),"")</f>
        <v>0</v>
      </c>
      <c r="J8" s="32">
        <f>IF(ISBLANK(VLOOKUP($C8,'VULA LAB'!$A:$AQ,3)),IF(VLOOKUP($C8,'VULA LAB'!$A:$AQ,13)=1,"EXC",VLOOKUP($C8,'VULA LAB'!$A:$AQ,12)),"")</f>
        <v>0</v>
      </c>
      <c r="K8" s="32">
        <f>IF(ISBLANK(VLOOKUP($C8,'VULA LAB'!$A:$AQ,3)),IF(VLOOKUP($C8,'VULA LAB'!$A:$AQ,15)=1,"EXC",VLOOKUP($C8,'VULA LAB'!$A:$AQ,14)),"")</f>
        <v>0</v>
      </c>
      <c r="L8" s="32">
        <f>IF(ISBLANK(VLOOKUP($C8,'VULA LAB'!$A:$AQ,3)),IF(VLOOKUP($C8,'VULA LAB'!$A:$AQ,17)=1,"EXC",VLOOKUP($C8,'VULA LAB'!$A:$AQ,16)),"")</f>
        <v>0</v>
      </c>
      <c r="M8" s="32">
        <f>IF(ISBLANK(VLOOKUP($C8,'VULA LAB'!$A:$AQ,3)),IF(VLOOKUP($C8,'VULA LAB'!$A:$AQ,19)=1,"EXC",VLOOKUP($C8,'VULA LAB'!$A:$AQ,18)),"")</f>
        <v>0</v>
      </c>
      <c r="N8" s="32">
        <f>IF(ISBLANK(VLOOKUP($C8,'VULA LAB'!$A:$AQ,3)),IF(VLOOKUP($C8,'VULA LAB'!$A:$AQ,21)=1,"EXC",VLOOKUP($C8,'VULA LAB'!$A:$AQ,20)),"")</f>
        <v>0</v>
      </c>
      <c r="O8" s="32">
        <f>IF(ISBLANK(VLOOKUP($C8,'VULA LAB'!$A:$AQ,3)),IF(VLOOKUP($C8,'VULA LAB'!$A:$AQ,23)=1,"EXC",VLOOKUP($C8,'VULA LAB'!$A:$AQ,22)),"")</f>
        <v>0</v>
      </c>
      <c r="P8" s="32">
        <f>IF(ISBLANK(VLOOKUP($C8,'VULA LAB'!$A:$AQ,3)),IF(VLOOKUP($C8,'VULA LAB'!$A:$AQ,25)=1,"EXC",VLOOKUP($C8,'VULA LAB'!$A:$AQ,24)),"")</f>
        <v>0</v>
      </c>
      <c r="Q8" s="32">
        <f>IF(ISBLANK(VLOOKUP($C8,'VULA LAB'!$A:$AQ,3)),IF(VLOOKUP($C8,'VULA LAB'!$A:$AQ,27)=1,"EXC",VLOOKUP($C8,'VULA LAB'!$A:$AQ,26)),"")</f>
        <v>0</v>
      </c>
      <c r="R8" s="32">
        <f>IF(ISBLANK(VLOOKUP($C8,'VULA LAB'!$A:$AQ,3)),IF(VLOOKUP($C8,'VULA LAB'!$A:$AQ,29)=1,"EXC",VLOOKUP($C8,'VULA LAB'!$A:$AQ,28)),"")</f>
        <v>0</v>
      </c>
      <c r="S8" s="32">
        <f>IF(ISBLANK(VLOOKUP($C8,'VULA LAB'!$A:$AQ,3)),IF(VLOOKUP($C8,'VULA LAB'!$A:$AQ,31)=1,"EXC",VLOOKUP($C8,'VULA LAB'!$A:$AQ,30)),"")</f>
        <v>0</v>
      </c>
      <c r="T8" s="32">
        <f>IF(ISBLANK(VLOOKUP($C8,'VULA LAB'!$A:$AQ,3)),IF(VLOOKUP($C8,'VULA LAB'!$A:$AQ,33)=1,"EXC",VLOOKUP($C8,'VULA LAB'!$A:$AQ,32)),"")</f>
        <v>0</v>
      </c>
      <c r="U8" s="32">
        <f>IF(ISBLANK(VLOOKUP($C8,'VULA LAB'!$A:$AQ,3)),IF(VLOOKUP($C8,'VULA LAB'!$A:$AQ,35)=1,"EXC",VLOOKUP($C8,'VULA LAB'!$A:$AQ,34)),"")</f>
        <v>0</v>
      </c>
      <c r="V8" s="32">
        <f>IF(ISBLANK(VLOOKUP($C8,'VULA LAB'!$A:$AQ,3)),IF(VLOOKUP($C8,'VULA LAB'!$A:$AQ,37)=1,"EXC",VLOOKUP($C8,'VULA LAB'!$A:$AQ,36)),"")</f>
        <v>0</v>
      </c>
      <c r="W8" s="32">
        <f>IF(ISBLANK(VLOOKUP($C8,'VULA LAB'!$A:$AQ,3)),IF(VLOOKUP($C8,'VULA LAB'!$A:$AQ,39)=1,"EXC",VLOOKUP($C8,'VULA LAB'!$A:$AQ,38)),"")</f>
        <v>0</v>
      </c>
      <c r="X8" s="32">
        <f>IF(ISBLANK(VLOOKUP($C8,'VULA LAB'!$A:$AQ,3)),IF(VLOOKUP($C8,'VULA LAB'!$A:$AQ,41)=1,"EXC",VLOOKUP($C8,'VULA LAB'!$A:$AQ,40)),"")</f>
        <v>0</v>
      </c>
      <c r="Y8" s="32">
        <f>IF(ISBLANK(VLOOKUP($C8,'VULA LAB'!$A:$AQ,3)),IF(VLOOKUP($C8,'VULA LAB'!$A:$AQ,43)=1,"EXC",VLOOKUP($C8,'VULA LAB'!$A:$AQ,42)),"")</f>
        <v>0</v>
      </c>
      <c r="Z8" s="129"/>
      <c r="AA8" s="32">
        <f t="shared" si="1"/>
        <v>20</v>
      </c>
      <c r="AB8" s="33">
        <f t="shared" si="2"/>
        <v>50</v>
      </c>
      <c r="AC8" s="2"/>
      <c r="AD8" s="22"/>
      <c r="AE8" s="2"/>
      <c r="AF8" s="2"/>
      <c r="AG8" s="2"/>
      <c r="AH8" s="2"/>
      <c r="AI8" s="2"/>
    </row>
    <row r="9" spans="1:35" x14ac:dyDescent="0.25">
      <c r="A9" s="34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32" t="str">
        <f>IF(ISBLANK(VLOOKUP($C9,'VULA LAB'!$A:$AQ,3)),"",VLOOKUP($C9,'VULA LAB'!$A:$AQ,3))</f>
        <v/>
      </c>
      <c r="F9" s="32">
        <f>IF(ISBLANK(VLOOKUP($C9,'VULA LAB'!$A:$AQ,3)),IF(VLOOKUP($C9,'VULA LAB'!$A:$AQ,5)=1,"EXC",VLOOKUP($C9,'VULA LAB'!$A:$AQ,4)),"")</f>
        <v>0</v>
      </c>
      <c r="G9" s="32">
        <f>IF(ISBLANK(VLOOKUP($C9,'VULA LAB'!$A:$AQ,3)),IF(VLOOKUP($C9,'VULA LAB'!$A:$AQ,7)=1,"EXC",VLOOKUP($C9,'VULA LAB'!$A:$AQ,6)),"")</f>
        <v>0</v>
      </c>
      <c r="H9" s="32">
        <f>IF(ISBLANK(VLOOKUP($C9,'VULA LAB'!$A:$AQ,3)),IF(VLOOKUP($C9,'VULA LAB'!$A:$AQ,9)=1,"EXC",VLOOKUP($C9,'VULA LAB'!$A:$AQ,8)),"")</f>
        <v>0</v>
      </c>
      <c r="I9" s="32">
        <f>IF(ISBLANK(VLOOKUP($C9,'VULA LAB'!$A:$AQ,3)),IF(VLOOKUP($C9,'VULA LAB'!$A:$AQ,11)=1,"EXC",VLOOKUP($C9,'VULA LAB'!$A:$AQ,10)),"")</f>
        <v>0</v>
      </c>
      <c r="J9" s="32">
        <f>IF(ISBLANK(VLOOKUP($C9,'VULA LAB'!$A:$AQ,3)),IF(VLOOKUP($C9,'VULA LAB'!$A:$AQ,13)=1,"EXC",VLOOKUP($C9,'VULA LAB'!$A:$AQ,12)),"")</f>
        <v>0</v>
      </c>
      <c r="K9" s="32">
        <f>IF(ISBLANK(VLOOKUP($C9,'VULA LAB'!$A:$AQ,3)),IF(VLOOKUP($C9,'VULA LAB'!$A:$AQ,15)=1,"EXC",VLOOKUP($C9,'VULA LAB'!$A:$AQ,14)),"")</f>
        <v>0</v>
      </c>
      <c r="L9" s="32">
        <f>IF(ISBLANK(VLOOKUP($C9,'VULA LAB'!$A:$AQ,3)),IF(VLOOKUP($C9,'VULA LAB'!$A:$AQ,17)=1,"EXC",VLOOKUP($C9,'VULA LAB'!$A:$AQ,16)),"")</f>
        <v>0</v>
      </c>
      <c r="M9" s="32">
        <f>IF(ISBLANK(VLOOKUP($C9,'VULA LAB'!$A:$AQ,3)),IF(VLOOKUP($C9,'VULA LAB'!$A:$AQ,19)=1,"EXC",VLOOKUP($C9,'VULA LAB'!$A:$AQ,18)),"")</f>
        <v>0</v>
      </c>
      <c r="N9" s="32">
        <f>IF(ISBLANK(VLOOKUP($C9,'VULA LAB'!$A:$AQ,3)),IF(VLOOKUP($C9,'VULA LAB'!$A:$AQ,21)=1,"EXC",VLOOKUP($C9,'VULA LAB'!$A:$AQ,20)),"")</f>
        <v>0</v>
      </c>
      <c r="O9" s="32">
        <f>IF(ISBLANK(VLOOKUP($C9,'VULA LAB'!$A:$AQ,3)),IF(VLOOKUP($C9,'VULA LAB'!$A:$AQ,23)=1,"EXC",VLOOKUP($C9,'VULA LAB'!$A:$AQ,22)),"")</f>
        <v>0</v>
      </c>
      <c r="P9" s="32">
        <f>IF(ISBLANK(VLOOKUP($C9,'VULA LAB'!$A:$AQ,3)),IF(VLOOKUP($C9,'VULA LAB'!$A:$AQ,25)=1,"EXC",VLOOKUP($C9,'VULA LAB'!$A:$AQ,24)),"")</f>
        <v>0</v>
      </c>
      <c r="Q9" s="32">
        <f>IF(ISBLANK(VLOOKUP($C9,'VULA LAB'!$A:$AQ,3)),IF(VLOOKUP($C9,'VULA LAB'!$A:$AQ,27)=1,"EXC",VLOOKUP($C9,'VULA LAB'!$A:$AQ,26)),"")</f>
        <v>0</v>
      </c>
      <c r="R9" s="32">
        <f>IF(ISBLANK(VLOOKUP($C9,'VULA LAB'!$A:$AQ,3)),IF(VLOOKUP($C9,'VULA LAB'!$A:$AQ,29)=1,"EXC",VLOOKUP($C9,'VULA LAB'!$A:$AQ,28)),"")</f>
        <v>0</v>
      </c>
      <c r="S9" s="32">
        <f>IF(ISBLANK(VLOOKUP($C9,'VULA LAB'!$A:$AQ,3)),IF(VLOOKUP($C9,'VULA LAB'!$A:$AQ,31)=1,"EXC",VLOOKUP($C9,'VULA LAB'!$A:$AQ,30)),"")</f>
        <v>0</v>
      </c>
      <c r="T9" s="32">
        <f>IF(ISBLANK(VLOOKUP($C9,'VULA LAB'!$A:$AQ,3)),IF(VLOOKUP($C9,'VULA LAB'!$A:$AQ,33)=1,"EXC",VLOOKUP($C9,'VULA LAB'!$A:$AQ,32)),"")</f>
        <v>0</v>
      </c>
      <c r="U9" s="32">
        <f>IF(ISBLANK(VLOOKUP($C9,'VULA LAB'!$A:$AQ,3)),IF(VLOOKUP($C9,'VULA LAB'!$A:$AQ,35)=1,"EXC",VLOOKUP($C9,'VULA LAB'!$A:$AQ,34)),"")</f>
        <v>0</v>
      </c>
      <c r="V9" s="32">
        <f>IF(ISBLANK(VLOOKUP($C9,'VULA LAB'!$A:$AQ,3)),IF(VLOOKUP($C9,'VULA LAB'!$A:$AQ,37)=1,"EXC",VLOOKUP($C9,'VULA LAB'!$A:$AQ,36)),"")</f>
        <v>0</v>
      </c>
      <c r="W9" s="32">
        <f>IF(ISBLANK(VLOOKUP($C9,'VULA LAB'!$A:$AQ,3)),IF(VLOOKUP($C9,'VULA LAB'!$A:$AQ,39)=1,"EXC",VLOOKUP($C9,'VULA LAB'!$A:$AQ,38)),"")</f>
        <v>0</v>
      </c>
      <c r="X9" s="32">
        <f>IF(ISBLANK(VLOOKUP($C9,'VULA LAB'!$A:$AQ,3)),IF(VLOOKUP($C9,'VULA LAB'!$A:$AQ,41)=1,"EXC",VLOOKUP($C9,'VULA LAB'!$A:$AQ,40)),"")</f>
        <v>0</v>
      </c>
      <c r="Y9" s="32">
        <f>IF(ISBLANK(VLOOKUP($C9,'VULA LAB'!$A:$AQ,3)),IF(VLOOKUP($C9,'VULA LAB'!$A:$AQ,43)=1,"EXC",VLOOKUP($C9,'VULA LAB'!$A:$AQ,42)),"")</f>
        <v>0</v>
      </c>
      <c r="Z9" s="129"/>
      <c r="AA9" s="32">
        <f t="shared" si="1"/>
        <v>0</v>
      </c>
      <c r="AB9" s="33">
        <f t="shared" si="2"/>
        <v>0</v>
      </c>
    </row>
    <row r="10" spans="1:35" x14ac:dyDescent="0.25">
      <c r="A10" s="34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32" t="str">
        <f>IF(ISBLANK(VLOOKUP($C10,'VULA LAB'!$A:$AQ,3)),"",VLOOKUP($C10,'VULA LAB'!$A:$AQ,3))</f>
        <v/>
      </c>
      <c r="F10" s="32">
        <f>IF(ISBLANK(VLOOKUP($C10,'VULA LAB'!$A:$AQ,3)),IF(VLOOKUP($C10,'VULA LAB'!$A:$AQ,5)=1,"EXC",VLOOKUP($C10,'VULA LAB'!$A:$AQ,4)),"")</f>
        <v>40</v>
      </c>
      <c r="G10" s="32">
        <f>IF(ISBLANK(VLOOKUP($C10,'VULA LAB'!$A:$AQ,3)),IF(VLOOKUP($C10,'VULA LAB'!$A:$AQ,7)=1,"EXC",VLOOKUP($C10,'VULA LAB'!$A:$AQ,6)),"")</f>
        <v>40</v>
      </c>
      <c r="H10" s="32">
        <f>IF(ISBLANK(VLOOKUP($C10,'VULA LAB'!$A:$AQ,3)),IF(VLOOKUP($C10,'VULA LAB'!$A:$AQ,9)=1,"EXC",VLOOKUP($C10,'VULA LAB'!$A:$AQ,8)),"")</f>
        <v>0</v>
      </c>
      <c r="I10" s="32">
        <f>IF(ISBLANK(VLOOKUP($C10,'VULA LAB'!$A:$AQ,3)),IF(VLOOKUP($C10,'VULA LAB'!$A:$AQ,11)=1,"EXC",VLOOKUP($C10,'VULA LAB'!$A:$AQ,10)),"")</f>
        <v>0</v>
      </c>
      <c r="J10" s="32">
        <f>IF(ISBLANK(VLOOKUP($C10,'VULA LAB'!$A:$AQ,3)),IF(VLOOKUP($C10,'VULA LAB'!$A:$AQ,13)=1,"EXC",VLOOKUP($C10,'VULA LAB'!$A:$AQ,12)),"")</f>
        <v>0</v>
      </c>
      <c r="K10" s="32">
        <f>IF(ISBLANK(VLOOKUP($C10,'VULA LAB'!$A:$AQ,3)),IF(VLOOKUP($C10,'VULA LAB'!$A:$AQ,15)=1,"EXC",VLOOKUP($C10,'VULA LAB'!$A:$AQ,14)),"")</f>
        <v>0</v>
      </c>
      <c r="L10" s="32">
        <f>IF(ISBLANK(VLOOKUP($C10,'VULA LAB'!$A:$AQ,3)),IF(VLOOKUP($C10,'VULA LAB'!$A:$AQ,17)=1,"EXC",VLOOKUP($C10,'VULA LAB'!$A:$AQ,16)),"")</f>
        <v>0</v>
      </c>
      <c r="M10" s="32">
        <f>IF(ISBLANK(VLOOKUP($C10,'VULA LAB'!$A:$AQ,3)),IF(VLOOKUP($C10,'VULA LAB'!$A:$AQ,19)=1,"EXC",VLOOKUP($C10,'VULA LAB'!$A:$AQ,18)),"")</f>
        <v>0</v>
      </c>
      <c r="N10" s="32">
        <f>IF(ISBLANK(VLOOKUP($C10,'VULA LAB'!$A:$AQ,3)),IF(VLOOKUP($C10,'VULA LAB'!$A:$AQ,21)=1,"EXC",VLOOKUP($C10,'VULA LAB'!$A:$AQ,20)),"")</f>
        <v>0</v>
      </c>
      <c r="O10" s="32">
        <f>IF(ISBLANK(VLOOKUP($C10,'VULA LAB'!$A:$AQ,3)),IF(VLOOKUP($C10,'VULA LAB'!$A:$AQ,23)=1,"EXC",VLOOKUP($C10,'VULA LAB'!$A:$AQ,22)),"")</f>
        <v>0</v>
      </c>
      <c r="P10" s="32">
        <f>IF(ISBLANK(VLOOKUP($C10,'VULA LAB'!$A:$AQ,3)),IF(VLOOKUP($C10,'VULA LAB'!$A:$AQ,25)=1,"EXC",VLOOKUP($C10,'VULA LAB'!$A:$AQ,24)),"")</f>
        <v>0</v>
      </c>
      <c r="Q10" s="32">
        <f>IF(ISBLANK(VLOOKUP($C10,'VULA LAB'!$A:$AQ,3)),IF(VLOOKUP($C10,'VULA LAB'!$A:$AQ,27)=1,"EXC",VLOOKUP($C10,'VULA LAB'!$A:$AQ,26)),"")</f>
        <v>0</v>
      </c>
      <c r="R10" s="32">
        <f>IF(ISBLANK(VLOOKUP($C10,'VULA LAB'!$A:$AQ,3)),IF(VLOOKUP($C10,'VULA LAB'!$A:$AQ,29)=1,"EXC",VLOOKUP($C10,'VULA LAB'!$A:$AQ,28)),"")</f>
        <v>0</v>
      </c>
      <c r="S10" s="32">
        <f>IF(ISBLANK(VLOOKUP($C10,'VULA LAB'!$A:$AQ,3)),IF(VLOOKUP($C10,'VULA LAB'!$A:$AQ,31)=1,"EXC",VLOOKUP($C10,'VULA LAB'!$A:$AQ,30)),"")</f>
        <v>0</v>
      </c>
      <c r="T10" s="32">
        <f>IF(ISBLANK(VLOOKUP($C10,'VULA LAB'!$A:$AQ,3)),IF(VLOOKUP($C10,'VULA LAB'!$A:$AQ,33)=1,"EXC",VLOOKUP($C10,'VULA LAB'!$A:$AQ,32)),"")</f>
        <v>0</v>
      </c>
      <c r="U10" s="32">
        <f>IF(ISBLANK(VLOOKUP($C10,'VULA LAB'!$A:$AQ,3)),IF(VLOOKUP($C10,'VULA LAB'!$A:$AQ,35)=1,"EXC",VLOOKUP($C10,'VULA LAB'!$A:$AQ,34)),"")</f>
        <v>0</v>
      </c>
      <c r="V10" s="32">
        <f>IF(ISBLANK(VLOOKUP($C10,'VULA LAB'!$A:$AQ,3)),IF(VLOOKUP($C10,'VULA LAB'!$A:$AQ,37)=1,"EXC",VLOOKUP($C10,'VULA LAB'!$A:$AQ,36)),"")</f>
        <v>0</v>
      </c>
      <c r="W10" s="32">
        <f>IF(ISBLANK(VLOOKUP($C10,'VULA LAB'!$A:$AQ,3)),IF(VLOOKUP($C10,'VULA LAB'!$A:$AQ,39)=1,"EXC",VLOOKUP($C10,'VULA LAB'!$A:$AQ,38)),"")</f>
        <v>0</v>
      </c>
      <c r="X10" s="32">
        <f>IF(ISBLANK(VLOOKUP($C10,'VULA LAB'!$A:$AQ,3)),IF(VLOOKUP($C10,'VULA LAB'!$A:$AQ,41)=1,"EXC",VLOOKUP($C10,'VULA LAB'!$A:$AQ,40)),"")</f>
        <v>0</v>
      </c>
      <c r="Y10" s="32">
        <f>IF(ISBLANK(VLOOKUP($C10,'VULA LAB'!$A:$AQ,3)),IF(VLOOKUP($C10,'VULA LAB'!$A:$AQ,43)=1,"EXC",VLOOKUP($C10,'VULA LAB'!$A:$AQ,42)),"")</f>
        <v>0</v>
      </c>
      <c r="Z10" s="129"/>
      <c r="AA10" s="32">
        <f t="shared" si="1"/>
        <v>80</v>
      </c>
      <c r="AB10" s="33">
        <f t="shared" si="2"/>
        <v>200</v>
      </c>
    </row>
    <row r="11" spans="1:35" x14ac:dyDescent="0.25">
      <c r="A11" s="34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32" t="str">
        <f>IF(ISBLANK(VLOOKUP($C11,'VULA LAB'!$A:$AQ,3)),"",VLOOKUP($C11,'VULA LAB'!$A:$AQ,3))</f>
        <v/>
      </c>
      <c r="F11" s="32">
        <f>IF(ISBLANK(VLOOKUP($C11,'VULA LAB'!$A:$AQ,3)),IF(VLOOKUP($C11,'VULA LAB'!$A:$AQ,5)=1,"EXC",VLOOKUP($C11,'VULA LAB'!$A:$AQ,4)),"")</f>
        <v>0</v>
      </c>
      <c r="G11" s="32">
        <f>IF(ISBLANK(VLOOKUP($C11,'VULA LAB'!$A:$AQ,3)),IF(VLOOKUP($C11,'VULA LAB'!$A:$AQ,7)=1,"EXC",VLOOKUP($C11,'VULA LAB'!$A:$AQ,6)),"")</f>
        <v>0</v>
      </c>
      <c r="H11" s="32">
        <f>IF(ISBLANK(VLOOKUP($C11,'VULA LAB'!$A:$AQ,3)),IF(VLOOKUP($C11,'VULA LAB'!$A:$AQ,9)=1,"EXC",VLOOKUP($C11,'VULA LAB'!$A:$AQ,8)),"")</f>
        <v>0</v>
      </c>
      <c r="I11" s="32">
        <f>IF(ISBLANK(VLOOKUP($C11,'VULA LAB'!$A:$AQ,3)),IF(VLOOKUP($C11,'VULA LAB'!$A:$AQ,11)=1,"EXC",VLOOKUP($C11,'VULA LAB'!$A:$AQ,10)),"")</f>
        <v>0</v>
      </c>
      <c r="J11" s="32">
        <f>IF(ISBLANK(VLOOKUP($C11,'VULA LAB'!$A:$AQ,3)),IF(VLOOKUP($C11,'VULA LAB'!$A:$AQ,13)=1,"EXC",VLOOKUP($C11,'VULA LAB'!$A:$AQ,12)),"")</f>
        <v>0</v>
      </c>
      <c r="K11" s="32">
        <f>IF(ISBLANK(VLOOKUP($C11,'VULA LAB'!$A:$AQ,3)),IF(VLOOKUP($C11,'VULA LAB'!$A:$AQ,15)=1,"EXC",VLOOKUP($C11,'VULA LAB'!$A:$AQ,14)),"")</f>
        <v>0</v>
      </c>
      <c r="L11" s="32">
        <f>IF(ISBLANK(VLOOKUP($C11,'VULA LAB'!$A:$AQ,3)),IF(VLOOKUP($C11,'VULA LAB'!$A:$AQ,17)=1,"EXC",VLOOKUP($C11,'VULA LAB'!$A:$AQ,16)),"")</f>
        <v>0</v>
      </c>
      <c r="M11" s="32">
        <f>IF(ISBLANK(VLOOKUP($C11,'VULA LAB'!$A:$AQ,3)),IF(VLOOKUP($C11,'VULA LAB'!$A:$AQ,19)=1,"EXC",VLOOKUP($C11,'VULA LAB'!$A:$AQ,18)),"")</f>
        <v>0</v>
      </c>
      <c r="N11" s="32">
        <f>IF(ISBLANK(VLOOKUP($C11,'VULA LAB'!$A:$AQ,3)),IF(VLOOKUP($C11,'VULA LAB'!$A:$AQ,21)=1,"EXC",VLOOKUP($C11,'VULA LAB'!$A:$AQ,20)),"")</f>
        <v>0</v>
      </c>
      <c r="O11" s="32">
        <f>IF(ISBLANK(VLOOKUP($C11,'VULA LAB'!$A:$AQ,3)),IF(VLOOKUP($C11,'VULA LAB'!$A:$AQ,23)=1,"EXC",VLOOKUP($C11,'VULA LAB'!$A:$AQ,22)),"")</f>
        <v>0</v>
      </c>
      <c r="P11" s="32">
        <f>IF(ISBLANK(VLOOKUP($C11,'VULA LAB'!$A:$AQ,3)),IF(VLOOKUP($C11,'VULA LAB'!$A:$AQ,25)=1,"EXC",VLOOKUP($C11,'VULA LAB'!$A:$AQ,24)),"")</f>
        <v>0</v>
      </c>
      <c r="Q11" s="32">
        <f>IF(ISBLANK(VLOOKUP($C11,'VULA LAB'!$A:$AQ,3)),IF(VLOOKUP($C11,'VULA LAB'!$A:$AQ,27)=1,"EXC",VLOOKUP($C11,'VULA LAB'!$A:$AQ,26)),"")</f>
        <v>0</v>
      </c>
      <c r="R11" s="32">
        <f>IF(ISBLANK(VLOOKUP($C11,'VULA LAB'!$A:$AQ,3)),IF(VLOOKUP($C11,'VULA LAB'!$A:$AQ,29)=1,"EXC",VLOOKUP($C11,'VULA LAB'!$A:$AQ,28)),"")</f>
        <v>0</v>
      </c>
      <c r="S11" s="32">
        <f>IF(ISBLANK(VLOOKUP($C11,'VULA LAB'!$A:$AQ,3)),IF(VLOOKUP($C11,'VULA LAB'!$A:$AQ,31)=1,"EXC",VLOOKUP($C11,'VULA LAB'!$A:$AQ,30)),"")</f>
        <v>0</v>
      </c>
      <c r="T11" s="32">
        <f>IF(ISBLANK(VLOOKUP($C11,'VULA LAB'!$A:$AQ,3)),IF(VLOOKUP($C11,'VULA LAB'!$A:$AQ,33)=1,"EXC",VLOOKUP($C11,'VULA LAB'!$A:$AQ,32)),"")</f>
        <v>0</v>
      </c>
      <c r="U11" s="32">
        <f>IF(ISBLANK(VLOOKUP($C11,'VULA LAB'!$A:$AQ,3)),IF(VLOOKUP($C11,'VULA LAB'!$A:$AQ,35)=1,"EXC",VLOOKUP($C11,'VULA LAB'!$A:$AQ,34)),"")</f>
        <v>0</v>
      </c>
      <c r="V11" s="32">
        <f>IF(ISBLANK(VLOOKUP($C11,'VULA LAB'!$A:$AQ,3)),IF(VLOOKUP($C11,'VULA LAB'!$A:$AQ,37)=1,"EXC",VLOOKUP($C11,'VULA LAB'!$A:$AQ,36)),"")</f>
        <v>0</v>
      </c>
      <c r="W11" s="32">
        <f>IF(ISBLANK(VLOOKUP($C11,'VULA LAB'!$A:$AQ,3)),IF(VLOOKUP($C11,'VULA LAB'!$A:$AQ,39)=1,"EXC",VLOOKUP($C11,'VULA LAB'!$A:$AQ,38)),"")</f>
        <v>0</v>
      </c>
      <c r="X11" s="32">
        <f>IF(ISBLANK(VLOOKUP($C11,'VULA LAB'!$A:$AQ,3)),IF(VLOOKUP($C11,'VULA LAB'!$A:$AQ,41)=1,"EXC",VLOOKUP($C11,'VULA LAB'!$A:$AQ,40)),"")</f>
        <v>0</v>
      </c>
      <c r="Y11" s="32">
        <f>IF(ISBLANK(VLOOKUP($C11,'VULA LAB'!$A:$AQ,3)),IF(VLOOKUP($C11,'VULA LAB'!$A:$AQ,43)=1,"EXC",VLOOKUP($C11,'VULA LAB'!$A:$AQ,42)),"")</f>
        <v>0</v>
      </c>
      <c r="Z11" s="129"/>
      <c r="AA11" s="32">
        <f t="shared" si="1"/>
        <v>0</v>
      </c>
      <c r="AB11" s="33">
        <f t="shared" si="2"/>
        <v>0</v>
      </c>
    </row>
    <row r="12" spans="1:35" x14ac:dyDescent="0.25">
      <c r="A12" s="34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32" t="str">
        <f>IF(ISBLANK(VLOOKUP($C12,'VULA LAB'!$A:$AQ,3)),"",VLOOKUP($C12,'VULA LAB'!$A:$AQ,3))</f>
        <v/>
      </c>
      <c r="F12" s="32" t="str">
        <f>IF(ISBLANK(VLOOKUP($C12,'VULA LAB'!$A:$AQ,3)),IF(VLOOKUP($C12,'VULA LAB'!$A:$AQ,5)=1,"EXC",VLOOKUP($C12,'VULA LAB'!$A:$AQ,4)),"")</f>
        <v>EXC</v>
      </c>
      <c r="G12" s="32" t="str">
        <f>IF(ISBLANK(VLOOKUP($C12,'VULA LAB'!$A:$AQ,3)),IF(VLOOKUP($C12,'VULA LAB'!$A:$AQ,7)=1,"EXC",VLOOKUP($C12,'VULA LAB'!$A:$AQ,6)),"")</f>
        <v>EXC</v>
      </c>
      <c r="H12" s="32">
        <f>IF(ISBLANK(VLOOKUP($C12,'VULA LAB'!$A:$AQ,3)),IF(VLOOKUP($C12,'VULA LAB'!$A:$AQ,9)=1,"EXC",VLOOKUP($C12,'VULA LAB'!$A:$AQ,8)),"")</f>
        <v>0</v>
      </c>
      <c r="I12" s="32">
        <f>IF(ISBLANK(VLOOKUP($C12,'VULA LAB'!$A:$AQ,3)),IF(VLOOKUP($C12,'VULA LAB'!$A:$AQ,11)=1,"EXC",VLOOKUP($C12,'VULA LAB'!$A:$AQ,10)),"")</f>
        <v>0</v>
      </c>
      <c r="J12" s="32">
        <f>IF(ISBLANK(VLOOKUP($C12,'VULA LAB'!$A:$AQ,3)),IF(VLOOKUP($C12,'VULA LAB'!$A:$AQ,13)=1,"EXC",VLOOKUP($C12,'VULA LAB'!$A:$AQ,12)),"")</f>
        <v>0</v>
      </c>
      <c r="K12" s="32">
        <f>IF(ISBLANK(VLOOKUP($C12,'VULA LAB'!$A:$AQ,3)),IF(VLOOKUP($C12,'VULA LAB'!$A:$AQ,15)=1,"EXC",VLOOKUP($C12,'VULA LAB'!$A:$AQ,14)),"")</f>
        <v>0</v>
      </c>
      <c r="L12" s="32">
        <f>IF(ISBLANK(VLOOKUP($C12,'VULA LAB'!$A:$AQ,3)),IF(VLOOKUP($C12,'VULA LAB'!$A:$AQ,17)=1,"EXC",VLOOKUP($C12,'VULA LAB'!$A:$AQ,16)),"")</f>
        <v>0</v>
      </c>
      <c r="M12" s="32">
        <f>IF(ISBLANK(VLOOKUP($C12,'VULA LAB'!$A:$AQ,3)),IF(VLOOKUP($C12,'VULA LAB'!$A:$AQ,19)=1,"EXC",VLOOKUP($C12,'VULA LAB'!$A:$AQ,18)),"")</f>
        <v>0</v>
      </c>
      <c r="N12" s="32">
        <f>IF(ISBLANK(VLOOKUP($C12,'VULA LAB'!$A:$AQ,3)),IF(VLOOKUP($C12,'VULA LAB'!$A:$AQ,21)=1,"EXC",VLOOKUP($C12,'VULA LAB'!$A:$AQ,20)),"")</f>
        <v>0</v>
      </c>
      <c r="O12" s="32">
        <f>IF(ISBLANK(VLOOKUP($C12,'VULA LAB'!$A:$AQ,3)),IF(VLOOKUP($C12,'VULA LAB'!$A:$AQ,23)=1,"EXC",VLOOKUP($C12,'VULA LAB'!$A:$AQ,22)),"")</f>
        <v>0</v>
      </c>
      <c r="P12" s="32">
        <f>IF(ISBLANK(VLOOKUP($C12,'VULA LAB'!$A:$AQ,3)),IF(VLOOKUP($C12,'VULA LAB'!$A:$AQ,25)=1,"EXC",VLOOKUP($C12,'VULA LAB'!$A:$AQ,24)),"")</f>
        <v>0</v>
      </c>
      <c r="Q12" s="32">
        <f>IF(ISBLANK(VLOOKUP($C12,'VULA LAB'!$A:$AQ,3)),IF(VLOOKUP($C12,'VULA LAB'!$A:$AQ,27)=1,"EXC",VLOOKUP($C12,'VULA LAB'!$A:$AQ,26)),"")</f>
        <v>0</v>
      </c>
      <c r="R12" s="32">
        <f>IF(ISBLANK(VLOOKUP($C12,'VULA LAB'!$A:$AQ,3)),IF(VLOOKUP($C12,'VULA LAB'!$A:$AQ,29)=1,"EXC",VLOOKUP($C12,'VULA LAB'!$A:$AQ,28)),"")</f>
        <v>0</v>
      </c>
      <c r="S12" s="32">
        <f>IF(ISBLANK(VLOOKUP($C12,'VULA LAB'!$A:$AQ,3)),IF(VLOOKUP($C12,'VULA LAB'!$A:$AQ,31)=1,"EXC",VLOOKUP($C12,'VULA LAB'!$A:$AQ,30)),"")</f>
        <v>0</v>
      </c>
      <c r="T12" s="32">
        <f>IF(ISBLANK(VLOOKUP($C12,'VULA LAB'!$A:$AQ,3)),IF(VLOOKUP($C12,'VULA LAB'!$A:$AQ,33)=1,"EXC",VLOOKUP($C12,'VULA LAB'!$A:$AQ,32)),"")</f>
        <v>0</v>
      </c>
      <c r="U12" s="32">
        <f>IF(ISBLANK(VLOOKUP($C12,'VULA LAB'!$A:$AQ,3)),IF(VLOOKUP($C12,'VULA LAB'!$A:$AQ,35)=1,"EXC",VLOOKUP($C12,'VULA LAB'!$A:$AQ,34)),"")</f>
        <v>0</v>
      </c>
      <c r="V12" s="32">
        <f>IF(ISBLANK(VLOOKUP($C12,'VULA LAB'!$A:$AQ,3)),IF(VLOOKUP($C12,'VULA LAB'!$A:$AQ,37)=1,"EXC",VLOOKUP($C12,'VULA LAB'!$A:$AQ,36)),"")</f>
        <v>0</v>
      </c>
      <c r="W12" s="32">
        <f>IF(ISBLANK(VLOOKUP($C12,'VULA LAB'!$A:$AQ,3)),IF(VLOOKUP($C12,'VULA LAB'!$A:$AQ,39)=1,"EXC",VLOOKUP($C12,'VULA LAB'!$A:$AQ,38)),"")</f>
        <v>0</v>
      </c>
      <c r="X12" s="32">
        <f>IF(ISBLANK(VLOOKUP($C12,'VULA LAB'!$A:$AQ,3)),IF(VLOOKUP($C12,'VULA LAB'!$A:$AQ,41)=1,"EXC",VLOOKUP($C12,'VULA LAB'!$A:$AQ,40)),"")</f>
        <v>0</v>
      </c>
      <c r="Y12" s="32">
        <f>IF(ISBLANK(VLOOKUP($C12,'VULA LAB'!$A:$AQ,3)),IF(VLOOKUP($C12,'VULA LAB'!$A:$AQ,43)=1,"EXC",VLOOKUP($C12,'VULA LAB'!$A:$AQ,42)),"")</f>
        <v>0</v>
      </c>
      <c r="Z12" s="129"/>
      <c r="AA12" s="32">
        <f t="shared" si="1"/>
        <v>0</v>
      </c>
      <c r="AB12" s="33" t="e">
        <f t="shared" si="2"/>
        <v>#DIV/0!</v>
      </c>
    </row>
    <row r="13" spans="1:35" x14ac:dyDescent="0.25">
      <c r="A13" s="34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32">
        <f>IF(ISBLANK(VLOOKUP($C13,'VULA LAB'!$A:$AQ,3)),"",VLOOKUP($C13,'VULA LAB'!$A:$AQ,3))</f>
        <v>64</v>
      </c>
      <c r="F13" s="32" t="str">
        <f>IF(ISBLANK(VLOOKUP($C13,'VULA LAB'!$A:$AQ,3)),IF(VLOOKUP($C13,'VULA LAB'!$A:$AQ,5)=1,"EXC",VLOOKUP($C13,'VULA LAB'!$A:$AQ,4)),"")</f>
        <v/>
      </c>
      <c r="G13" s="32" t="str">
        <f>IF(ISBLANK(VLOOKUP($C13,'VULA LAB'!$A:$AQ,3)),IF(VLOOKUP($C13,'VULA LAB'!$A:$AQ,7)=1,"EXC",VLOOKUP($C13,'VULA LAB'!$A:$AQ,6)),"")</f>
        <v/>
      </c>
      <c r="H13" s="32" t="str">
        <f>IF(ISBLANK(VLOOKUP($C13,'VULA LAB'!$A:$AQ,3)),IF(VLOOKUP($C13,'VULA LAB'!$A:$AQ,9)=1,"EXC",VLOOKUP($C13,'VULA LAB'!$A:$AQ,8)),"")</f>
        <v/>
      </c>
      <c r="I13" s="32" t="str">
        <f>IF(ISBLANK(VLOOKUP($C13,'VULA LAB'!$A:$AQ,3)),IF(VLOOKUP($C13,'VULA LAB'!$A:$AQ,11)=1,"EXC",VLOOKUP($C13,'VULA LAB'!$A:$AQ,10)),"")</f>
        <v/>
      </c>
      <c r="J13" s="32" t="str">
        <f>IF(ISBLANK(VLOOKUP($C13,'VULA LAB'!$A:$AQ,3)),IF(VLOOKUP($C13,'VULA LAB'!$A:$AQ,13)=1,"EXC",VLOOKUP($C13,'VULA LAB'!$A:$AQ,12)),"")</f>
        <v/>
      </c>
      <c r="K13" s="32" t="str">
        <f>IF(ISBLANK(VLOOKUP($C13,'VULA LAB'!$A:$AQ,3)),IF(VLOOKUP($C13,'VULA LAB'!$A:$AQ,15)=1,"EXC",VLOOKUP($C13,'VULA LAB'!$A:$AQ,14)),"")</f>
        <v/>
      </c>
      <c r="L13" s="32" t="str">
        <f>IF(ISBLANK(VLOOKUP($C13,'VULA LAB'!$A:$AQ,3)),IF(VLOOKUP($C13,'VULA LAB'!$A:$AQ,17)=1,"EXC",VLOOKUP($C13,'VULA LAB'!$A:$AQ,16)),"")</f>
        <v/>
      </c>
      <c r="M13" s="32" t="str">
        <f>IF(ISBLANK(VLOOKUP($C13,'VULA LAB'!$A:$AQ,3)),IF(VLOOKUP($C13,'VULA LAB'!$A:$AQ,19)=1,"EXC",VLOOKUP($C13,'VULA LAB'!$A:$AQ,18)),"")</f>
        <v/>
      </c>
      <c r="N13" s="32" t="str">
        <f>IF(ISBLANK(VLOOKUP($C13,'VULA LAB'!$A:$AQ,3)),IF(VLOOKUP($C13,'VULA LAB'!$A:$AQ,21)=1,"EXC",VLOOKUP($C13,'VULA LAB'!$A:$AQ,20)),"")</f>
        <v/>
      </c>
      <c r="O13" s="32" t="str">
        <f>IF(ISBLANK(VLOOKUP($C13,'VULA LAB'!$A:$AQ,3)),IF(VLOOKUP($C13,'VULA LAB'!$A:$AQ,23)=1,"EXC",VLOOKUP($C13,'VULA LAB'!$A:$AQ,22)),"")</f>
        <v/>
      </c>
      <c r="P13" s="32" t="str">
        <f>IF(ISBLANK(VLOOKUP($C13,'VULA LAB'!$A:$AQ,3)),IF(VLOOKUP($C13,'VULA LAB'!$A:$AQ,25)=1,"EXC",VLOOKUP($C13,'VULA LAB'!$A:$AQ,24)),"")</f>
        <v/>
      </c>
      <c r="Q13" s="32" t="str">
        <f>IF(ISBLANK(VLOOKUP($C13,'VULA LAB'!$A:$AQ,3)),IF(VLOOKUP($C13,'VULA LAB'!$A:$AQ,27)=1,"EXC",VLOOKUP($C13,'VULA LAB'!$A:$AQ,26)),"")</f>
        <v/>
      </c>
      <c r="R13" s="32" t="str">
        <f>IF(ISBLANK(VLOOKUP($C13,'VULA LAB'!$A:$AQ,3)),IF(VLOOKUP($C13,'VULA LAB'!$A:$AQ,29)=1,"EXC",VLOOKUP($C13,'VULA LAB'!$A:$AQ,28)),"")</f>
        <v/>
      </c>
      <c r="S13" s="32" t="str">
        <f>IF(ISBLANK(VLOOKUP($C13,'VULA LAB'!$A:$AQ,3)),IF(VLOOKUP($C13,'VULA LAB'!$A:$AQ,31)=1,"EXC",VLOOKUP($C13,'VULA LAB'!$A:$AQ,30)),"")</f>
        <v/>
      </c>
      <c r="T13" s="32" t="str">
        <f>IF(ISBLANK(VLOOKUP($C13,'VULA LAB'!$A:$AQ,3)),IF(VLOOKUP($C13,'VULA LAB'!$A:$AQ,33)=1,"EXC",VLOOKUP($C13,'VULA LAB'!$A:$AQ,32)),"")</f>
        <v/>
      </c>
      <c r="U13" s="32" t="str">
        <f>IF(ISBLANK(VLOOKUP($C13,'VULA LAB'!$A:$AQ,3)),IF(VLOOKUP($C13,'VULA LAB'!$A:$AQ,35)=1,"EXC",VLOOKUP($C13,'VULA LAB'!$A:$AQ,34)),"")</f>
        <v/>
      </c>
      <c r="V13" s="32" t="str">
        <f>IF(ISBLANK(VLOOKUP($C13,'VULA LAB'!$A:$AQ,3)),IF(VLOOKUP($C13,'VULA LAB'!$A:$AQ,37)=1,"EXC",VLOOKUP($C13,'VULA LAB'!$A:$AQ,36)),"")</f>
        <v/>
      </c>
      <c r="W13" s="32" t="str">
        <f>IF(ISBLANK(VLOOKUP($C13,'VULA LAB'!$A:$AQ,3)),IF(VLOOKUP($C13,'VULA LAB'!$A:$AQ,39)=1,"EXC",VLOOKUP($C13,'VULA LAB'!$A:$AQ,38)),"")</f>
        <v/>
      </c>
      <c r="X13" s="32" t="str">
        <f>IF(ISBLANK(VLOOKUP($C13,'VULA LAB'!$A:$AQ,3)),IF(VLOOKUP($C13,'VULA LAB'!$A:$AQ,41)=1,"EXC",VLOOKUP($C13,'VULA LAB'!$A:$AQ,40)),"")</f>
        <v/>
      </c>
      <c r="Y13" s="32" t="str">
        <f>IF(ISBLANK(VLOOKUP($C13,'VULA LAB'!$A:$AQ,3)),IF(VLOOKUP($C13,'VULA LAB'!$A:$AQ,43)=1,"EXC",VLOOKUP($C13,'VULA LAB'!$A:$AQ,42)),"")</f>
        <v/>
      </c>
      <c r="Z13" s="129"/>
      <c r="AA13" s="32" t="str">
        <f t="shared" si="1"/>
        <v>EXC</v>
      </c>
      <c r="AB13" s="33">
        <f t="shared" si="2"/>
        <v>64</v>
      </c>
    </row>
    <row r="14" spans="1:35" x14ac:dyDescent="0.25">
      <c r="A14" s="34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32" t="str">
        <f>IF(ISBLANK(VLOOKUP($C14,'VULA LAB'!$A:$AQ,3)),"",VLOOKUP($C14,'VULA LAB'!$A:$AQ,3))</f>
        <v/>
      </c>
      <c r="F14" s="32">
        <f>IF(ISBLANK(VLOOKUP($C14,'VULA LAB'!$A:$AQ,3)),IF(VLOOKUP($C14,'VULA LAB'!$A:$AQ,5)=1,"EXC",VLOOKUP($C14,'VULA LAB'!$A:$AQ,4)),"")</f>
        <v>20</v>
      </c>
      <c r="G14" s="32">
        <f>IF(ISBLANK(VLOOKUP($C14,'VULA LAB'!$A:$AQ,3)),IF(VLOOKUP($C14,'VULA LAB'!$A:$AQ,7)=1,"EXC",VLOOKUP($C14,'VULA LAB'!$A:$AQ,6)),"")</f>
        <v>20</v>
      </c>
      <c r="H14" s="32">
        <f>IF(ISBLANK(VLOOKUP($C14,'VULA LAB'!$A:$AQ,3)),IF(VLOOKUP($C14,'VULA LAB'!$A:$AQ,9)=1,"EXC",VLOOKUP($C14,'VULA LAB'!$A:$AQ,8)),"")</f>
        <v>0</v>
      </c>
      <c r="I14" s="32">
        <f>IF(ISBLANK(VLOOKUP($C14,'VULA LAB'!$A:$AQ,3)),IF(VLOOKUP($C14,'VULA LAB'!$A:$AQ,11)=1,"EXC",VLOOKUP($C14,'VULA LAB'!$A:$AQ,10)),"")</f>
        <v>0</v>
      </c>
      <c r="J14" s="32">
        <f>IF(ISBLANK(VLOOKUP($C14,'VULA LAB'!$A:$AQ,3)),IF(VLOOKUP($C14,'VULA LAB'!$A:$AQ,13)=1,"EXC",VLOOKUP($C14,'VULA LAB'!$A:$AQ,12)),"")</f>
        <v>0</v>
      </c>
      <c r="K14" s="32">
        <f>IF(ISBLANK(VLOOKUP($C14,'VULA LAB'!$A:$AQ,3)),IF(VLOOKUP($C14,'VULA LAB'!$A:$AQ,15)=1,"EXC",VLOOKUP($C14,'VULA LAB'!$A:$AQ,14)),"")</f>
        <v>0</v>
      </c>
      <c r="L14" s="32">
        <f>IF(ISBLANK(VLOOKUP($C14,'VULA LAB'!$A:$AQ,3)),IF(VLOOKUP($C14,'VULA LAB'!$A:$AQ,17)=1,"EXC",VLOOKUP($C14,'VULA LAB'!$A:$AQ,16)),"")</f>
        <v>0</v>
      </c>
      <c r="M14" s="32">
        <f>IF(ISBLANK(VLOOKUP($C14,'VULA LAB'!$A:$AQ,3)),IF(VLOOKUP($C14,'VULA LAB'!$A:$AQ,19)=1,"EXC",VLOOKUP($C14,'VULA LAB'!$A:$AQ,18)),"")</f>
        <v>0</v>
      </c>
      <c r="N14" s="32">
        <f>IF(ISBLANK(VLOOKUP($C14,'VULA LAB'!$A:$AQ,3)),IF(VLOOKUP($C14,'VULA LAB'!$A:$AQ,21)=1,"EXC",VLOOKUP($C14,'VULA LAB'!$A:$AQ,20)),"")</f>
        <v>0</v>
      </c>
      <c r="O14" s="32">
        <f>IF(ISBLANK(VLOOKUP($C14,'VULA LAB'!$A:$AQ,3)),IF(VLOOKUP($C14,'VULA LAB'!$A:$AQ,23)=1,"EXC",VLOOKUP($C14,'VULA LAB'!$A:$AQ,22)),"")</f>
        <v>0</v>
      </c>
      <c r="P14" s="32">
        <f>IF(ISBLANK(VLOOKUP($C14,'VULA LAB'!$A:$AQ,3)),IF(VLOOKUP($C14,'VULA LAB'!$A:$AQ,25)=1,"EXC",VLOOKUP($C14,'VULA LAB'!$A:$AQ,24)),"")</f>
        <v>0</v>
      </c>
      <c r="Q14" s="32">
        <f>IF(ISBLANK(VLOOKUP($C14,'VULA LAB'!$A:$AQ,3)),IF(VLOOKUP($C14,'VULA LAB'!$A:$AQ,27)=1,"EXC",VLOOKUP($C14,'VULA LAB'!$A:$AQ,26)),"")</f>
        <v>0</v>
      </c>
      <c r="R14" s="32">
        <f>IF(ISBLANK(VLOOKUP($C14,'VULA LAB'!$A:$AQ,3)),IF(VLOOKUP($C14,'VULA LAB'!$A:$AQ,29)=1,"EXC",VLOOKUP($C14,'VULA LAB'!$A:$AQ,28)),"")</f>
        <v>0</v>
      </c>
      <c r="S14" s="32">
        <f>IF(ISBLANK(VLOOKUP($C14,'VULA LAB'!$A:$AQ,3)),IF(VLOOKUP($C14,'VULA LAB'!$A:$AQ,31)=1,"EXC",VLOOKUP($C14,'VULA LAB'!$A:$AQ,30)),"")</f>
        <v>0</v>
      </c>
      <c r="T14" s="32">
        <f>IF(ISBLANK(VLOOKUP($C14,'VULA LAB'!$A:$AQ,3)),IF(VLOOKUP($C14,'VULA LAB'!$A:$AQ,33)=1,"EXC",VLOOKUP($C14,'VULA LAB'!$A:$AQ,32)),"")</f>
        <v>0</v>
      </c>
      <c r="U14" s="32">
        <f>IF(ISBLANK(VLOOKUP($C14,'VULA LAB'!$A:$AQ,3)),IF(VLOOKUP($C14,'VULA LAB'!$A:$AQ,35)=1,"EXC",VLOOKUP($C14,'VULA LAB'!$A:$AQ,34)),"")</f>
        <v>0</v>
      </c>
      <c r="V14" s="32">
        <f>IF(ISBLANK(VLOOKUP($C14,'VULA LAB'!$A:$AQ,3)),IF(VLOOKUP($C14,'VULA LAB'!$A:$AQ,37)=1,"EXC",VLOOKUP($C14,'VULA LAB'!$A:$AQ,36)),"")</f>
        <v>0</v>
      </c>
      <c r="W14" s="32">
        <f>IF(ISBLANK(VLOOKUP($C14,'VULA LAB'!$A:$AQ,3)),IF(VLOOKUP($C14,'VULA LAB'!$A:$AQ,39)=1,"EXC",VLOOKUP($C14,'VULA LAB'!$A:$AQ,38)),"")</f>
        <v>0</v>
      </c>
      <c r="X14" s="32">
        <f>IF(ISBLANK(VLOOKUP($C14,'VULA LAB'!$A:$AQ,3)),IF(VLOOKUP($C14,'VULA LAB'!$A:$AQ,41)=1,"EXC",VLOOKUP($C14,'VULA LAB'!$A:$AQ,40)),"")</f>
        <v>0</v>
      </c>
      <c r="Y14" s="32">
        <f>IF(ISBLANK(VLOOKUP($C14,'VULA LAB'!$A:$AQ,3)),IF(VLOOKUP($C14,'VULA LAB'!$A:$AQ,43)=1,"EXC",VLOOKUP($C14,'VULA LAB'!$A:$AQ,42)),"")</f>
        <v>0</v>
      </c>
      <c r="Z14" s="129"/>
      <c r="AA14" s="32">
        <f t="shared" si="1"/>
        <v>40</v>
      </c>
      <c r="AB14" s="33">
        <f t="shared" si="2"/>
        <v>100</v>
      </c>
    </row>
    <row r="15" spans="1:35" x14ac:dyDescent="0.25">
      <c r="A15" s="34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32" t="str">
        <f>IF(ISBLANK(VLOOKUP($C15,'VULA LAB'!$A:$AQ,3)),"",VLOOKUP($C15,'VULA LAB'!$A:$AQ,3))</f>
        <v/>
      </c>
      <c r="F15" s="32" t="str">
        <f>IF(ISBLANK(VLOOKUP($C15,'VULA LAB'!$A:$AQ,3)),IF(VLOOKUP($C15,'VULA LAB'!$A:$AQ,5)=1,"EXC",VLOOKUP($C15,'VULA LAB'!$A:$AQ,4)),"")</f>
        <v>EXC</v>
      </c>
      <c r="G15" s="32">
        <f>IF(ISBLANK(VLOOKUP($C15,'VULA LAB'!$A:$AQ,3)),IF(VLOOKUP($C15,'VULA LAB'!$A:$AQ,7)=1,"EXC",VLOOKUP($C15,'VULA LAB'!$A:$AQ,6)),"")</f>
        <v>20</v>
      </c>
      <c r="H15" s="32">
        <f>IF(ISBLANK(VLOOKUP($C15,'VULA LAB'!$A:$AQ,3)),IF(VLOOKUP($C15,'VULA LAB'!$A:$AQ,9)=1,"EXC",VLOOKUP($C15,'VULA LAB'!$A:$AQ,8)),"")</f>
        <v>0</v>
      </c>
      <c r="I15" s="32">
        <f>IF(ISBLANK(VLOOKUP($C15,'VULA LAB'!$A:$AQ,3)),IF(VLOOKUP($C15,'VULA LAB'!$A:$AQ,11)=1,"EXC",VLOOKUP($C15,'VULA LAB'!$A:$AQ,10)),"")</f>
        <v>0</v>
      </c>
      <c r="J15" s="32">
        <f>IF(ISBLANK(VLOOKUP($C15,'VULA LAB'!$A:$AQ,3)),IF(VLOOKUP($C15,'VULA LAB'!$A:$AQ,13)=1,"EXC",VLOOKUP($C15,'VULA LAB'!$A:$AQ,12)),"")</f>
        <v>0</v>
      </c>
      <c r="K15" s="32">
        <f>IF(ISBLANK(VLOOKUP($C15,'VULA LAB'!$A:$AQ,3)),IF(VLOOKUP($C15,'VULA LAB'!$A:$AQ,15)=1,"EXC",VLOOKUP($C15,'VULA LAB'!$A:$AQ,14)),"")</f>
        <v>0</v>
      </c>
      <c r="L15" s="32">
        <f>IF(ISBLANK(VLOOKUP($C15,'VULA LAB'!$A:$AQ,3)),IF(VLOOKUP($C15,'VULA LAB'!$A:$AQ,17)=1,"EXC",VLOOKUP($C15,'VULA LAB'!$A:$AQ,16)),"")</f>
        <v>0</v>
      </c>
      <c r="M15" s="32">
        <f>IF(ISBLANK(VLOOKUP($C15,'VULA LAB'!$A:$AQ,3)),IF(VLOOKUP($C15,'VULA LAB'!$A:$AQ,19)=1,"EXC",VLOOKUP($C15,'VULA LAB'!$A:$AQ,18)),"")</f>
        <v>0</v>
      </c>
      <c r="N15" s="32">
        <f>IF(ISBLANK(VLOOKUP($C15,'VULA LAB'!$A:$AQ,3)),IF(VLOOKUP($C15,'VULA LAB'!$A:$AQ,21)=1,"EXC",VLOOKUP($C15,'VULA LAB'!$A:$AQ,20)),"")</f>
        <v>0</v>
      </c>
      <c r="O15" s="32">
        <f>IF(ISBLANK(VLOOKUP($C15,'VULA LAB'!$A:$AQ,3)),IF(VLOOKUP($C15,'VULA LAB'!$A:$AQ,23)=1,"EXC",VLOOKUP($C15,'VULA LAB'!$A:$AQ,22)),"")</f>
        <v>0</v>
      </c>
      <c r="P15" s="32">
        <f>IF(ISBLANK(VLOOKUP($C15,'VULA LAB'!$A:$AQ,3)),IF(VLOOKUP($C15,'VULA LAB'!$A:$AQ,25)=1,"EXC",VLOOKUP($C15,'VULA LAB'!$A:$AQ,24)),"")</f>
        <v>0</v>
      </c>
      <c r="Q15" s="32">
        <f>IF(ISBLANK(VLOOKUP($C15,'VULA LAB'!$A:$AQ,3)),IF(VLOOKUP($C15,'VULA LAB'!$A:$AQ,27)=1,"EXC",VLOOKUP($C15,'VULA LAB'!$A:$AQ,26)),"")</f>
        <v>0</v>
      </c>
      <c r="R15" s="32">
        <f>IF(ISBLANK(VLOOKUP($C15,'VULA LAB'!$A:$AQ,3)),IF(VLOOKUP($C15,'VULA LAB'!$A:$AQ,29)=1,"EXC",VLOOKUP($C15,'VULA LAB'!$A:$AQ,28)),"")</f>
        <v>0</v>
      </c>
      <c r="S15" s="32">
        <f>IF(ISBLANK(VLOOKUP($C15,'VULA LAB'!$A:$AQ,3)),IF(VLOOKUP($C15,'VULA LAB'!$A:$AQ,31)=1,"EXC",VLOOKUP($C15,'VULA LAB'!$A:$AQ,30)),"")</f>
        <v>0</v>
      </c>
      <c r="T15" s="32">
        <f>IF(ISBLANK(VLOOKUP($C15,'VULA LAB'!$A:$AQ,3)),IF(VLOOKUP($C15,'VULA LAB'!$A:$AQ,33)=1,"EXC",VLOOKUP($C15,'VULA LAB'!$A:$AQ,32)),"")</f>
        <v>0</v>
      </c>
      <c r="U15" s="32">
        <f>IF(ISBLANK(VLOOKUP($C15,'VULA LAB'!$A:$AQ,3)),IF(VLOOKUP($C15,'VULA LAB'!$A:$AQ,35)=1,"EXC",VLOOKUP($C15,'VULA LAB'!$A:$AQ,34)),"")</f>
        <v>0</v>
      </c>
      <c r="V15" s="32">
        <f>IF(ISBLANK(VLOOKUP($C15,'VULA LAB'!$A:$AQ,3)),IF(VLOOKUP($C15,'VULA LAB'!$A:$AQ,37)=1,"EXC",VLOOKUP($C15,'VULA LAB'!$A:$AQ,36)),"")</f>
        <v>0</v>
      </c>
      <c r="W15" s="32">
        <f>IF(ISBLANK(VLOOKUP($C15,'VULA LAB'!$A:$AQ,3)),IF(VLOOKUP($C15,'VULA LAB'!$A:$AQ,39)=1,"EXC",VLOOKUP($C15,'VULA LAB'!$A:$AQ,38)),"")</f>
        <v>0</v>
      </c>
      <c r="X15" s="32">
        <f>IF(ISBLANK(VLOOKUP($C15,'VULA LAB'!$A:$AQ,3)),IF(VLOOKUP($C15,'VULA LAB'!$A:$AQ,41)=1,"EXC",VLOOKUP($C15,'VULA LAB'!$A:$AQ,40)),"")</f>
        <v>0</v>
      </c>
      <c r="Y15" s="32">
        <f>IF(ISBLANK(VLOOKUP($C15,'VULA LAB'!$A:$AQ,3)),IF(VLOOKUP($C15,'VULA LAB'!$A:$AQ,43)=1,"EXC",VLOOKUP($C15,'VULA LAB'!$A:$AQ,42)),"")</f>
        <v>0</v>
      </c>
      <c r="Z15" s="129"/>
      <c r="AA15" s="32">
        <f t="shared" si="1"/>
        <v>20</v>
      </c>
      <c r="AB15" s="33">
        <f t="shared" si="2"/>
        <v>100</v>
      </c>
    </row>
    <row r="16" spans="1:35" x14ac:dyDescent="0.25">
      <c r="A16" s="34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32" t="str">
        <f>IF(ISBLANK(VLOOKUP($C16,'VULA LAB'!$A:$AQ,3)),"",VLOOKUP($C16,'VULA LAB'!$A:$AQ,3))</f>
        <v/>
      </c>
      <c r="F16" s="32">
        <f>IF(ISBLANK(VLOOKUP($C16,'VULA LAB'!$A:$AQ,3)),IF(VLOOKUP($C16,'VULA LAB'!$A:$AQ,5)=1,"EXC",VLOOKUP($C16,'VULA LAB'!$A:$AQ,4)),"")</f>
        <v>20</v>
      </c>
      <c r="G16" s="32">
        <f>IF(ISBLANK(VLOOKUP($C16,'VULA LAB'!$A:$AQ,3)),IF(VLOOKUP($C16,'VULA LAB'!$A:$AQ,7)=1,"EXC",VLOOKUP($C16,'VULA LAB'!$A:$AQ,6)),"")</f>
        <v>20</v>
      </c>
      <c r="H16" s="32">
        <f>IF(ISBLANK(VLOOKUP($C16,'VULA LAB'!$A:$AQ,3)),IF(VLOOKUP($C16,'VULA LAB'!$A:$AQ,9)=1,"EXC",VLOOKUP($C16,'VULA LAB'!$A:$AQ,8)),"")</f>
        <v>0</v>
      </c>
      <c r="I16" s="32">
        <f>IF(ISBLANK(VLOOKUP($C16,'VULA LAB'!$A:$AQ,3)),IF(VLOOKUP($C16,'VULA LAB'!$A:$AQ,11)=1,"EXC",VLOOKUP($C16,'VULA LAB'!$A:$AQ,10)),"")</f>
        <v>0</v>
      </c>
      <c r="J16" s="32">
        <f>IF(ISBLANK(VLOOKUP($C16,'VULA LAB'!$A:$AQ,3)),IF(VLOOKUP($C16,'VULA LAB'!$A:$AQ,13)=1,"EXC",VLOOKUP($C16,'VULA LAB'!$A:$AQ,12)),"")</f>
        <v>0</v>
      </c>
      <c r="K16" s="32">
        <f>IF(ISBLANK(VLOOKUP($C16,'VULA LAB'!$A:$AQ,3)),IF(VLOOKUP($C16,'VULA LAB'!$A:$AQ,15)=1,"EXC",VLOOKUP($C16,'VULA LAB'!$A:$AQ,14)),"")</f>
        <v>0</v>
      </c>
      <c r="L16" s="32">
        <f>IF(ISBLANK(VLOOKUP($C16,'VULA LAB'!$A:$AQ,3)),IF(VLOOKUP($C16,'VULA LAB'!$A:$AQ,17)=1,"EXC",VLOOKUP($C16,'VULA LAB'!$A:$AQ,16)),"")</f>
        <v>0</v>
      </c>
      <c r="M16" s="32">
        <f>IF(ISBLANK(VLOOKUP($C16,'VULA LAB'!$A:$AQ,3)),IF(VLOOKUP($C16,'VULA LAB'!$A:$AQ,19)=1,"EXC",VLOOKUP($C16,'VULA LAB'!$A:$AQ,18)),"")</f>
        <v>0</v>
      </c>
      <c r="N16" s="32">
        <f>IF(ISBLANK(VLOOKUP($C16,'VULA LAB'!$A:$AQ,3)),IF(VLOOKUP($C16,'VULA LAB'!$A:$AQ,21)=1,"EXC",VLOOKUP($C16,'VULA LAB'!$A:$AQ,20)),"")</f>
        <v>0</v>
      </c>
      <c r="O16" s="32">
        <f>IF(ISBLANK(VLOOKUP($C16,'VULA LAB'!$A:$AQ,3)),IF(VLOOKUP($C16,'VULA LAB'!$A:$AQ,23)=1,"EXC",VLOOKUP($C16,'VULA LAB'!$A:$AQ,22)),"")</f>
        <v>0</v>
      </c>
      <c r="P16" s="32">
        <f>IF(ISBLANK(VLOOKUP($C16,'VULA LAB'!$A:$AQ,3)),IF(VLOOKUP($C16,'VULA LAB'!$A:$AQ,25)=1,"EXC",VLOOKUP($C16,'VULA LAB'!$A:$AQ,24)),"")</f>
        <v>0</v>
      </c>
      <c r="Q16" s="32">
        <f>IF(ISBLANK(VLOOKUP($C16,'VULA LAB'!$A:$AQ,3)),IF(VLOOKUP($C16,'VULA LAB'!$A:$AQ,27)=1,"EXC",VLOOKUP($C16,'VULA LAB'!$A:$AQ,26)),"")</f>
        <v>0</v>
      </c>
      <c r="R16" s="32">
        <f>IF(ISBLANK(VLOOKUP($C16,'VULA LAB'!$A:$AQ,3)),IF(VLOOKUP($C16,'VULA LAB'!$A:$AQ,29)=1,"EXC",VLOOKUP($C16,'VULA LAB'!$A:$AQ,28)),"")</f>
        <v>0</v>
      </c>
      <c r="S16" s="32">
        <f>IF(ISBLANK(VLOOKUP($C16,'VULA LAB'!$A:$AQ,3)),IF(VLOOKUP($C16,'VULA LAB'!$A:$AQ,31)=1,"EXC",VLOOKUP($C16,'VULA LAB'!$A:$AQ,30)),"")</f>
        <v>0</v>
      </c>
      <c r="T16" s="32">
        <f>IF(ISBLANK(VLOOKUP($C16,'VULA LAB'!$A:$AQ,3)),IF(VLOOKUP($C16,'VULA LAB'!$A:$AQ,33)=1,"EXC",VLOOKUP($C16,'VULA LAB'!$A:$AQ,32)),"")</f>
        <v>0</v>
      </c>
      <c r="U16" s="32">
        <f>IF(ISBLANK(VLOOKUP($C16,'VULA LAB'!$A:$AQ,3)),IF(VLOOKUP($C16,'VULA LAB'!$A:$AQ,35)=1,"EXC",VLOOKUP($C16,'VULA LAB'!$A:$AQ,34)),"")</f>
        <v>0</v>
      </c>
      <c r="V16" s="32">
        <f>IF(ISBLANK(VLOOKUP($C16,'VULA LAB'!$A:$AQ,3)),IF(VLOOKUP($C16,'VULA LAB'!$A:$AQ,37)=1,"EXC",VLOOKUP($C16,'VULA LAB'!$A:$AQ,36)),"")</f>
        <v>0</v>
      </c>
      <c r="W16" s="32">
        <f>IF(ISBLANK(VLOOKUP($C16,'VULA LAB'!$A:$AQ,3)),IF(VLOOKUP($C16,'VULA LAB'!$A:$AQ,39)=1,"EXC",VLOOKUP($C16,'VULA LAB'!$A:$AQ,38)),"")</f>
        <v>0</v>
      </c>
      <c r="X16" s="32">
        <f>IF(ISBLANK(VLOOKUP($C16,'VULA LAB'!$A:$AQ,3)),IF(VLOOKUP($C16,'VULA LAB'!$A:$AQ,41)=1,"EXC",VLOOKUP($C16,'VULA LAB'!$A:$AQ,40)),"")</f>
        <v>0</v>
      </c>
      <c r="Y16" s="32">
        <f>IF(ISBLANK(VLOOKUP($C16,'VULA LAB'!$A:$AQ,3)),IF(VLOOKUP($C16,'VULA LAB'!$A:$AQ,43)=1,"EXC",VLOOKUP($C16,'VULA LAB'!$A:$AQ,42)),"")</f>
        <v>0</v>
      </c>
      <c r="Z16" s="129"/>
      <c r="AA16" s="32">
        <f t="shared" si="1"/>
        <v>40</v>
      </c>
      <c r="AB16" s="33">
        <f t="shared" si="2"/>
        <v>100</v>
      </c>
    </row>
  </sheetData>
  <sheetProtection password="EFD2" sheet="1" objects="1" scenarios="1" selectLockedCells="1"/>
  <conditionalFormatting sqref="F3:Y3">
    <cfRule type="cellIs" dxfId="1615" priority="412" operator="equal">
      <formula>1</formula>
    </cfRule>
  </conditionalFormatting>
  <conditionalFormatting sqref="F7">
    <cfRule type="cellIs" dxfId="1614" priority="411" operator="greaterThan">
      <formula>$F$2</formula>
    </cfRule>
  </conditionalFormatting>
  <conditionalFormatting sqref="G7">
    <cfRule type="cellIs" dxfId="1613" priority="410" operator="greaterThan">
      <formula>$G$2</formula>
    </cfRule>
  </conditionalFormatting>
  <conditionalFormatting sqref="H7">
    <cfRule type="cellIs" dxfId="1612" priority="407" operator="greaterThan">
      <formula>$H$2</formula>
    </cfRule>
  </conditionalFormatting>
  <conditionalFormatting sqref="I7">
    <cfRule type="cellIs" dxfId="1611" priority="406" operator="greaterThan">
      <formula>$I$2</formula>
    </cfRule>
  </conditionalFormatting>
  <conditionalFormatting sqref="J7">
    <cfRule type="cellIs" dxfId="1610" priority="405" operator="greaterThan">
      <formula>$J$2</formula>
    </cfRule>
  </conditionalFormatting>
  <conditionalFormatting sqref="K7">
    <cfRule type="cellIs" dxfId="1609" priority="404" operator="greaterThan">
      <formula>$K$2</formula>
    </cfRule>
  </conditionalFormatting>
  <conditionalFormatting sqref="L7">
    <cfRule type="cellIs" dxfId="1608" priority="403" operator="greaterThan">
      <formula>$L$2</formula>
    </cfRule>
  </conditionalFormatting>
  <conditionalFormatting sqref="M7">
    <cfRule type="cellIs" dxfId="1607" priority="402" operator="greaterThan">
      <formula>$M$2</formula>
    </cfRule>
  </conditionalFormatting>
  <conditionalFormatting sqref="N7">
    <cfRule type="cellIs" dxfId="1606" priority="401" operator="greaterThan">
      <formula>$N$2</formula>
    </cfRule>
  </conditionalFormatting>
  <conditionalFormatting sqref="O7">
    <cfRule type="cellIs" dxfId="1605" priority="400" operator="greaterThan">
      <formula>$O$2</formula>
    </cfRule>
  </conditionalFormatting>
  <conditionalFormatting sqref="P7">
    <cfRule type="cellIs" dxfId="1604" priority="399" operator="greaterThan">
      <formula>$P$2</formula>
    </cfRule>
  </conditionalFormatting>
  <conditionalFormatting sqref="Y7">
    <cfRule type="cellIs" dxfId="1603" priority="235" operator="greaterThan">
      <formula>$Y$2</formula>
    </cfRule>
  </conditionalFormatting>
  <conditionalFormatting sqref="B7">
    <cfRule type="cellIs" dxfId="1602" priority="232" operator="equal">
      <formula>TRUE</formula>
    </cfRule>
  </conditionalFormatting>
  <conditionalFormatting sqref="F7:AB7">
    <cfRule type="cellIs" dxfId="1601" priority="233" operator="equal">
      <formula>"ABS"</formula>
    </cfRule>
    <cfRule type="cellIs" dxfId="1600" priority="234" operator="equal">
      <formula>"EXC"</formula>
    </cfRule>
  </conditionalFormatting>
  <conditionalFormatting sqref="R7">
    <cfRule type="cellIs" dxfId="1599" priority="318" operator="greaterThan">
      <formula>$R$2</formula>
    </cfRule>
  </conditionalFormatting>
  <conditionalFormatting sqref="S7">
    <cfRule type="cellIs" dxfId="1598" priority="284" operator="greaterThan">
      <formula>$S$2</formula>
    </cfRule>
  </conditionalFormatting>
  <conditionalFormatting sqref="T7">
    <cfRule type="cellIs" dxfId="1597" priority="283" operator="greaterThan">
      <formula>$T$2</formula>
    </cfRule>
  </conditionalFormatting>
  <conditionalFormatting sqref="U7">
    <cfRule type="cellIs" dxfId="1596" priority="239" operator="greaterThan">
      <formula>$U$2</formula>
    </cfRule>
  </conditionalFormatting>
  <conditionalFormatting sqref="V7">
    <cfRule type="cellIs" dxfId="1595" priority="238" operator="greaterThan">
      <formula>$V$2</formula>
    </cfRule>
  </conditionalFormatting>
  <conditionalFormatting sqref="W7">
    <cfRule type="cellIs" dxfId="1594" priority="237" operator="greaterThan">
      <formula>$W$2</formula>
    </cfRule>
  </conditionalFormatting>
  <conditionalFormatting sqref="X7">
    <cfRule type="cellIs" dxfId="1593" priority="236" operator="greaterThan">
      <formula>$X$2</formula>
    </cfRule>
  </conditionalFormatting>
  <conditionalFormatting sqref="Q7">
    <cfRule type="cellIs" dxfId="1592" priority="395" operator="greaterThan">
      <formula>$Q$2</formula>
    </cfRule>
  </conditionalFormatting>
  <conditionalFormatting sqref="E7">
    <cfRule type="containsBlanks" dxfId="1591" priority="227">
      <formula>LEN(TRIM(E7))=0</formula>
    </cfRule>
  </conditionalFormatting>
  <conditionalFormatting sqref="F7:Y7">
    <cfRule type="containsBlanks" dxfId="1590" priority="226">
      <formula>LEN(TRIM(F7))=0</formula>
    </cfRule>
  </conditionalFormatting>
  <conditionalFormatting sqref="F8">
    <cfRule type="cellIs" dxfId="1589" priority="225" operator="greaterThan">
      <formula>$F$2</formula>
    </cfRule>
  </conditionalFormatting>
  <conditionalFormatting sqref="G8">
    <cfRule type="cellIs" dxfId="1588" priority="224" operator="greaterThan">
      <formula>$G$2</formula>
    </cfRule>
  </conditionalFormatting>
  <conditionalFormatting sqref="H8">
    <cfRule type="cellIs" dxfId="1587" priority="223" operator="greaterThan">
      <formula>$H$2</formula>
    </cfRule>
  </conditionalFormatting>
  <conditionalFormatting sqref="I8">
    <cfRule type="cellIs" dxfId="1586" priority="222" operator="greaterThan">
      <formula>$I$2</formula>
    </cfRule>
  </conditionalFormatting>
  <conditionalFormatting sqref="J8">
    <cfRule type="cellIs" dxfId="1585" priority="221" operator="greaterThan">
      <formula>$J$2</formula>
    </cfRule>
  </conditionalFormatting>
  <conditionalFormatting sqref="K8">
    <cfRule type="cellIs" dxfId="1584" priority="220" operator="greaterThan">
      <formula>$K$2</formula>
    </cfRule>
  </conditionalFormatting>
  <conditionalFormatting sqref="L8">
    <cfRule type="cellIs" dxfId="1583" priority="219" operator="greaterThan">
      <formula>$L$2</formula>
    </cfRule>
  </conditionalFormatting>
  <conditionalFormatting sqref="M8">
    <cfRule type="cellIs" dxfId="1582" priority="218" operator="greaterThan">
      <formula>$M$2</formula>
    </cfRule>
  </conditionalFormatting>
  <conditionalFormatting sqref="N8">
    <cfRule type="cellIs" dxfId="1581" priority="217" operator="greaterThan">
      <formula>$N$2</formula>
    </cfRule>
  </conditionalFormatting>
  <conditionalFormatting sqref="O8">
    <cfRule type="cellIs" dxfId="1580" priority="216" operator="greaterThan">
      <formula>$O$2</formula>
    </cfRule>
  </conditionalFormatting>
  <conditionalFormatting sqref="P8">
    <cfRule type="cellIs" dxfId="1579" priority="215" operator="greaterThan">
      <formula>$P$2</formula>
    </cfRule>
  </conditionalFormatting>
  <conditionalFormatting sqref="Y8">
    <cfRule type="cellIs" dxfId="1578" priority="206" operator="greaterThan">
      <formula>$Y$2</formula>
    </cfRule>
  </conditionalFormatting>
  <conditionalFormatting sqref="B8">
    <cfRule type="cellIs" dxfId="1577" priority="203" operator="equal">
      <formula>TRUE</formula>
    </cfRule>
  </conditionalFormatting>
  <conditionalFormatting sqref="F8:AB8">
    <cfRule type="cellIs" dxfId="1576" priority="204" operator="equal">
      <formula>"ABS"</formula>
    </cfRule>
    <cfRule type="cellIs" dxfId="1575" priority="205" operator="equal">
      <formula>"EXC"</formula>
    </cfRule>
  </conditionalFormatting>
  <conditionalFormatting sqref="R8">
    <cfRule type="cellIs" dxfId="1574" priority="213" operator="greaterThan">
      <formula>$R$2</formula>
    </cfRule>
  </conditionalFormatting>
  <conditionalFormatting sqref="S8">
    <cfRule type="cellIs" dxfId="1573" priority="212" operator="greaterThan">
      <formula>$S$2</formula>
    </cfRule>
  </conditionalFormatting>
  <conditionalFormatting sqref="T8">
    <cfRule type="cellIs" dxfId="1572" priority="211" operator="greaterThan">
      <formula>$T$2</formula>
    </cfRule>
  </conditionalFormatting>
  <conditionalFormatting sqref="U8">
    <cfRule type="cellIs" dxfId="1571" priority="210" operator="greaterThan">
      <formula>$U$2</formula>
    </cfRule>
  </conditionalFormatting>
  <conditionalFormatting sqref="V8">
    <cfRule type="cellIs" dxfId="1570" priority="209" operator="greaterThan">
      <formula>$V$2</formula>
    </cfRule>
  </conditionalFormatting>
  <conditionalFormatting sqref="W8">
    <cfRule type="cellIs" dxfId="1569" priority="208" operator="greaterThan">
      <formula>$W$2</formula>
    </cfRule>
  </conditionalFormatting>
  <conditionalFormatting sqref="X8">
    <cfRule type="cellIs" dxfId="1568" priority="207" operator="greaterThan">
      <formula>$X$2</formula>
    </cfRule>
  </conditionalFormatting>
  <conditionalFormatting sqref="Q8">
    <cfRule type="cellIs" dxfId="1567" priority="214" operator="greaterThan">
      <formula>$Q$2</formula>
    </cfRule>
  </conditionalFormatting>
  <conditionalFormatting sqref="E8">
    <cfRule type="containsBlanks" dxfId="1566" priority="202">
      <formula>LEN(TRIM(E8))=0</formula>
    </cfRule>
  </conditionalFormatting>
  <conditionalFormatting sqref="F8:Y8">
    <cfRule type="containsBlanks" dxfId="1565" priority="201">
      <formula>LEN(TRIM(F8))=0</formula>
    </cfRule>
  </conditionalFormatting>
  <conditionalFormatting sqref="F9">
    <cfRule type="cellIs" dxfId="1564" priority="200" operator="greaterThan">
      <formula>$F$2</formula>
    </cfRule>
  </conditionalFormatting>
  <conditionalFormatting sqref="G9">
    <cfRule type="cellIs" dxfId="1563" priority="199" operator="greaterThan">
      <formula>$G$2</formula>
    </cfRule>
  </conditionalFormatting>
  <conditionalFormatting sqref="H9">
    <cfRule type="cellIs" dxfId="1562" priority="198" operator="greaterThan">
      <formula>$H$2</formula>
    </cfRule>
  </conditionalFormatting>
  <conditionalFormatting sqref="I9">
    <cfRule type="cellIs" dxfId="1561" priority="197" operator="greaterThan">
      <formula>$I$2</formula>
    </cfRule>
  </conditionalFormatting>
  <conditionalFormatting sqref="J9">
    <cfRule type="cellIs" dxfId="1560" priority="196" operator="greaterThan">
      <formula>$J$2</formula>
    </cfRule>
  </conditionalFormatting>
  <conditionalFormatting sqref="K9">
    <cfRule type="cellIs" dxfId="1559" priority="195" operator="greaterThan">
      <formula>$K$2</formula>
    </cfRule>
  </conditionalFormatting>
  <conditionalFormatting sqref="L9">
    <cfRule type="cellIs" dxfId="1558" priority="194" operator="greaterThan">
      <formula>$L$2</formula>
    </cfRule>
  </conditionalFormatting>
  <conditionalFormatting sqref="M9">
    <cfRule type="cellIs" dxfId="1557" priority="193" operator="greaterThan">
      <formula>$M$2</formula>
    </cfRule>
  </conditionalFormatting>
  <conditionalFormatting sqref="N9">
    <cfRule type="cellIs" dxfId="1556" priority="192" operator="greaterThan">
      <formula>$N$2</formula>
    </cfRule>
  </conditionalFormatting>
  <conditionalFormatting sqref="O9">
    <cfRule type="cellIs" dxfId="1555" priority="191" operator="greaterThan">
      <formula>$O$2</formula>
    </cfRule>
  </conditionalFormatting>
  <conditionalFormatting sqref="P9">
    <cfRule type="cellIs" dxfId="1554" priority="190" operator="greaterThan">
      <formula>$P$2</formula>
    </cfRule>
  </conditionalFormatting>
  <conditionalFormatting sqref="Y9">
    <cfRule type="cellIs" dxfId="1553" priority="181" operator="greaterThan">
      <formula>$Y$2</formula>
    </cfRule>
  </conditionalFormatting>
  <conditionalFormatting sqref="B9">
    <cfRule type="cellIs" dxfId="1552" priority="178" operator="equal">
      <formula>TRUE</formula>
    </cfRule>
  </conditionalFormatting>
  <conditionalFormatting sqref="F9:AB9">
    <cfRule type="cellIs" dxfId="1551" priority="179" operator="equal">
      <formula>"ABS"</formula>
    </cfRule>
    <cfRule type="cellIs" dxfId="1550" priority="180" operator="equal">
      <formula>"EXC"</formula>
    </cfRule>
  </conditionalFormatting>
  <conditionalFormatting sqref="R9">
    <cfRule type="cellIs" dxfId="1549" priority="188" operator="greaterThan">
      <formula>$R$2</formula>
    </cfRule>
  </conditionalFormatting>
  <conditionalFormatting sqref="S9">
    <cfRule type="cellIs" dxfId="1548" priority="187" operator="greaterThan">
      <formula>$S$2</formula>
    </cfRule>
  </conditionalFormatting>
  <conditionalFormatting sqref="T9">
    <cfRule type="cellIs" dxfId="1547" priority="186" operator="greaterThan">
      <formula>$T$2</formula>
    </cfRule>
  </conditionalFormatting>
  <conditionalFormatting sqref="U9">
    <cfRule type="cellIs" dxfId="1546" priority="185" operator="greaterThan">
      <formula>$U$2</formula>
    </cfRule>
  </conditionalFormatting>
  <conditionalFormatting sqref="V9">
    <cfRule type="cellIs" dxfId="1545" priority="184" operator="greaterThan">
      <formula>$V$2</formula>
    </cfRule>
  </conditionalFormatting>
  <conditionalFormatting sqref="W9">
    <cfRule type="cellIs" dxfId="1544" priority="183" operator="greaterThan">
      <formula>$W$2</formula>
    </cfRule>
  </conditionalFormatting>
  <conditionalFormatting sqref="X9">
    <cfRule type="cellIs" dxfId="1543" priority="182" operator="greaterThan">
      <formula>$X$2</formula>
    </cfRule>
  </conditionalFormatting>
  <conditionalFormatting sqref="Q9">
    <cfRule type="cellIs" dxfId="1542" priority="189" operator="greaterThan">
      <formula>$Q$2</formula>
    </cfRule>
  </conditionalFormatting>
  <conditionalFormatting sqref="E9">
    <cfRule type="containsBlanks" dxfId="1541" priority="177">
      <formula>LEN(TRIM(E9))=0</formula>
    </cfRule>
  </conditionalFormatting>
  <conditionalFormatting sqref="F9:Y9">
    <cfRule type="containsBlanks" dxfId="1540" priority="176">
      <formula>LEN(TRIM(F9))=0</formula>
    </cfRule>
  </conditionalFormatting>
  <conditionalFormatting sqref="F10">
    <cfRule type="cellIs" dxfId="1539" priority="175" operator="greaterThan">
      <formula>$F$2</formula>
    </cfRule>
  </conditionalFormatting>
  <conditionalFormatting sqref="G10">
    <cfRule type="cellIs" dxfId="1538" priority="174" operator="greaterThan">
      <formula>$G$2</formula>
    </cfRule>
  </conditionalFormatting>
  <conditionalFormatting sqref="H10">
    <cfRule type="cellIs" dxfId="1537" priority="173" operator="greaterThan">
      <formula>$H$2</formula>
    </cfRule>
  </conditionalFormatting>
  <conditionalFormatting sqref="I10">
    <cfRule type="cellIs" dxfId="1536" priority="172" operator="greaterThan">
      <formula>$I$2</formula>
    </cfRule>
  </conditionalFormatting>
  <conditionalFormatting sqref="J10">
    <cfRule type="cellIs" dxfId="1535" priority="171" operator="greaterThan">
      <formula>$J$2</formula>
    </cfRule>
  </conditionalFormatting>
  <conditionalFormatting sqref="K10">
    <cfRule type="cellIs" dxfId="1534" priority="170" operator="greaterThan">
      <formula>$K$2</formula>
    </cfRule>
  </conditionalFormatting>
  <conditionalFormatting sqref="L10">
    <cfRule type="cellIs" dxfId="1533" priority="169" operator="greaterThan">
      <formula>$L$2</formula>
    </cfRule>
  </conditionalFormatting>
  <conditionalFormatting sqref="M10">
    <cfRule type="cellIs" dxfId="1532" priority="168" operator="greaterThan">
      <formula>$M$2</formula>
    </cfRule>
  </conditionalFormatting>
  <conditionalFormatting sqref="N10">
    <cfRule type="cellIs" dxfId="1531" priority="167" operator="greaterThan">
      <formula>$N$2</formula>
    </cfRule>
  </conditionalFormatting>
  <conditionalFormatting sqref="O10">
    <cfRule type="cellIs" dxfId="1530" priority="166" operator="greaterThan">
      <formula>$O$2</formula>
    </cfRule>
  </conditionalFormatting>
  <conditionalFormatting sqref="P10">
    <cfRule type="cellIs" dxfId="1529" priority="165" operator="greaterThan">
      <formula>$P$2</formula>
    </cfRule>
  </conditionalFormatting>
  <conditionalFormatting sqref="Y10">
    <cfRule type="cellIs" dxfId="1528" priority="156" operator="greaterThan">
      <formula>$Y$2</formula>
    </cfRule>
  </conditionalFormatting>
  <conditionalFormatting sqref="B10">
    <cfRule type="cellIs" dxfId="1527" priority="153" operator="equal">
      <formula>TRUE</formula>
    </cfRule>
  </conditionalFormatting>
  <conditionalFormatting sqref="F10:AB10">
    <cfRule type="cellIs" dxfId="1526" priority="154" operator="equal">
      <formula>"ABS"</formula>
    </cfRule>
    <cfRule type="cellIs" dxfId="1525" priority="155" operator="equal">
      <formula>"EXC"</formula>
    </cfRule>
  </conditionalFormatting>
  <conditionalFormatting sqref="R10">
    <cfRule type="cellIs" dxfId="1524" priority="163" operator="greaterThan">
      <formula>$R$2</formula>
    </cfRule>
  </conditionalFormatting>
  <conditionalFormatting sqref="S10">
    <cfRule type="cellIs" dxfId="1523" priority="162" operator="greaterThan">
      <formula>$S$2</formula>
    </cfRule>
  </conditionalFormatting>
  <conditionalFormatting sqref="T10">
    <cfRule type="cellIs" dxfId="1522" priority="161" operator="greaterThan">
      <formula>$T$2</formula>
    </cfRule>
  </conditionalFormatting>
  <conditionalFormatting sqref="U10">
    <cfRule type="cellIs" dxfId="1521" priority="160" operator="greaterThan">
      <formula>$U$2</formula>
    </cfRule>
  </conditionalFormatting>
  <conditionalFormatting sqref="V10">
    <cfRule type="cellIs" dxfId="1520" priority="159" operator="greaterThan">
      <formula>$V$2</formula>
    </cfRule>
  </conditionalFormatting>
  <conditionalFormatting sqref="W10">
    <cfRule type="cellIs" dxfId="1519" priority="158" operator="greaterThan">
      <formula>$W$2</formula>
    </cfRule>
  </conditionalFormatting>
  <conditionalFormatting sqref="X10">
    <cfRule type="cellIs" dxfId="1518" priority="157" operator="greaterThan">
      <formula>$X$2</formula>
    </cfRule>
  </conditionalFormatting>
  <conditionalFormatting sqref="Q10">
    <cfRule type="cellIs" dxfId="1517" priority="164" operator="greaterThan">
      <formula>$Q$2</formula>
    </cfRule>
  </conditionalFormatting>
  <conditionalFormatting sqref="E10">
    <cfRule type="containsBlanks" dxfId="1516" priority="152">
      <formula>LEN(TRIM(E10))=0</formula>
    </cfRule>
  </conditionalFormatting>
  <conditionalFormatting sqref="F10:Y10">
    <cfRule type="containsBlanks" dxfId="1515" priority="151">
      <formula>LEN(TRIM(F10))=0</formula>
    </cfRule>
  </conditionalFormatting>
  <conditionalFormatting sqref="F11">
    <cfRule type="cellIs" dxfId="1514" priority="150" operator="greaterThan">
      <formula>$F$2</formula>
    </cfRule>
  </conditionalFormatting>
  <conditionalFormatting sqref="G11">
    <cfRule type="cellIs" dxfId="1513" priority="149" operator="greaterThan">
      <formula>$G$2</formula>
    </cfRule>
  </conditionalFormatting>
  <conditionalFormatting sqref="H11">
    <cfRule type="cellIs" dxfId="1512" priority="148" operator="greaterThan">
      <formula>$H$2</formula>
    </cfRule>
  </conditionalFormatting>
  <conditionalFormatting sqref="I11">
    <cfRule type="cellIs" dxfId="1511" priority="147" operator="greaterThan">
      <formula>$I$2</formula>
    </cfRule>
  </conditionalFormatting>
  <conditionalFormatting sqref="J11">
    <cfRule type="cellIs" dxfId="1510" priority="146" operator="greaterThan">
      <formula>$J$2</formula>
    </cfRule>
  </conditionalFormatting>
  <conditionalFormatting sqref="K11">
    <cfRule type="cellIs" dxfId="1509" priority="145" operator="greaterThan">
      <formula>$K$2</formula>
    </cfRule>
  </conditionalFormatting>
  <conditionalFormatting sqref="L11">
    <cfRule type="cellIs" dxfId="1508" priority="144" operator="greaterThan">
      <formula>$L$2</formula>
    </cfRule>
  </conditionalFormatting>
  <conditionalFormatting sqref="M11">
    <cfRule type="cellIs" dxfId="1507" priority="143" operator="greaterThan">
      <formula>$M$2</formula>
    </cfRule>
  </conditionalFormatting>
  <conditionalFormatting sqref="N11">
    <cfRule type="cellIs" dxfId="1506" priority="142" operator="greaterThan">
      <formula>$N$2</formula>
    </cfRule>
  </conditionalFormatting>
  <conditionalFormatting sqref="O11">
    <cfRule type="cellIs" dxfId="1505" priority="141" operator="greaterThan">
      <formula>$O$2</formula>
    </cfRule>
  </conditionalFormatting>
  <conditionalFormatting sqref="P11">
    <cfRule type="cellIs" dxfId="1504" priority="140" operator="greaterThan">
      <formula>$P$2</formula>
    </cfRule>
  </conditionalFormatting>
  <conditionalFormatting sqref="Y11">
    <cfRule type="cellIs" dxfId="1503" priority="131" operator="greaterThan">
      <formula>$Y$2</formula>
    </cfRule>
  </conditionalFormatting>
  <conditionalFormatting sqref="B11">
    <cfRule type="cellIs" dxfId="1502" priority="128" operator="equal">
      <formula>TRUE</formula>
    </cfRule>
  </conditionalFormatting>
  <conditionalFormatting sqref="F11:AB11">
    <cfRule type="cellIs" dxfId="1501" priority="129" operator="equal">
      <formula>"ABS"</formula>
    </cfRule>
    <cfRule type="cellIs" dxfId="1500" priority="130" operator="equal">
      <formula>"EXC"</formula>
    </cfRule>
  </conditionalFormatting>
  <conditionalFormatting sqref="R11">
    <cfRule type="cellIs" dxfId="1499" priority="138" operator="greaterThan">
      <formula>$R$2</formula>
    </cfRule>
  </conditionalFormatting>
  <conditionalFormatting sqref="S11">
    <cfRule type="cellIs" dxfId="1498" priority="137" operator="greaterThan">
      <formula>$S$2</formula>
    </cfRule>
  </conditionalFormatting>
  <conditionalFormatting sqref="T11">
    <cfRule type="cellIs" dxfId="1497" priority="136" operator="greaterThan">
      <formula>$T$2</formula>
    </cfRule>
  </conditionalFormatting>
  <conditionalFormatting sqref="U11">
    <cfRule type="cellIs" dxfId="1496" priority="135" operator="greaterThan">
      <formula>$U$2</formula>
    </cfRule>
  </conditionalFormatting>
  <conditionalFormatting sqref="V11">
    <cfRule type="cellIs" dxfId="1495" priority="134" operator="greaterThan">
      <formula>$V$2</formula>
    </cfRule>
  </conditionalFormatting>
  <conditionalFormatting sqref="W11">
    <cfRule type="cellIs" dxfId="1494" priority="133" operator="greaterThan">
      <formula>$W$2</formula>
    </cfRule>
  </conditionalFormatting>
  <conditionalFormatting sqref="X11">
    <cfRule type="cellIs" dxfId="1493" priority="132" operator="greaterThan">
      <formula>$X$2</formula>
    </cfRule>
  </conditionalFormatting>
  <conditionalFormatting sqref="Q11">
    <cfRule type="cellIs" dxfId="1492" priority="139" operator="greaterThan">
      <formula>$Q$2</formula>
    </cfRule>
  </conditionalFormatting>
  <conditionalFormatting sqref="E11">
    <cfRule type="containsBlanks" dxfId="1491" priority="127">
      <formula>LEN(TRIM(E11))=0</formula>
    </cfRule>
  </conditionalFormatting>
  <conditionalFormatting sqref="F11:Y11">
    <cfRule type="containsBlanks" dxfId="1490" priority="126">
      <formula>LEN(TRIM(F11))=0</formula>
    </cfRule>
  </conditionalFormatting>
  <conditionalFormatting sqref="F12">
    <cfRule type="cellIs" dxfId="1489" priority="125" operator="greaterThan">
      <formula>$F$2</formula>
    </cfRule>
  </conditionalFormatting>
  <conditionalFormatting sqref="G12">
    <cfRule type="cellIs" dxfId="1488" priority="124" operator="greaterThan">
      <formula>$G$2</formula>
    </cfRule>
  </conditionalFormatting>
  <conditionalFormatting sqref="H12">
    <cfRule type="cellIs" dxfId="1487" priority="123" operator="greaterThan">
      <formula>$H$2</formula>
    </cfRule>
  </conditionalFormatting>
  <conditionalFormatting sqref="I12">
    <cfRule type="cellIs" dxfId="1486" priority="122" operator="greaterThan">
      <formula>$I$2</formula>
    </cfRule>
  </conditionalFormatting>
  <conditionalFormatting sqref="J12">
    <cfRule type="cellIs" dxfId="1485" priority="121" operator="greaterThan">
      <formula>$J$2</formula>
    </cfRule>
  </conditionalFormatting>
  <conditionalFormatting sqref="K12">
    <cfRule type="cellIs" dxfId="1484" priority="120" operator="greaterThan">
      <formula>$K$2</formula>
    </cfRule>
  </conditionalFormatting>
  <conditionalFormatting sqref="L12">
    <cfRule type="cellIs" dxfId="1483" priority="119" operator="greaterThan">
      <formula>$L$2</formula>
    </cfRule>
  </conditionalFormatting>
  <conditionalFormatting sqref="M12">
    <cfRule type="cellIs" dxfId="1482" priority="118" operator="greaterThan">
      <formula>$M$2</formula>
    </cfRule>
  </conditionalFormatting>
  <conditionalFormatting sqref="N12">
    <cfRule type="cellIs" dxfId="1481" priority="117" operator="greaterThan">
      <formula>$N$2</formula>
    </cfRule>
  </conditionalFormatting>
  <conditionalFormatting sqref="O12">
    <cfRule type="cellIs" dxfId="1480" priority="116" operator="greaterThan">
      <formula>$O$2</formula>
    </cfRule>
  </conditionalFormatting>
  <conditionalFormatting sqref="P12">
    <cfRule type="cellIs" dxfId="1479" priority="115" operator="greaterThan">
      <formula>$P$2</formula>
    </cfRule>
  </conditionalFormatting>
  <conditionalFormatting sqref="Y12">
    <cfRule type="cellIs" dxfId="1478" priority="106" operator="greaterThan">
      <formula>$Y$2</formula>
    </cfRule>
  </conditionalFormatting>
  <conditionalFormatting sqref="B12">
    <cfRule type="cellIs" dxfId="1477" priority="103" operator="equal">
      <formula>TRUE</formula>
    </cfRule>
  </conditionalFormatting>
  <conditionalFormatting sqref="F12:AB12">
    <cfRule type="cellIs" dxfId="1476" priority="104" operator="equal">
      <formula>"ABS"</formula>
    </cfRule>
    <cfRule type="cellIs" dxfId="1475" priority="105" operator="equal">
      <formula>"EXC"</formula>
    </cfRule>
  </conditionalFormatting>
  <conditionalFormatting sqref="R12">
    <cfRule type="cellIs" dxfId="1474" priority="113" operator="greaterThan">
      <formula>$R$2</formula>
    </cfRule>
  </conditionalFormatting>
  <conditionalFormatting sqref="S12">
    <cfRule type="cellIs" dxfId="1473" priority="112" operator="greaterThan">
      <formula>$S$2</formula>
    </cfRule>
  </conditionalFormatting>
  <conditionalFormatting sqref="T12">
    <cfRule type="cellIs" dxfId="1472" priority="111" operator="greaterThan">
      <formula>$T$2</formula>
    </cfRule>
  </conditionalFormatting>
  <conditionalFormatting sqref="U12">
    <cfRule type="cellIs" dxfId="1471" priority="110" operator="greaterThan">
      <formula>$U$2</formula>
    </cfRule>
  </conditionalFormatting>
  <conditionalFormatting sqref="V12">
    <cfRule type="cellIs" dxfId="1470" priority="109" operator="greaterThan">
      <formula>$V$2</formula>
    </cfRule>
  </conditionalFormatting>
  <conditionalFormatting sqref="W12">
    <cfRule type="cellIs" dxfId="1469" priority="108" operator="greaterThan">
      <formula>$W$2</formula>
    </cfRule>
  </conditionalFormatting>
  <conditionalFormatting sqref="X12">
    <cfRule type="cellIs" dxfId="1468" priority="107" operator="greaterThan">
      <formula>$X$2</formula>
    </cfRule>
  </conditionalFormatting>
  <conditionalFormatting sqref="Q12">
    <cfRule type="cellIs" dxfId="1467" priority="114" operator="greaterThan">
      <formula>$Q$2</formula>
    </cfRule>
  </conditionalFormatting>
  <conditionalFormatting sqref="E12">
    <cfRule type="containsBlanks" dxfId="1466" priority="102">
      <formula>LEN(TRIM(E12))=0</formula>
    </cfRule>
  </conditionalFormatting>
  <conditionalFormatting sqref="F12:Y12">
    <cfRule type="containsBlanks" dxfId="1465" priority="101">
      <formula>LEN(TRIM(F12))=0</formula>
    </cfRule>
  </conditionalFormatting>
  <conditionalFormatting sqref="F13">
    <cfRule type="cellIs" dxfId="1464" priority="100" operator="greaterThan">
      <formula>$F$2</formula>
    </cfRule>
  </conditionalFormatting>
  <conditionalFormatting sqref="G13">
    <cfRule type="cellIs" dxfId="1463" priority="99" operator="greaterThan">
      <formula>$G$2</formula>
    </cfRule>
  </conditionalFormatting>
  <conditionalFormatting sqref="H13">
    <cfRule type="cellIs" dxfId="1462" priority="98" operator="greaterThan">
      <formula>$H$2</formula>
    </cfRule>
  </conditionalFormatting>
  <conditionalFormatting sqref="I13">
    <cfRule type="cellIs" dxfId="1461" priority="97" operator="greaterThan">
      <formula>$I$2</formula>
    </cfRule>
  </conditionalFormatting>
  <conditionalFormatting sqref="J13">
    <cfRule type="cellIs" dxfId="1460" priority="96" operator="greaterThan">
      <formula>$J$2</formula>
    </cfRule>
  </conditionalFormatting>
  <conditionalFormatting sqref="K13">
    <cfRule type="cellIs" dxfId="1459" priority="95" operator="greaterThan">
      <formula>$K$2</formula>
    </cfRule>
  </conditionalFormatting>
  <conditionalFormatting sqref="L13">
    <cfRule type="cellIs" dxfId="1458" priority="94" operator="greaterThan">
      <formula>$L$2</formula>
    </cfRule>
  </conditionalFormatting>
  <conditionalFormatting sqref="M13">
    <cfRule type="cellIs" dxfId="1457" priority="93" operator="greaterThan">
      <formula>$M$2</formula>
    </cfRule>
  </conditionalFormatting>
  <conditionalFormatting sqref="N13">
    <cfRule type="cellIs" dxfId="1456" priority="92" operator="greaterThan">
      <formula>$N$2</formula>
    </cfRule>
  </conditionalFormatting>
  <conditionalFormatting sqref="O13">
    <cfRule type="cellIs" dxfId="1455" priority="91" operator="greaterThan">
      <formula>$O$2</formula>
    </cfRule>
  </conditionalFormatting>
  <conditionalFormatting sqref="P13">
    <cfRule type="cellIs" dxfId="1454" priority="90" operator="greaterThan">
      <formula>$P$2</formula>
    </cfRule>
  </conditionalFormatting>
  <conditionalFormatting sqref="Y13">
    <cfRule type="cellIs" dxfId="1453" priority="81" operator="greaterThan">
      <formula>$Y$2</formula>
    </cfRule>
  </conditionalFormatting>
  <conditionalFormatting sqref="B13">
    <cfRule type="cellIs" dxfId="1452" priority="78" operator="equal">
      <formula>TRUE</formula>
    </cfRule>
  </conditionalFormatting>
  <conditionalFormatting sqref="F13:AB13">
    <cfRule type="cellIs" dxfId="1451" priority="79" operator="equal">
      <formula>"ABS"</formula>
    </cfRule>
    <cfRule type="cellIs" dxfId="1450" priority="80" operator="equal">
      <formula>"EXC"</formula>
    </cfRule>
  </conditionalFormatting>
  <conditionalFormatting sqref="R13">
    <cfRule type="cellIs" dxfId="1449" priority="88" operator="greaterThan">
      <formula>$R$2</formula>
    </cfRule>
  </conditionalFormatting>
  <conditionalFormatting sqref="S13">
    <cfRule type="cellIs" dxfId="1448" priority="87" operator="greaterThan">
      <formula>$S$2</formula>
    </cfRule>
  </conditionalFormatting>
  <conditionalFormatting sqref="T13">
    <cfRule type="cellIs" dxfId="1447" priority="86" operator="greaterThan">
      <formula>$T$2</formula>
    </cfRule>
  </conditionalFormatting>
  <conditionalFormatting sqref="U13">
    <cfRule type="cellIs" dxfId="1446" priority="85" operator="greaterThan">
      <formula>$U$2</formula>
    </cfRule>
  </conditionalFormatting>
  <conditionalFormatting sqref="V13">
    <cfRule type="cellIs" dxfId="1445" priority="84" operator="greaterThan">
      <formula>$V$2</formula>
    </cfRule>
  </conditionalFormatting>
  <conditionalFormatting sqref="W13">
    <cfRule type="cellIs" dxfId="1444" priority="83" operator="greaterThan">
      <formula>$W$2</formula>
    </cfRule>
  </conditionalFormatting>
  <conditionalFormatting sqref="X13">
    <cfRule type="cellIs" dxfId="1443" priority="82" operator="greaterThan">
      <formula>$X$2</formula>
    </cfRule>
  </conditionalFormatting>
  <conditionalFormatting sqref="Q13">
    <cfRule type="cellIs" dxfId="1442" priority="89" operator="greaterThan">
      <formula>$Q$2</formula>
    </cfRule>
  </conditionalFormatting>
  <conditionalFormatting sqref="E13">
    <cfRule type="containsBlanks" dxfId="1441" priority="77">
      <formula>LEN(TRIM(E13))=0</formula>
    </cfRule>
  </conditionalFormatting>
  <conditionalFormatting sqref="F13:Y13">
    <cfRule type="containsBlanks" dxfId="1440" priority="76">
      <formula>LEN(TRIM(F13))=0</formula>
    </cfRule>
  </conditionalFormatting>
  <conditionalFormatting sqref="F14">
    <cfRule type="cellIs" dxfId="1439" priority="75" operator="greaterThan">
      <formula>$F$2</formula>
    </cfRule>
  </conditionalFormatting>
  <conditionalFormatting sqref="G14">
    <cfRule type="cellIs" dxfId="1438" priority="74" operator="greaterThan">
      <formula>$G$2</formula>
    </cfRule>
  </conditionalFormatting>
  <conditionalFormatting sqref="H14">
    <cfRule type="cellIs" dxfId="1437" priority="73" operator="greaterThan">
      <formula>$H$2</formula>
    </cfRule>
  </conditionalFormatting>
  <conditionalFormatting sqref="I14">
    <cfRule type="cellIs" dxfId="1436" priority="72" operator="greaterThan">
      <formula>$I$2</formula>
    </cfRule>
  </conditionalFormatting>
  <conditionalFormatting sqref="J14">
    <cfRule type="cellIs" dxfId="1435" priority="71" operator="greaterThan">
      <formula>$J$2</formula>
    </cfRule>
  </conditionalFormatting>
  <conditionalFormatting sqref="K14">
    <cfRule type="cellIs" dxfId="1434" priority="70" operator="greaterThan">
      <formula>$K$2</formula>
    </cfRule>
  </conditionalFormatting>
  <conditionalFormatting sqref="L14">
    <cfRule type="cellIs" dxfId="1433" priority="69" operator="greaterThan">
      <formula>$L$2</formula>
    </cfRule>
  </conditionalFormatting>
  <conditionalFormatting sqref="M14">
    <cfRule type="cellIs" dxfId="1432" priority="68" operator="greaterThan">
      <formula>$M$2</formula>
    </cfRule>
  </conditionalFormatting>
  <conditionalFormatting sqref="N14">
    <cfRule type="cellIs" dxfId="1431" priority="67" operator="greaterThan">
      <formula>$N$2</formula>
    </cfRule>
  </conditionalFormatting>
  <conditionalFormatting sqref="O14">
    <cfRule type="cellIs" dxfId="1430" priority="66" operator="greaterThan">
      <formula>$O$2</formula>
    </cfRule>
  </conditionalFormatting>
  <conditionalFormatting sqref="P14">
    <cfRule type="cellIs" dxfId="1429" priority="65" operator="greaterThan">
      <formula>$P$2</formula>
    </cfRule>
  </conditionalFormatting>
  <conditionalFormatting sqref="Y14">
    <cfRule type="cellIs" dxfId="1428" priority="56" operator="greaterThan">
      <formula>$Y$2</formula>
    </cfRule>
  </conditionalFormatting>
  <conditionalFormatting sqref="B14">
    <cfRule type="cellIs" dxfId="1427" priority="53" operator="equal">
      <formula>TRUE</formula>
    </cfRule>
  </conditionalFormatting>
  <conditionalFormatting sqref="F14:AB14">
    <cfRule type="cellIs" dxfId="1426" priority="54" operator="equal">
      <formula>"ABS"</formula>
    </cfRule>
    <cfRule type="cellIs" dxfId="1425" priority="55" operator="equal">
      <formula>"EXC"</formula>
    </cfRule>
  </conditionalFormatting>
  <conditionalFormatting sqref="R14">
    <cfRule type="cellIs" dxfId="1424" priority="63" operator="greaterThan">
      <formula>$R$2</formula>
    </cfRule>
  </conditionalFormatting>
  <conditionalFormatting sqref="S14">
    <cfRule type="cellIs" dxfId="1423" priority="62" operator="greaterThan">
      <formula>$S$2</formula>
    </cfRule>
  </conditionalFormatting>
  <conditionalFormatting sqref="T14">
    <cfRule type="cellIs" dxfId="1422" priority="61" operator="greaterThan">
      <formula>$T$2</formula>
    </cfRule>
  </conditionalFormatting>
  <conditionalFormatting sqref="U14">
    <cfRule type="cellIs" dxfId="1421" priority="60" operator="greaterThan">
      <formula>$U$2</formula>
    </cfRule>
  </conditionalFormatting>
  <conditionalFormatting sqref="V14">
    <cfRule type="cellIs" dxfId="1420" priority="59" operator="greaterThan">
      <formula>$V$2</formula>
    </cfRule>
  </conditionalFormatting>
  <conditionalFormatting sqref="W14">
    <cfRule type="cellIs" dxfId="1419" priority="58" operator="greaterThan">
      <formula>$W$2</formula>
    </cfRule>
  </conditionalFormatting>
  <conditionalFormatting sqref="X14">
    <cfRule type="cellIs" dxfId="1418" priority="57" operator="greaterThan">
      <formula>$X$2</formula>
    </cfRule>
  </conditionalFormatting>
  <conditionalFormatting sqref="Q14">
    <cfRule type="cellIs" dxfId="1417" priority="64" operator="greaterThan">
      <formula>$Q$2</formula>
    </cfRule>
  </conditionalFormatting>
  <conditionalFormatting sqref="E14">
    <cfRule type="containsBlanks" dxfId="1416" priority="52">
      <formula>LEN(TRIM(E14))=0</formula>
    </cfRule>
  </conditionalFormatting>
  <conditionalFormatting sqref="F14:Y14">
    <cfRule type="containsBlanks" dxfId="1415" priority="51">
      <formula>LEN(TRIM(F14))=0</formula>
    </cfRule>
  </conditionalFormatting>
  <conditionalFormatting sqref="F15">
    <cfRule type="cellIs" dxfId="1414" priority="50" operator="greaterThan">
      <formula>$F$2</formula>
    </cfRule>
  </conditionalFormatting>
  <conditionalFormatting sqref="G15">
    <cfRule type="cellIs" dxfId="1413" priority="49" operator="greaterThan">
      <formula>$G$2</formula>
    </cfRule>
  </conditionalFormatting>
  <conditionalFormatting sqref="H15">
    <cfRule type="cellIs" dxfId="1412" priority="48" operator="greaterThan">
      <formula>$H$2</formula>
    </cfRule>
  </conditionalFormatting>
  <conditionalFormatting sqref="I15">
    <cfRule type="cellIs" dxfId="1411" priority="47" operator="greaterThan">
      <formula>$I$2</formula>
    </cfRule>
  </conditionalFormatting>
  <conditionalFormatting sqref="J15">
    <cfRule type="cellIs" dxfId="1410" priority="46" operator="greaterThan">
      <formula>$J$2</formula>
    </cfRule>
  </conditionalFormatting>
  <conditionalFormatting sqref="K15">
    <cfRule type="cellIs" dxfId="1409" priority="45" operator="greaterThan">
      <formula>$K$2</formula>
    </cfRule>
  </conditionalFormatting>
  <conditionalFormatting sqref="L15">
    <cfRule type="cellIs" dxfId="1408" priority="44" operator="greaterThan">
      <formula>$L$2</formula>
    </cfRule>
  </conditionalFormatting>
  <conditionalFormatting sqref="M15">
    <cfRule type="cellIs" dxfId="1407" priority="43" operator="greaterThan">
      <formula>$M$2</formula>
    </cfRule>
  </conditionalFormatting>
  <conditionalFormatting sqref="N15">
    <cfRule type="cellIs" dxfId="1406" priority="42" operator="greaterThan">
      <formula>$N$2</formula>
    </cfRule>
  </conditionalFormatting>
  <conditionalFormatting sqref="O15">
    <cfRule type="cellIs" dxfId="1405" priority="41" operator="greaterThan">
      <formula>$O$2</formula>
    </cfRule>
  </conditionalFormatting>
  <conditionalFormatting sqref="P15">
    <cfRule type="cellIs" dxfId="1404" priority="40" operator="greaterThan">
      <formula>$P$2</formula>
    </cfRule>
  </conditionalFormatting>
  <conditionalFormatting sqref="Y15">
    <cfRule type="cellIs" dxfId="1403" priority="31" operator="greaterThan">
      <formula>$Y$2</formula>
    </cfRule>
  </conditionalFormatting>
  <conditionalFormatting sqref="B15">
    <cfRule type="cellIs" dxfId="1402" priority="28" operator="equal">
      <formula>TRUE</formula>
    </cfRule>
  </conditionalFormatting>
  <conditionalFormatting sqref="F15:AB15">
    <cfRule type="cellIs" dxfId="1401" priority="29" operator="equal">
      <formula>"ABS"</formula>
    </cfRule>
    <cfRule type="cellIs" dxfId="1400" priority="30" operator="equal">
      <formula>"EXC"</formula>
    </cfRule>
  </conditionalFormatting>
  <conditionalFormatting sqref="R15">
    <cfRule type="cellIs" dxfId="1399" priority="38" operator="greaterThan">
      <formula>$R$2</formula>
    </cfRule>
  </conditionalFormatting>
  <conditionalFormatting sqref="S15">
    <cfRule type="cellIs" dxfId="1398" priority="37" operator="greaterThan">
      <formula>$S$2</formula>
    </cfRule>
  </conditionalFormatting>
  <conditionalFormatting sqref="T15">
    <cfRule type="cellIs" dxfId="1397" priority="36" operator="greaterThan">
      <formula>$T$2</formula>
    </cfRule>
  </conditionalFormatting>
  <conditionalFormatting sqref="U15">
    <cfRule type="cellIs" dxfId="1396" priority="35" operator="greaterThan">
      <formula>$U$2</formula>
    </cfRule>
  </conditionalFormatting>
  <conditionalFormatting sqref="V15">
    <cfRule type="cellIs" dxfId="1395" priority="34" operator="greaterThan">
      <formula>$V$2</formula>
    </cfRule>
  </conditionalFormatting>
  <conditionalFormatting sqref="W15">
    <cfRule type="cellIs" dxfId="1394" priority="33" operator="greaterThan">
      <formula>$W$2</formula>
    </cfRule>
  </conditionalFormatting>
  <conditionalFormatting sqref="X15">
    <cfRule type="cellIs" dxfId="1393" priority="32" operator="greaterThan">
      <formula>$X$2</formula>
    </cfRule>
  </conditionalFormatting>
  <conditionalFormatting sqref="Q15">
    <cfRule type="cellIs" dxfId="1392" priority="39" operator="greaterThan">
      <formula>$Q$2</formula>
    </cfRule>
  </conditionalFormatting>
  <conditionalFormatting sqref="E15">
    <cfRule type="containsBlanks" dxfId="1391" priority="27">
      <formula>LEN(TRIM(E15))=0</formula>
    </cfRule>
  </conditionalFormatting>
  <conditionalFormatting sqref="F15:Y15">
    <cfRule type="containsBlanks" dxfId="1390" priority="26">
      <formula>LEN(TRIM(F15))=0</formula>
    </cfRule>
  </conditionalFormatting>
  <conditionalFormatting sqref="F16">
    <cfRule type="cellIs" dxfId="1389" priority="25" operator="greaterThan">
      <formula>$F$2</formula>
    </cfRule>
  </conditionalFormatting>
  <conditionalFormatting sqref="G16">
    <cfRule type="cellIs" dxfId="1388" priority="24" operator="greaterThan">
      <formula>$G$2</formula>
    </cfRule>
  </conditionalFormatting>
  <conditionalFormatting sqref="H16">
    <cfRule type="cellIs" dxfId="1387" priority="23" operator="greaterThan">
      <formula>$H$2</formula>
    </cfRule>
  </conditionalFormatting>
  <conditionalFormatting sqref="I16">
    <cfRule type="cellIs" dxfId="1386" priority="22" operator="greaterThan">
      <formula>$I$2</formula>
    </cfRule>
  </conditionalFormatting>
  <conditionalFormatting sqref="J16">
    <cfRule type="cellIs" dxfId="1385" priority="21" operator="greaterThan">
      <formula>$J$2</formula>
    </cfRule>
  </conditionalFormatting>
  <conditionalFormatting sqref="K16">
    <cfRule type="cellIs" dxfId="1384" priority="20" operator="greaterThan">
      <formula>$K$2</formula>
    </cfRule>
  </conditionalFormatting>
  <conditionalFormatting sqref="L16">
    <cfRule type="cellIs" dxfId="1383" priority="19" operator="greaterThan">
      <formula>$L$2</formula>
    </cfRule>
  </conditionalFormatting>
  <conditionalFormatting sqref="M16">
    <cfRule type="cellIs" dxfId="1382" priority="18" operator="greaterThan">
      <formula>$M$2</formula>
    </cfRule>
  </conditionalFormatting>
  <conditionalFormatting sqref="N16">
    <cfRule type="cellIs" dxfId="1381" priority="17" operator="greaterThan">
      <formula>$N$2</formula>
    </cfRule>
  </conditionalFormatting>
  <conditionalFormatting sqref="O16">
    <cfRule type="cellIs" dxfId="1380" priority="16" operator="greaterThan">
      <formula>$O$2</formula>
    </cfRule>
  </conditionalFormatting>
  <conditionalFormatting sqref="P16">
    <cfRule type="cellIs" dxfId="1379" priority="15" operator="greaterThan">
      <formula>$P$2</formula>
    </cfRule>
  </conditionalFormatting>
  <conditionalFormatting sqref="Y16">
    <cfRule type="cellIs" dxfId="1378" priority="6" operator="greaterThan">
      <formula>$Y$2</formula>
    </cfRule>
  </conditionalFormatting>
  <conditionalFormatting sqref="B16">
    <cfRule type="cellIs" dxfId="1377" priority="3" operator="equal">
      <formula>TRUE</formula>
    </cfRule>
  </conditionalFormatting>
  <conditionalFormatting sqref="F16:AB16">
    <cfRule type="cellIs" dxfId="1376" priority="4" operator="equal">
      <formula>"ABS"</formula>
    </cfRule>
    <cfRule type="cellIs" dxfId="1375" priority="5" operator="equal">
      <formula>"EXC"</formula>
    </cfRule>
  </conditionalFormatting>
  <conditionalFormatting sqref="R16">
    <cfRule type="cellIs" dxfId="1374" priority="13" operator="greaterThan">
      <formula>$R$2</formula>
    </cfRule>
  </conditionalFormatting>
  <conditionalFormatting sqref="S16">
    <cfRule type="cellIs" dxfId="1373" priority="12" operator="greaterThan">
      <formula>$S$2</formula>
    </cfRule>
  </conditionalFormatting>
  <conditionalFormatting sqref="T16">
    <cfRule type="cellIs" dxfId="1372" priority="11" operator="greaterThan">
      <formula>$T$2</formula>
    </cfRule>
  </conditionalFormatting>
  <conditionalFormatting sqref="U16">
    <cfRule type="cellIs" dxfId="1371" priority="10" operator="greaterThan">
      <formula>$U$2</formula>
    </cfRule>
  </conditionalFormatting>
  <conditionalFormatting sqref="V16">
    <cfRule type="cellIs" dxfId="1370" priority="9" operator="greaterThan">
      <formula>$V$2</formula>
    </cfRule>
  </conditionalFormatting>
  <conditionalFormatting sqref="W16">
    <cfRule type="cellIs" dxfId="1369" priority="8" operator="greaterThan">
      <formula>$W$2</formula>
    </cfRule>
  </conditionalFormatting>
  <conditionalFormatting sqref="X16">
    <cfRule type="cellIs" dxfId="1368" priority="7" operator="greaterThan">
      <formula>$X$2</formula>
    </cfRule>
  </conditionalFormatting>
  <conditionalFormatting sqref="Q16">
    <cfRule type="cellIs" dxfId="1367" priority="14" operator="greaterThan">
      <formula>$Q$2</formula>
    </cfRule>
  </conditionalFormatting>
  <conditionalFormatting sqref="E16">
    <cfRule type="containsBlanks" dxfId="1366" priority="2">
      <formula>LEN(TRIM(E16))=0</formula>
    </cfRule>
  </conditionalFormatting>
  <conditionalFormatting sqref="F16:Y16">
    <cfRule type="containsBlanks" dxfId="1365" priority="1">
      <formula>LEN(TRIM(F16))=0</formula>
    </cfRule>
  </conditionalFormatting>
  <pageMargins left="0.70866141732283472" right="0.70866141732283472" top="0.74803149606299213" bottom="0.74803149606299213" header="0.31496062992125984" footer="0.31496062992125984"/>
  <pageSetup paperSize="9" scale="4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A16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27" ht="15.75" thickBot="1" x14ac:dyDescent="0.3">
      <c r="A1" s="1" t="s">
        <v>23</v>
      </c>
      <c r="D1" s="126" t="s">
        <v>1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U1" s="22"/>
      <c r="Z1" s="2"/>
      <c r="AA1" s="2"/>
    </row>
    <row r="2" spans="1:27" ht="15.75" thickBot="1" x14ac:dyDescent="0.3">
      <c r="D2" s="3" t="s">
        <v>2</v>
      </c>
      <c r="E2" s="192">
        <f>'VULA TUTORIALS'!C2</f>
        <v>10</v>
      </c>
      <c r="F2" s="192">
        <f>'VULA TUTORIALS'!E2</f>
        <v>0</v>
      </c>
      <c r="G2" s="192">
        <f>'VULA TUTORIALS'!G2</f>
        <v>0</v>
      </c>
      <c r="H2" s="192">
        <f>'VULA TUTORIALS'!I2</f>
        <v>0</v>
      </c>
      <c r="I2" s="192">
        <f>'VULA TUTORIALS'!K2</f>
        <v>0</v>
      </c>
      <c r="J2" s="192">
        <f>'VULA TUTORIALS'!M2</f>
        <v>0</v>
      </c>
      <c r="K2" s="192">
        <f>'VULA TUTORIALS'!O2</f>
        <v>0</v>
      </c>
      <c r="L2" s="192">
        <f>'VULA TUTORIALS'!Q2</f>
        <v>0</v>
      </c>
      <c r="M2" s="192">
        <f>'VULA TUTORIALS'!S2</f>
        <v>0</v>
      </c>
      <c r="N2" s="192">
        <f>'VULA TUTORIALS'!U2</f>
        <v>0</v>
      </c>
      <c r="O2" s="192">
        <f>'VULA TUTORIALS'!W2</f>
        <v>0</v>
      </c>
      <c r="P2" s="192">
        <f>'VULA TUTORIALS'!Y2</f>
        <v>0</v>
      </c>
      <c r="Q2" s="131"/>
      <c r="R2" s="19"/>
      <c r="S2" s="20">
        <v>100</v>
      </c>
      <c r="U2" s="22"/>
      <c r="Z2" s="2"/>
      <c r="AA2" s="2"/>
    </row>
    <row r="3" spans="1:27" ht="15.75" thickBot="1" x14ac:dyDescent="0.3">
      <c r="D3" s="3" t="s">
        <v>24</v>
      </c>
      <c r="E3" s="193">
        <f>IF('VULA TUTORIALS'!$B$1 &gt;=  1,1,0)</f>
        <v>1</v>
      </c>
      <c r="F3" s="193">
        <f>IF('VULA TUTORIALS'!$B$1 &gt;=  2,1,0)</f>
        <v>0</v>
      </c>
      <c r="G3" s="193">
        <f>IF('VULA TUTORIALS'!$B$1 &gt;=  3,1,0)</f>
        <v>0</v>
      </c>
      <c r="H3" s="193">
        <f>IF('VULA TUTORIALS'!$B$1 &gt;=  4,1,0)</f>
        <v>0</v>
      </c>
      <c r="I3" s="193">
        <f>IF('VULA TUTORIALS'!$B$1 &gt;=  5,1,0)</f>
        <v>0</v>
      </c>
      <c r="J3" s="193">
        <f>IF('VULA TUTORIALS'!$B$1 &gt;=  6,1,0)</f>
        <v>0</v>
      </c>
      <c r="K3" s="193">
        <f>IF('VULA TUTORIALS'!$B$1 &gt;=  7,1,0)</f>
        <v>0</v>
      </c>
      <c r="L3" s="193">
        <f>IF('VULA TUTORIALS'!$B$1 &gt;=  8,1,0)</f>
        <v>0</v>
      </c>
      <c r="M3" s="193">
        <f>IF('VULA TUTORIALS'!$B$1 &gt;=  9,1,0)</f>
        <v>0</v>
      </c>
      <c r="N3" s="193">
        <f>IF('VULA TUTORIALS'!$B$1 &gt;=  10,1,0)</f>
        <v>0</v>
      </c>
      <c r="O3" s="193">
        <f>IF('VULA TUTORIALS'!$B$1 &gt;=  11,1,0)</f>
        <v>0</v>
      </c>
      <c r="P3" s="193">
        <f>IF('VULA TUTORIALS'!$B$1 &gt;=  12,1,0)</f>
        <v>0</v>
      </c>
      <c r="Q3" s="132"/>
      <c r="R3" s="19"/>
      <c r="S3" s="19"/>
      <c r="U3" s="28"/>
      <c r="Z3" s="2"/>
      <c r="AA3" s="2"/>
    </row>
    <row r="4" spans="1:27" ht="15.75" thickBot="1" x14ac:dyDescent="0.3">
      <c r="D4" s="6" t="s">
        <v>3</v>
      </c>
      <c r="E4" s="23">
        <f>IF(SUM(E7:E2000)=0,"",AVERAGE(E7:E2000))</f>
        <v>6.7777777777777777</v>
      </c>
      <c r="F4" s="23" t="str">
        <f t="shared" ref="F4:P4" si="0">IF(SUM(F7:F2000)=0,"",AVERAGE(F7:F2000))</f>
        <v/>
      </c>
      <c r="G4" s="23" t="str">
        <f t="shared" si="0"/>
        <v/>
      </c>
      <c r="H4" s="23" t="str">
        <f t="shared" si="0"/>
        <v/>
      </c>
      <c r="I4" s="23" t="str">
        <f t="shared" si="0"/>
        <v/>
      </c>
      <c r="J4" s="23" t="str">
        <f t="shared" si="0"/>
        <v/>
      </c>
      <c r="K4" s="23" t="str">
        <f t="shared" si="0"/>
        <v/>
      </c>
      <c r="L4" s="23" t="str">
        <f t="shared" si="0"/>
        <v/>
      </c>
      <c r="M4" s="23" t="str">
        <f t="shared" si="0"/>
        <v/>
      </c>
      <c r="N4" s="23" t="str">
        <f t="shared" si="0"/>
        <v/>
      </c>
      <c r="O4" s="23" t="str">
        <f t="shared" si="0"/>
        <v/>
      </c>
      <c r="P4" s="23" t="str">
        <f t="shared" si="0"/>
        <v/>
      </c>
      <c r="Q4" s="133"/>
      <c r="R4" s="24"/>
      <c r="S4" s="23" t="e">
        <f>IF(SUM(S7:S2000)=0,"",AVERAGE(S7:S2000))</f>
        <v>#DIV/0!</v>
      </c>
      <c r="U4" s="22"/>
      <c r="Z4" s="2"/>
      <c r="AA4" s="2"/>
    </row>
    <row r="5" spans="1:27" s="29" customFormat="1" ht="15.75" thickBot="1" x14ac:dyDescent="0.3">
      <c r="A5" s="8"/>
      <c r="B5" s="8"/>
      <c r="C5" s="8"/>
      <c r="D5" s="25"/>
      <c r="E5" s="24"/>
      <c r="F5" s="26"/>
      <c r="G5" s="24"/>
      <c r="H5" s="24"/>
      <c r="I5" s="24"/>
      <c r="J5" s="24"/>
      <c r="K5" s="24"/>
      <c r="L5" s="24"/>
      <c r="M5" s="24"/>
      <c r="N5" s="24"/>
      <c r="O5" s="24"/>
      <c r="P5" s="24"/>
      <c r="Q5" s="134"/>
      <c r="R5" s="24"/>
      <c r="S5" s="24"/>
      <c r="T5" s="27"/>
      <c r="U5" s="22"/>
      <c r="V5" s="27"/>
      <c r="W5" s="27"/>
      <c r="X5" s="27"/>
      <c r="Y5" s="27"/>
      <c r="Z5" s="27"/>
      <c r="AA5" s="27"/>
    </row>
    <row r="6" spans="1:27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183" t="s">
        <v>25</v>
      </c>
      <c r="F6" s="184" t="s">
        <v>26</v>
      </c>
      <c r="G6" s="185" t="s">
        <v>27</v>
      </c>
      <c r="H6" s="181" t="s">
        <v>28</v>
      </c>
      <c r="I6" s="181" t="s">
        <v>29</v>
      </c>
      <c r="J6" s="181" t="s">
        <v>30</v>
      </c>
      <c r="K6" s="181" t="s">
        <v>31</v>
      </c>
      <c r="L6" s="181" t="s">
        <v>32</v>
      </c>
      <c r="M6" s="181" t="s">
        <v>33</v>
      </c>
      <c r="N6" s="181" t="s">
        <v>34</v>
      </c>
      <c r="O6" s="181" t="s">
        <v>35</v>
      </c>
      <c r="P6" s="181" t="s">
        <v>36</v>
      </c>
      <c r="Q6" s="135"/>
      <c r="R6" s="30" t="s">
        <v>8</v>
      </c>
      <c r="S6" s="31" t="s">
        <v>9</v>
      </c>
      <c r="U6" s="22"/>
      <c r="Z6" s="2"/>
      <c r="AA6" s="2"/>
    </row>
    <row r="7" spans="1:27" x14ac:dyDescent="0.25">
      <c r="A7" s="34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32">
        <f>IF(VLOOKUP($C7,'VULA TUTORIALS'!$A:$Z,4)=1,"EXC",VLOOKUP($C7,'VULA TUTORIALS'!$A:$Z,3))</f>
        <v>10</v>
      </c>
      <c r="F7" s="32">
        <f>IF(VLOOKUP($C7,'VULA TUTORIALS'!$A:$Z,6)=1,"EXC",VLOOKUP($C7,'VULA TUTORIALS'!$A:$Z,5))</f>
        <v>0</v>
      </c>
      <c r="G7" s="32">
        <f>IF(VLOOKUP($C7,'VULA TUTORIALS'!$A:$Z,8)=1,"EXC",VLOOKUP($C7,'VULA TUTORIALS'!$A:$Z,7))</f>
        <v>0</v>
      </c>
      <c r="H7" s="32">
        <f>IF(VLOOKUP($C7,'VULA TUTORIALS'!$A:$Z,10)=1,"EXC",VLOOKUP($C7,'VULA TUTORIALS'!$A:$Z,9))</f>
        <v>0</v>
      </c>
      <c r="I7" s="32">
        <f>IF(VLOOKUP($C7,'VULA TUTORIALS'!$A:$Z,12)=1,"EXC",VLOOKUP($C7,'VULA TUTORIALS'!$A:$Z,11))</f>
        <v>0</v>
      </c>
      <c r="J7" s="32">
        <f>IF(VLOOKUP($C7,'VULA TUTORIALS'!$A:$Z,14)=1,"EXC",VLOOKUP($C7,'VULA TUTORIALS'!$A:$Z,13))</f>
        <v>0</v>
      </c>
      <c r="K7" s="32">
        <f>IF(VLOOKUP($C7,'VULA TUTORIALS'!$A:$Z,16)=1,"EXC",VLOOKUP($C7,'VULA TUTORIALS'!$A:$Z,15))</f>
        <v>0</v>
      </c>
      <c r="L7" s="32">
        <f>IF(VLOOKUP($C7,'VULA TUTORIALS'!$A:$Z,18)=1,"EXC",VLOOKUP($C7,'VULA TUTORIALS'!$A:$Z,17))</f>
        <v>0</v>
      </c>
      <c r="M7" s="32">
        <f>IF(VLOOKUP($C7,'VULA TUTORIALS'!$A:$Z,20)=1,"EXC",VLOOKUP($C7,'VULA TUTORIALS'!$A:$Z,19))</f>
        <v>0</v>
      </c>
      <c r="N7" s="32">
        <f>IF(VLOOKUP($C7,'VULA TUTORIALS'!$A:$Z,22)=1,"EXC",VLOOKUP($C7,'VULA TUTORIALS'!$A:$Z,21))</f>
        <v>0</v>
      </c>
      <c r="O7" s="32">
        <f>IF(VLOOKUP($C7,'VULA TUTORIALS'!$A:$Z,24)=1,"EXC",VLOOKUP($C7,'VULA TUTORIALS'!$A:$Z,23))</f>
        <v>0</v>
      </c>
      <c r="P7" s="32">
        <f>IF(VLOOKUP($C7,'VULA TUTORIALS'!$A:$Z,26)=1,"EXC",VLOOKUP($C7,'VULA TUTORIALS'!$A:$Z,25))</f>
        <v>0</v>
      </c>
      <c r="Q7" s="130"/>
      <c r="R7" s="32">
        <f t="shared" ref="R7:R16" si="1">SUM(E7:P7)</f>
        <v>10</v>
      </c>
      <c r="S7" s="33">
        <f t="shared" ref="S7:S16" si="2">100*(IF(OR(E7="EXC",E7="ABS"),0,E7)*$E$3+IF(OR(F7="EXC",F7="ABS"),0,F7)*$F$3+IF(OR(G7="EXC",G7="ABS"),0,G7)*$G$3+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$3)/(IF(E7="EXC",0,$E$2)*$E$3+IF(F7="EXC",0,$F$2)*$F$3+IF(G7="EXC",0,$G$2)*$G$3+IF(H7="EXC",0,$H$2)*$H$3+IF(I7="EXC",0,$I$2)*$I$3+IF(J7="EXC",0,$J$2)*$J$3+IF(K7="EXC",0,$K$2)*$K$3+IF(L7="EXC",0,$L$2)*$L$3+IF(M7="EXC",0,$M$2)*$M$3+IF(N7="EXC",0,$N$2)*$N$3+IF(O7="EXC",0,$O$2)*$O$3+IF(P7="EXC",0,$P$2)*$P$3)</f>
        <v>100</v>
      </c>
      <c r="U7" s="22"/>
      <c r="Z7" s="2"/>
      <c r="AA7" s="2"/>
    </row>
    <row r="8" spans="1:27" x14ac:dyDescent="0.25">
      <c r="A8" s="34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32">
        <f>IF(VLOOKUP($C8,'VULA TUTORIALS'!$A:$Z,4)=1,"EXC",VLOOKUP($C8,'VULA TUTORIALS'!$A:$Z,3))</f>
        <v>5</v>
      </c>
      <c r="F8" s="32">
        <f>IF(VLOOKUP($C8,'VULA TUTORIALS'!$A:$Z,6)=1,"EXC",VLOOKUP($C8,'VULA TUTORIALS'!$A:$Z,5))</f>
        <v>0</v>
      </c>
      <c r="G8" s="32">
        <f>IF(VLOOKUP($C8,'VULA TUTORIALS'!$A:$Z,8)=1,"EXC",VLOOKUP($C8,'VULA TUTORIALS'!$A:$Z,7))</f>
        <v>0</v>
      </c>
      <c r="H8" s="32">
        <f>IF(VLOOKUP($C8,'VULA TUTORIALS'!$A:$Z,10)=1,"EXC",VLOOKUP($C8,'VULA TUTORIALS'!$A:$Z,9))</f>
        <v>0</v>
      </c>
      <c r="I8" s="32">
        <f>IF(VLOOKUP($C8,'VULA TUTORIALS'!$A:$Z,12)=1,"EXC",VLOOKUP($C8,'VULA TUTORIALS'!$A:$Z,11))</f>
        <v>0</v>
      </c>
      <c r="J8" s="32">
        <f>IF(VLOOKUP($C8,'VULA TUTORIALS'!$A:$Z,14)=1,"EXC",VLOOKUP($C8,'VULA TUTORIALS'!$A:$Z,13))</f>
        <v>0</v>
      </c>
      <c r="K8" s="32">
        <f>IF(VLOOKUP($C8,'VULA TUTORIALS'!$A:$Z,16)=1,"EXC",VLOOKUP($C8,'VULA TUTORIALS'!$A:$Z,15))</f>
        <v>0</v>
      </c>
      <c r="L8" s="32">
        <f>IF(VLOOKUP($C8,'VULA TUTORIALS'!$A:$Z,18)=1,"EXC",VLOOKUP($C8,'VULA TUTORIALS'!$A:$Z,17))</f>
        <v>0</v>
      </c>
      <c r="M8" s="32">
        <f>IF(VLOOKUP($C8,'VULA TUTORIALS'!$A:$Z,20)=1,"EXC",VLOOKUP($C8,'VULA TUTORIALS'!$A:$Z,19))</f>
        <v>0</v>
      </c>
      <c r="N8" s="32">
        <f>IF(VLOOKUP($C8,'VULA TUTORIALS'!$A:$Z,22)=1,"EXC",VLOOKUP($C8,'VULA TUTORIALS'!$A:$Z,21))</f>
        <v>0</v>
      </c>
      <c r="O8" s="32">
        <f>IF(VLOOKUP($C8,'VULA TUTORIALS'!$A:$Z,24)=1,"EXC",VLOOKUP($C8,'VULA TUTORIALS'!$A:$Z,23))</f>
        <v>0</v>
      </c>
      <c r="P8" s="32">
        <f>IF(VLOOKUP($C8,'VULA TUTORIALS'!$A:$Z,26)=1,"EXC",VLOOKUP($C8,'VULA TUTORIALS'!$A:$Z,25))</f>
        <v>0</v>
      </c>
      <c r="Q8" s="130"/>
      <c r="R8" s="32">
        <f t="shared" si="1"/>
        <v>5</v>
      </c>
      <c r="S8" s="33">
        <f t="shared" si="2"/>
        <v>50</v>
      </c>
      <c r="U8" s="22"/>
      <c r="Z8" s="2"/>
      <c r="AA8" s="2"/>
    </row>
    <row r="9" spans="1:27" x14ac:dyDescent="0.25">
      <c r="A9" s="34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32">
        <f>IF(VLOOKUP($C9,'VULA TUTORIALS'!$A:$Z,4)=1,"EXC",VLOOKUP($C9,'VULA TUTORIALS'!$A:$Z,3))</f>
        <v>0</v>
      </c>
      <c r="F9" s="32">
        <f>IF(VLOOKUP($C9,'VULA TUTORIALS'!$A:$Z,6)=1,"EXC",VLOOKUP($C9,'VULA TUTORIALS'!$A:$Z,5))</f>
        <v>0</v>
      </c>
      <c r="G9" s="32">
        <f>IF(VLOOKUP($C9,'VULA TUTORIALS'!$A:$Z,8)=1,"EXC",VLOOKUP($C9,'VULA TUTORIALS'!$A:$Z,7))</f>
        <v>0</v>
      </c>
      <c r="H9" s="32">
        <f>IF(VLOOKUP($C9,'VULA TUTORIALS'!$A:$Z,10)=1,"EXC",VLOOKUP($C9,'VULA TUTORIALS'!$A:$Z,9))</f>
        <v>0</v>
      </c>
      <c r="I9" s="32">
        <f>IF(VLOOKUP($C9,'VULA TUTORIALS'!$A:$Z,12)=1,"EXC",VLOOKUP($C9,'VULA TUTORIALS'!$A:$Z,11))</f>
        <v>0</v>
      </c>
      <c r="J9" s="32">
        <f>IF(VLOOKUP($C9,'VULA TUTORIALS'!$A:$Z,14)=1,"EXC",VLOOKUP($C9,'VULA TUTORIALS'!$A:$Z,13))</f>
        <v>0</v>
      </c>
      <c r="K9" s="32">
        <f>IF(VLOOKUP($C9,'VULA TUTORIALS'!$A:$Z,16)=1,"EXC",VLOOKUP($C9,'VULA TUTORIALS'!$A:$Z,15))</f>
        <v>0</v>
      </c>
      <c r="L9" s="32">
        <f>IF(VLOOKUP($C9,'VULA TUTORIALS'!$A:$Z,18)=1,"EXC",VLOOKUP($C9,'VULA TUTORIALS'!$A:$Z,17))</f>
        <v>0</v>
      </c>
      <c r="M9" s="32">
        <f>IF(VLOOKUP($C9,'VULA TUTORIALS'!$A:$Z,20)=1,"EXC",VLOOKUP($C9,'VULA TUTORIALS'!$A:$Z,19))</f>
        <v>0</v>
      </c>
      <c r="N9" s="32">
        <f>IF(VLOOKUP($C9,'VULA TUTORIALS'!$A:$Z,22)=1,"EXC",VLOOKUP($C9,'VULA TUTORIALS'!$A:$Z,21))</f>
        <v>0</v>
      </c>
      <c r="O9" s="32">
        <f>IF(VLOOKUP($C9,'VULA TUTORIALS'!$A:$Z,24)=1,"EXC",VLOOKUP($C9,'VULA TUTORIALS'!$A:$Z,23))</f>
        <v>0</v>
      </c>
      <c r="P9" s="32">
        <f>IF(VLOOKUP($C9,'VULA TUTORIALS'!$A:$Z,26)=1,"EXC",VLOOKUP($C9,'VULA TUTORIALS'!$A:$Z,25))</f>
        <v>0</v>
      </c>
      <c r="Q9" s="130"/>
      <c r="R9" s="32">
        <f t="shared" si="1"/>
        <v>0</v>
      </c>
      <c r="S9" s="33">
        <f t="shared" si="2"/>
        <v>0</v>
      </c>
    </row>
    <row r="10" spans="1:27" x14ac:dyDescent="0.25">
      <c r="A10" s="34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32">
        <f>IF(VLOOKUP($C10,'VULA TUTORIALS'!$A:$Z,4)=1,"EXC",VLOOKUP($C10,'VULA TUTORIALS'!$A:$Z,3))</f>
        <v>20</v>
      </c>
      <c r="F10" s="32">
        <f>IF(VLOOKUP($C10,'VULA TUTORIALS'!$A:$Z,6)=1,"EXC",VLOOKUP($C10,'VULA TUTORIALS'!$A:$Z,5))</f>
        <v>0</v>
      </c>
      <c r="G10" s="32">
        <f>IF(VLOOKUP($C10,'VULA TUTORIALS'!$A:$Z,8)=1,"EXC",VLOOKUP($C10,'VULA TUTORIALS'!$A:$Z,7))</f>
        <v>0</v>
      </c>
      <c r="H10" s="32">
        <f>IF(VLOOKUP($C10,'VULA TUTORIALS'!$A:$Z,10)=1,"EXC",VLOOKUP($C10,'VULA TUTORIALS'!$A:$Z,9))</f>
        <v>0</v>
      </c>
      <c r="I10" s="32">
        <f>IF(VLOOKUP($C10,'VULA TUTORIALS'!$A:$Z,12)=1,"EXC",VLOOKUP($C10,'VULA TUTORIALS'!$A:$Z,11))</f>
        <v>0</v>
      </c>
      <c r="J10" s="32">
        <f>IF(VLOOKUP($C10,'VULA TUTORIALS'!$A:$Z,14)=1,"EXC",VLOOKUP($C10,'VULA TUTORIALS'!$A:$Z,13))</f>
        <v>0</v>
      </c>
      <c r="K10" s="32">
        <f>IF(VLOOKUP($C10,'VULA TUTORIALS'!$A:$Z,16)=1,"EXC",VLOOKUP($C10,'VULA TUTORIALS'!$A:$Z,15))</f>
        <v>0</v>
      </c>
      <c r="L10" s="32">
        <f>IF(VLOOKUP($C10,'VULA TUTORIALS'!$A:$Z,18)=1,"EXC",VLOOKUP($C10,'VULA TUTORIALS'!$A:$Z,17))</f>
        <v>0</v>
      </c>
      <c r="M10" s="32">
        <f>IF(VLOOKUP($C10,'VULA TUTORIALS'!$A:$Z,20)=1,"EXC",VLOOKUP($C10,'VULA TUTORIALS'!$A:$Z,19))</f>
        <v>0</v>
      </c>
      <c r="N10" s="32">
        <f>IF(VLOOKUP($C10,'VULA TUTORIALS'!$A:$Z,22)=1,"EXC",VLOOKUP($C10,'VULA TUTORIALS'!$A:$Z,21))</f>
        <v>0</v>
      </c>
      <c r="O10" s="32">
        <f>IF(VLOOKUP($C10,'VULA TUTORIALS'!$A:$Z,24)=1,"EXC",VLOOKUP($C10,'VULA TUTORIALS'!$A:$Z,23))</f>
        <v>0</v>
      </c>
      <c r="P10" s="32">
        <f>IF(VLOOKUP($C10,'VULA TUTORIALS'!$A:$Z,26)=1,"EXC",VLOOKUP($C10,'VULA TUTORIALS'!$A:$Z,25))</f>
        <v>0</v>
      </c>
      <c r="Q10" s="130"/>
      <c r="R10" s="32">
        <f t="shared" si="1"/>
        <v>20</v>
      </c>
      <c r="S10" s="33">
        <f t="shared" si="2"/>
        <v>200</v>
      </c>
    </row>
    <row r="11" spans="1:27" x14ac:dyDescent="0.25">
      <c r="A11" s="34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32">
        <f>IF(VLOOKUP($C11,'VULA TUTORIALS'!$A:$Z,4)=1,"EXC",VLOOKUP($C11,'VULA TUTORIALS'!$A:$Z,3))</f>
        <v>0</v>
      </c>
      <c r="F11" s="32">
        <f>IF(VLOOKUP($C11,'VULA TUTORIALS'!$A:$Z,6)=1,"EXC",VLOOKUP($C11,'VULA TUTORIALS'!$A:$Z,5))</f>
        <v>0</v>
      </c>
      <c r="G11" s="32">
        <f>IF(VLOOKUP($C11,'VULA TUTORIALS'!$A:$Z,8)=1,"EXC",VLOOKUP($C11,'VULA TUTORIALS'!$A:$Z,7))</f>
        <v>0</v>
      </c>
      <c r="H11" s="32">
        <f>IF(VLOOKUP($C11,'VULA TUTORIALS'!$A:$Z,10)=1,"EXC",VLOOKUP($C11,'VULA TUTORIALS'!$A:$Z,9))</f>
        <v>0</v>
      </c>
      <c r="I11" s="32">
        <f>IF(VLOOKUP($C11,'VULA TUTORIALS'!$A:$Z,12)=1,"EXC",VLOOKUP($C11,'VULA TUTORIALS'!$A:$Z,11))</f>
        <v>0</v>
      </c>
      <c r="J11" s="32">
        <f>IF(VLOOKUP($C11,'VULA TUTORIALS'!$A:$Z,14)=1,"EXC",VLOOKUP($C11,'VULA TUTORIALS'!$A:$Z,13))</f>
        <v>0</v>
      </c>
      <c r="K11" s="32">
        <f>IF(VLOOKUP($C11,'VULA TUTORIALS'!$A:$Z,16)=1,"EXC",VLOOKUP($C11,'VULA TUTORIALS'!$A:$Z,15))</f>
        <v>0</v>
      </c>
      <c r="L11" s="32">
        <f>IF(VLOOKUP($C11,'VULA TUTORIALS'!$A:$Z,18)=1,"EXC",VLOOKUP($C11,'VULA TUTORIALS'!$A:$Z,17))</f>
        <v>0</v>
      </c>
      <c r="M11" s="32">
        <f>IF(VLOOKUP($C11,'VULA TUTORIALS'!$A:$Z,20)=1,"EXC",VLOOKUP($C11,'VULA TUTORIALS'!$A:$Z,19))</f>
        <v>0</v>
      </c>
      <c r="N11" s="32">
        <f>IF(VLOOKUP($C11,'VULA TUTORIALS'!$A:$Z,22)=1,"EXC",VLOOKUP($C11,'VULA TUTORIALS'!$A:$Z,21))</f>
        <v>0</v>
      </c>
      <c r="O11" s="32">
        <f>IF(VLOOKUP($C11,'VULA TUTORIALS'!$A:$Z,24)=1,"EXC",VLOOKUP($C11,'VULA TUTORIALS'!$A:$Z,23))</f>
        <v>0</v>
      </c>
      <c r="P11" s="32">
        <f>IF(VLOOKUP($C11,'VULA TUTORIALS'!$A:$Z,26)=1,"EXC",VLOOKUP($C11,'VULA TUTORIALS'!$A:$Z,25))</f>
        <v>0</v>
      </c>
      <c r="Q11" s="130"/>
      <c r="R11" s="32">
        <f t="shared" si="1"/>
        <v>0</v>
      </c>
      <c r="S11" s="33">
        <f t="shared" si="2"/>
        <v>0</v>
      </c>
    </row>
    <row r="12" spans="1:27" x14ac:dyDescent="0.25">
      <c r="A12" s="34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32" t="str">
        <f>IF(VLOOKUP($C12,'VULA TUTORIALS'!$A:$Z,4)=1,"EXC",VLOOKUP($C12,'VULA TUTORIALS'!$A:$Z,3))</f>
        <v>EXC</v>
      </c>
      <c r="F12" s="32">
        <f>IF(VLOOKUP($C12,'VULA TUTORIALS'!$A:$Z,6)=1,"EXC",VLOOKUP($C12,'VULA TUTORIALS'!$A:$Z,5))</f>
        <v>0</v>
      </c>
      <c r="G12" s="32">
        <f>IF(VLOOKUP($C12,'VULA TUTORIALS'!$A:$Z,8)=1,"EXC",VLOOKUP($C12,'VULA TUTORIALS'!$A:$Z,7))</f>
        <v>0</v>
      </c>
      <c r="H12" s="32">
        <f>IF(VLOOKUP($C12,'VULA TUTORIALS'!$A:$Z,10)=1,"EXC",VLOOKUP($C12,'VULA TUTORIALS'!$A:$Z,9))</f>
        <v>0</v>
      </c>
      <c r="I12" s="32">
        <f>IF(VLOOKUP($C12,'VULA TUTORIALS'!$A:$Z,12)=1,"EXC",VLOOKUP($C12,'VULA TUTORIALS'!$A:$Z,11))</f>
        <v>0</v>
      </c>
      <c r="J12" s="32">
        <f>IF(VLOOKUP($C12,'VULA TUTORIALS'!$A:$Z,14)=1,"EXC",VLOOKUP($C12,'VULA TUTORIALS'!$A:$Z,13))</f>
        <v>0</v>
      </c>
      <c r="K12" s="32">
        <f>IF(VLOOKUP($C12,'VULA TUTORIALS'!$A:$Z,16)=1,"EXC",VLOOKUP($C12,'VULA TUTORIALS'!$A:$Z,15))</f>
        <v>0</v>
      </c>
      <c r="L12" s="32">
        <f>IF(VLOOKUP($C12,'VULA TUTORIALS'!$A:$Z,18)=1,"EXC",VLOOKUP($C12,'VULA TUTORIALS'!$A:$Z,17))</f>
        <v>0</v>
      </c>
      <c r="M12" s="32">
        <f>IF(VLOOKUP($C12,'VULA TUTORIALS'!$A:$Z,20)=1,"EXC",VLOOKUP($C12,'VULA TUTORIALS'!$A:$Z,19))</f>
        <v>0</v>
      </c>
      <c r="N12" s="32">
        <f>IF(VLOOKUP($C12,'VULA TUTORIALS'!$A:$Z,22)=1,"EXC",VLOOKUP($C12,'VULA TUTORIALS'!$A:$Z,21))</f>
        <v>0</v>
      </c>
      <c r="O12" s="32">
        <f>IF(VLOOKUP($C12,'VULA TUTORIALS'!$A:$Z,24)=1,"EXC",VLOOKUP($C12,'VULA TUTORIALS'!$A:$Z,23))</f>
        <v>0</v>
      </c>
      <c r="P12" s="32">
        <f>IF(VLOOKUP($C12,'VULA TUTORIALS'!$A:$Z,26)=1,"EXC",VLOOKUP($C12,'VULA TUTORIALS'!$A:$Z,25))</f>
        <v>0</v>
      </c>
      <c r="Q12" s="130"/>
      <c r="R12" s="32">
        <f t="shared" si="1"/>
        <v>0</v>
      </c>
      <c r="S12" s="33" t="e">
        <f t="shared" si="2"/>
        <v>#DIV/0!</v>
      </c>
    </row>
    <row r="13" spans="1:27" x14ac:dyDescent="0.25">
      <c r="A13" s="34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32">
        <f>IF(VLOOKUP($C13,'VULA TUTORIALS'!$A:$Z,4)=1,"EXC",VLOOKUP($C13,'VULA TUTORIALS'!$A:$Z,3))</f>
        <v>8</v>
      </c>
      <c r="F13" s="32">
        <f>IF(VLOOKUP($C13,'VULA TUTORIALS'!$A:$Z,6)=1,"EXC",VLOOKUP($C13,'VULA TUTORIALS'!$A:$Z,5))</f>
        <v>0</v>
      </c>
      <c r="G13" s="32">
        <f>IF(VLOOKUP($C13,'VULA TUTORIALS'!$A:$Z,8)=1,"EXC",VLOOKUP($C13,'VULA TUTORIALS'!$A:$Z,7))</f>
        <v>0</v>
      </c>
      <c r="H13" s="32">
        <f>IF(VLOOKUP($C13,'VULA TUTORIALS'!$A:$Z,10)=1,"EXC",VLOOKUP($C13,'VULA TUTORIALS'!$A:$Z,9))</f>
        <v>0</v>
      </c>
      <c r="I13" s="32">
        <f>IF(VLOOKUP($C13,'VULA TUTORIALS'!$A:$Z,12)=1,"EXC",VLOOKUP($C13,'VULA TUTORIALS'!$A:$Z,11))</f>
        <v>0</v>
      </c>
      <c r="J13" s="32">
        <f>IF(VLOOKUP($C13,'VULA TUTORIALS'!$A:$Z,14)=1,"EXC",VLOOKUP($C13,'VULA TUTORIALS'!$A:$Z,13))</f>
        <v>0</v>
      </c>
      <c r="K13" s="32">
        <f>IF(VLOOKUP($C13,'VULA TUTORIALS'!$A:$Z,16)=1,"EXC",VLOOKUP($C13,'VULA TUTORIALS'!$A:$Z,15))</f>
        <v>0</v>
      </c>
      <c r="L13" s="32">
        <f>IF(VLOOKUP($C13,'VULA TUTORIALS'!$A:$Z,18)=1,"EXC",VLOOKUP($C13,'VULA TUTORIALS'!$A:$Z,17))</f>
        <v>0</v>
      </c>
      <c r="M13" s="32">
        <f>IF(VLOOKUP($C13,'VULA TUTORIALS'!$A:$Z,20)=1,"EXC",VLOOKUP($C13,'VULA TUTORIALS'!$A:$Z,19))</f>
        <v>0</v>
      </c>
      <c r="N13" s="32">
        <f>IF(VLOOKUP($C13,'VULA TUTORIALS'!$A:$Z,22)=1,"EXC",VLOOKUP($C13,'VULA TUTORIALS'!$A:$Z,21))</f>
        <v>0</v>
      </c>
      <c r="O13" s="32">
        <f>IF(VLOOKUP($C13,'VULA TUTORIALS'!$A:$Z,24)=1,"EXC",VLOOKUP($C13,'VULA TUTORIALS'!$A:$Z,23))</f>
        <v>0</v>
      </c>
      <c r="P13" s="32">
        <f>IF(VLOOKUP($C13,'VULA TUTORIALS'!$A:$Z,26)=1,"EXC",VLOOKUP($C13,'VULA TUTORIALS'!$A:$Z,25))</f>
        <v>0</v>
      </c>
      <c r="Q13" s="130"/>
      <c r="R13" s="32">
        <f t="shared" si="1"/>
        <v>8</v>
      </c>
      <c r="S13" s="33">
        <f t="shared" si="2"/>
        <v>80</v>
      </c>
    </row>
    <row r="14" spans="1:27" x14ac:dyDescent="0.25">
      <c r="A14" s="34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32">
        <f>IF(VLOOKUP($C14,'VULA TUTORIALS'!$A:$Z,4)=1,"EXC",VLOOKUP($C14,'VULA TUTORIALS'!$A:$Z,3))</f>
        <v>8</v>
      </c>
      <c r="F14" s="32">
        <f>IF(VLOOKUP($C14,'VULA TUTORIALS'!$A:$Z,6)=1,"EXC",VLOOKUP($C14,'VULA TUTORIALS'!$A:$Z,5))</f>
        <v>0</v>
      </c>
      <c r="G14" s="32">
        <f>IF(VLOOKUP($C14,'VULA TUTORIALS'!$A:$Z,8)=1,"EXC",VLOOKUP($C14,'VULA TUTORIALS'!$A:$Z,7))</f>
        <v>0</v>
      </c>
      <c r="H14" s="32">
        <f>IF(VLOOKUP($C14,'VULA TUTORIALS'!$A:$Z,10)=1,"EXC",VLOOKUP($C14,'VULA TUTORIALS'!$A:$Z,9))</f>
        <v>0</v>
      </c>
      <c r="I14" s="32">
        <f>IF(VLOOKUP($C14,'VULA TUTORIALS'!$A:$Z,12)=1,"EXC",VLOOKUP($C14,'VULA TUTORIALS'!$A:$Z,11))</f>
        <v>0</v>
      </c>
      <c r="J14" s="32">
        <f>IF(VLOOKUP($C14,'VULA TUTORIALS'!$A:$Z,14)=1,"EXC",VLOOKUP($C14,'VULA TUTORIALS'!$A:$Z,13))</f>
        <v>0</v>
      </c>
      <c r="K14" s="32">
        <f>IF(VLOOKUP($C14,'VULA TUTORIALS'!$A:$Z,16)=1,"EXC",VLOOKUP($C14,'VULA TUTORIALS'!$A:$Z,15))</f>
        <v>0</v>
      </c>
      <c r="L14" s="32">
        <f>IF(VLOOKUP($C14,'VULA TUTORIALS'!$A:$Z,18)=1,"EXC",VLOOKUP($C14,'VULA TUTORIALS'!$A:$Z,17))</f>
        <v>0</v>
      </c>
      <c r="M14" s="32">
        <f>IF(VLOOKUP($C14,'VULA TUTORIALS'!$A:$Z,20)=1,"EXC",VLOOKUP($C14,'VULA TUTORIALS'!$A:$Z,19))</f>
        <v>0</v>
      </c>
      <c r="N14" s="32">
        <f>IF(VLOOKUP($C14,'VULA TUTORIALS'!$A:$Z,22)=1,"EXC",VLOOKUP($C14,'VULA TUTORIALS'!$A:$Z,21))</f>
        <v>0</v>
      </c>
      <c r="O14" s="32">
        <f>IF(VLOOKUP($C14,'VULA TUTORIALS'!$A:$Z,24)=1,"EXC",VLOOKUP($C14,'VULA TUTORIALS'!$A:$Z,23))</f>
        <v>0</v>
      </c>
      <c r="P14" s="32">
        <f>IF(VLOOKUP($C14,'VULA TUTORIALS'!$A:$Z,26)=1,"EXC",VLOOKUP($C14,'VULA TUTORIALS'!$A:$Z,25))</f>
        <v>0</v>
      </c>
      <c r="Q14" s="130"/>
      <c r="R14" s="32">
        <f t="shared" si="1"/>
        <v>8</v>
      </c>
      <c r="S14" s="33">
        <f t="shared" si="2"/>
        <v>80</v>
      </c>
    </row>
    <row r="15" spans="1:27" x14ac:dyDescent="0.25">
      <c r="A15" s="34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32">
        <f>IF(VLOOKUP($C15,'VULA TUTORIALS'!$A:$Z,4)=1,"EXC",VLOOKUP($C15,'VULA TUTORIALS'!$A:$Z,3))</f>
        <v>0</v>
      </c>
      <c r="F15" s="32">
        <f>IF(VLOOKUP($C15,'VULA TUTORIALS'!$A:$Z,6)=1,"EXC",VLOOKUP($C15,'VULA TUTORIALS'!$A:$Z,5))</f>
        <v>0</v>
      </c>
      <c r="G15" s="32">
        <f>IF(VLOOKUP($C15,'VULA TUTORIALS'!$A:$Z,8)=1,"EXC",VLOOKUP($C15,'VULA TUTORIALS'!$A:$Z,7))</f>
        <v>0</v>
      </c>
      <c r="H15" s="32">
        <f>IF(VLOOKUP($C15,'VULA TUTORIALS'!$A:$Z,10)=1,"EXC",VLOOKUP($C15,'VULA TUTORIALS'!$A:$Z,9))</f>
        <v>0</v>
      </c>
      <c r="I15" s="32">
        <f>IF(VLOOKUP($C15,'VULA TUTORIALS'!$A:$Z,12)=1,"EXC",VLOOKUP($C15,'VULA TUTORIALS'!$A:$Z,11))</f>
        <v>0</v>
      </c>
      <c r="J15" s="32">
        <f>IF(VLOOKUP($C15,'VULA TUTORIALS'!$A:$Z,14)=1,"EXC",VLOOKUP($C15,'VULA TUTORIALS'!$A:$Z,13))</f>
        <v>0</v>
      </c>
      <c r="K15" s="32">
        <f>IF(VLOOKUP($C15,'VULA TUTORIALS'!$A:$Z,16)=1,"EXC",VLOOKUP($C15,'VULA TUTORIALS'!$A:$Z,15))</f>
        <v>0</v>
      </c>
      <c r="L15" s="32">
        <f>IF(VLOOKUP($C15,'VULA TUTORIALS'!$A:$Z,18)=1,"EXC",VLOOKUP($C15,'VULA TUTORIALS'!$A:$Z,17))</f>
        <v>0</v>
      </c>
      <c r="M15" s="32">
        <f>IF(VLOOKUP($C15,'VULA TUTORIALS'!$A:$Z,20)=1,"EXC",VLOOKUP($C15,'VULA TUTORIALS'!$A:$Z,19))</f>
        <v>0</v>
      </c>
      <c r="N15" s="32">
        <f>IF(VLOOKUP($C15,'VULA TUTORIALS'!$A:$Z,22)=1,"EXC",VLOOKUP($C15,'VULA TUTORIALS'!$A:$Z,21))</f>
        <v>0</v>
      </c>
      <c r="O15" s="32">
        <f>IF(VLOOKUP($C15,'VULA TUTORIALS'!$A:$Z,24)=1,"EXC",VLOOKUP($C15,'VULA TUTORIALS'!$A:$Z,23))</f>
        <v>0</v>
      </c>
      <c r="P15" s="32">
        <f>IF(VLOOKUP($C15,'VULA TUTORIALS'!$A:$Z,26)=1,"EXC",VLOOKUP($C15,'VULA TUTORIALS'!$A:$Z,25))</f>
        <v>0</v>
      </c>
      <c r="Q15" s="130"/>
      <c r="R15" s="32">
        <f t="shared" si="1"/>
        <v>0</v>
      </c>
      <c r="S15" s="33">
        <f t="shared" si="2"/>
        <v>0</v>
      </c>
    </row>
    <row r="16" spans="1:27" x14ac:dyDescent="0.25">
      <c r="A16" s="34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32">
        <f>IF(VLOOKUP($C16,'VULA TUTORIALS'!$A:$Z,4)=1,"EXC",VLOOKUP($C16,'VULA TUTORIALS'!$A:$Z,3))</f>
        <v>10</v>
      </c>
      <c r="F16" s="32">
        <f>IF(VLOOKUP($C16,'VULA TUTORIALS'!$A:$Z,6)=1,"EXC",VLOOKUP($C16,'VULA TUTORIALS'!$A:$Z,5))</f>
        <v>0</v>
      </c>
      <c r="G16" s="32">
        <f>IF(VLOOKUP($C16,'VULA TUTORIALS'!$A:$Z,8)=1,"EXC",VLOOKUP($C16,'VULA TUTORIALS'!$A:$Z,7))</f>
        <v>0</v>
      </c>
      <c r="H16" s="32">
        <f>IF(VLOOKUP($C16,'VULA TUTORIALS'!$A:$Z,10)=1,"EXC",VLOOKUP($C16,'VULA TUTORIALS'!$A:$Z,9))</f>
        <v>0</v>
      </c>
      <c r="I16" s="32">
        <f>IF(VLOOKUP($C16,'VULA TUTORIALS'!$A:$Z,12)=1,"EXC",VLOOKUP($C16,'VULA TUTORIALS'!$A:$Z,11))</f>
        <v>0</v>
      </c>
      <c r="J16" s="32">
        <f>IF(VLOOKUP($C16,'VULA TUTORIALS'!$A:$Z,14)=1,"EXC",VLOOKUP($C16,'VULA TUTORIALS'!$A:$Z,13))</f>
        <v>0</v>
      </c>
      <c r="K16" s="32">
        <f>IF(VLOOKUP($C16,'VULA TUTORIALS'!$A:$Z,16)=1,"EXC",VLOOKUP($C16,'VULA TUTORIALS'!$A:$Z,15))</f>
        <v>0</v>
      </c>
      <c r="L16" s="32">
        <f>IF(VLOOKUP($C16,'VULA TUTORIALS'!$A:$Z,18)=1,"EXC",VLOOKUP($C16,'VULA TUTORIALS'!$A:$Z,17))</f>
        <v>0</v>
      </c>
      <c r="M16" s="32">
        <f>IF(VLOOKUP($C16,'VULA TUTORIALS'!$A:$Z,20)=1,"EXC",VLOOKUP($C16,'VULA TUTORIALS'!$A:$Z,19))</f>
        <v>0</v>
      </c>
      <c r="N16" s="32">
        <f>IF(VLOOKUP($C16,'VULA TUTORIALS'!$A:$Z,22)=1,"EXC",VLOOKUP($C16,'VULA TUTORIALS'!$A:$Z,21))</f>
        <v>0</v>
      </c>
      <c r="O16" s="32">
        <f>IF(VLOOKUP($C16,'VULA TUTORIALS'!$A:$Z,24)=1,"EXC",VLOOKUP($C16,'VULA TUTORIALS'!$A:$Z,23))</f>
        <v>0</v>
      </c>
      <c r="P16" s="32">
        <f>IF(VLOOKUP($C16,'VULA TUTORIALS'!$A:$Z,26)=1,"EXC",VLOOKUP($C16,'VULA TUTORIALS'!$A:$Z,25))</f>
        <v>0</v>
      </c>
      <c r="Q16" s="130"/>
      <c r="R16" s="32">
        <f t="shared" si="1"/>
        <v>10</v>
      </c>
      <c r="S16" s="33">
        <f t="shared" si="2"/>
        <v>100</v>
      </c>
    </row>
  </sheetData>
  <sheetProtection password="EFD2" sheet="1" objects="1" scenarios="1" selectLockedCells="1"/>
  <conditionalFormatting sqref="E3:P3">
    <cfRule type="cellIs" dxfId="1364" priority="168" operator="equal">
      <formula>1</formula>
    </cfRule>
  </conditionalFormatting>
  <conditionalFormatting sqref="E7">
    <cfRule type="cellIs" dxfId="1363" priority="165" operator="greaterThan">
      <formula>$E$2</formula>
    </cfRule>
  </conditionalFormatting>
  <conditionalFormatting sqref="F7">
    <cfRule type="cellIs" dxfId="1362" priority="164" operator="greaterThan">
      <formula>$F$2</formula>
    </cfRule>
  </conditionalFormatting>
  <conditionalFormatting sqref="G7">
    <cfRule type="cellIs" dxfId="1361" priority="163" operator="greaterThan">
      <formula>$G$2</formula>
    </cfRule>
  </conditionalFormatting>
  <conditionalFormatting sqref="H7">
    <cfRule type="cellIs" dxfId="1360" priority="162" operator="greaterThan">
      <formula>$H$2</formula>
    </cfRule>
  </conditionalFormatting>
  <conditionalFormatting sqref="I7">
    <cfRule type="cellIs" dxfId="1359" priority="161" operator="greaterThan">
      <formula>$I$2</formula>
    </cfRule>
  </conditionalFormatting>
  <conditionalFormatting sqref="J7">
    <cfRule type="cellIs" dxfId="1358" priority="160" operator="greaterThan">
      <formula>$J$2</formula>
    </cfRule>
  </conditionalFormatting>
  <conditionalFormatting sqref="K7">
    <cfRule type="cellIs" dxfId="1357" priority="159" operator="greaterThan">
      <formula>$K$2</formula>
    </cfRule>
  </conditionalFormatting>
  <conditionalFormatting sqref="L7">
    <cfRule type="cellIs" dxfId="1356" priority="158" operator="greaterThan">
      <formula>$L$2</formula>
    </cfRule>
  </conditionalFormatting>
  <conditionalFormatting sqref="M7">
    <cfRule type="cellIs" dxfId="1355" priority="157" operator="greaterThan">
      <formula>$M$2</formula>
    </cfRule>
  </conditionalFormatting>
  <conditionalFormatting sqref="N7">
    <cfRule type="cellIs" dxfId="1354" priority="156" operator="greaterThan">
      <formula>$N$2</formula>
    </cfRule>
  </conditionalFormatting>
  <conditionalFormatting sqref="O7">
    <cfRule type="cellIs" dxfId="1353" priority="155" operator="greaterThan">
      <formula>$O$2</formula>
    </cfRule>
  </conditionalFormatting>
  <conditionalFormatting sqref="P7">
    <cfRule type="cellIs" dxfId="1352" priority="154" operator="greaterThan">
      <formula>$P$2</formula>
    </cfRule>
  </conditionalFormatting>
  <conditionalFormatting sqref="B7">
    <cfRule type="cellIs" dxfId="1351" priority="151" operator="equal">
      <formula>TRUE</formula>
    </cfRule>
  </conditionalFormatting>
  <conditionalFormatting sqref="E7:S7">
    <cfRule type="cellIs" dxfId="1350" priority="152" operator="equal">
      <formula>"EXC"</formula>
    </cfRule>
    <cfRule type="cellIs" dxfId="1349" priority="153" operator="equal">
      <formula>"ABS"</formula>
    </cfRule>
  </conditionalFormatting>
  <conditionalFormatting sqref="E8">
    <cfRule type="cellIs" dxfId="1348" priority="135" operator="greaterThan">
      <formula>$E$2</formula>
    </cfRule>
  </conditionalFormatting>
  <conditionalFormatting sqref="F8">
    <cfRule type="cellIs" dxfId="1347" priority="134" operator="greaterThan">
      <formula>$F$2</formula>
    </cfRule>
  </conditionalFormatting>
  <conditionalFormatting sqref="G8">
    <cfRule type="cellIs" dxfId="1346" priority="133" operator="greaterThan">
      <formula>$G$2</formula>
    </cfRule>
  </conditionalFormatting>
  <conditionalFormatting sqref="H8">
    <cfRule type="cellIs" dxfId="1345" priority="132" operator="greaterThan">
      <formula>$H$2</formula>
    </cfRule>
  </conditionalFormatting>
  <conditionalFormatting sqref="I8">
    <cfRule type="cellIs" dxfId="1344" priority="131" operator="greaterThan">
      <formula>$I$2</formula>
    </cfRule>
  </conditionalFormatting>
  <conditionalFormatting sqref="J8">
    <cfRule type="cellIs" dxfId="1343" priority="130" operator="greaterThan">
      <formula>$J$2</formula>
    </cfRule>
  </conditionalFormatting>
  <conditionalFormatting sqref="K8">
    <cfRule type="cellIs" dxfId="1342" priority="129" operator="greaterThan">
      <formula>$K$2</formula>
    </cfRule>
  </conditionalFormatting>
  <conditionalFormatting sqref="L8">
    <cfRule type="cellIs" dxfId="1341" priority="128" operator="greaterThan">
      <formula>$L$2</formula>
    </cfRule>
  </conditionalFormatting>
  <conditionalFormatting sqref="M8">
    <cfRule type="cellIs" dxfId="1340" priority="127" operator="greaterThan">
      <formula>$M$2</formula>
    </cfRule>
  </conditionalFormatting>
  <conditionalFormatting sqref="N8">
    <cfRule type="cellIs" dxfId="1339" priority="126" operator="greaterThan">
      <formula>$N$2</formula>
    </cfRule>
  </conditionalFormatting>
  <conditionalFormatting sqref="O8">
    <cfRule type="cellIs" dxfId="1338" priority="125" operator="greaterThan">
      <formula>$O$2</formula>
    </cfRule>
  </conditionalFormatting>
  <conditionalFormatting sqref="P8">
    <cfRule type="cellIs" dxfId="1337" priority="124" operator="greaterThan">
      <formula>$P$2</formula>
    </cfRule>
  </conditionalFormatting>
  <conditionalFormatting sqref="B8">
    <cfRule type="cellIs" dxfId="1336" priority="121" operator="equal">
      <formula>TRUE</formula>
    </cfRule>
  </conditionalFormatting>
  <conditionalFormatting sqref="E8:S8">
    <cfRule type="cellIs" dxfId="1335" priority="122" operator="equal">
      <formula>"EXC"</formula>
    </cfRule>
    <cfRule type="cellIs" dxfId="1334" priority="123" operator="equal">
      <formula>"ABS"</formula>
    </cfRule>
  </conditionalFormatting>
  <conditionalFormatting sqref="E9">
    <cfRule type="cellIs" dxfId="1333" priority="120" operator="greaterThan">
      <formula>$E$2</formula>
    </cfRule>
  </conditionalFormatting>
  <conditionalFormatting sqref="F9">
    <cfRule type="cellIs" dxfId="1332" priority="119" operator="greaterThan">
      <formula>$F$2</formula>
    </cfRule>
  </conditionalFormatting>
  <conditionalFormatting sqref="G9">
    <cfRule type="cellIs" dxfId="1331" priority="118" operator="greaterThan">
      <formula>$G$2</formula>
    </cfRule>
  </conditionalFormatting>
  <conditionalFormatting sqref="H9">
    <cfRule type="cellIs" dxfId="1330" priority="117" operator="greaterThan">
      <formula>$H$2</formula>
    </cfRule>
  </conditionalFormatting>
  <conditionalFormatting sqref="I9">
    <cfRule type="cellIs" dxfId="1329" priority="116" operator="greaterThan">
      <formula>$I$2</formula>
    </cfRule>
  </conditionalFormatting>
  <conditionalFormatting sqref="J9">
    <cfRule type="cellIs" dxfId="1328" priority="115" operator="greaterThan">
      <formula>$J$2</formula>
    </cfRule>
  </conditionalFormatting>
  <conditionalFormatting sqref="K9">
    <cfRule type="cellIs" dxfId="1327" priority="114" operator="greaterThan">
      <formula>$K$2</formula>
    </cfRule>
  </conditionalFormatting>
  <conditionalFormatting sqref="L9">
    <cfRule type="cellIs" dxfId="1326" priority="113" operator="greaterThan">
      <formula>$L$2</formula>
    </cfRule>
  </conditionalFormatting>
  <conditionalFormatting sqref="M9">
    <cfRule type="cellIs" dxfId="1325" priority="112" operator="greaterThan">
      <formula>$M$2</formula>
    </cfRule>
  </conditionalFormatting>
  <conditionalFormatting sqref="N9">
    <cfRule type="cellIs" dxfId="1324" priority="111" operator="greaterThan">
      <formula>$N$2</formula>
    </cfRule>
  </conditionalFormatting>
  <conditionalFormatting sqref="O9">
    <cfRule type="cellIs" dxfId="1323" priority="110" operator="greaterThan">
      <formula>$O$2</formula>
    </cfRule>
  </conditionalFormatting>
  <conditionalFormatting sqref="P9">
    <cfRule type="cellIs" dxfId="1322" priority="109" operator="greaterThan">
      <formula>$P$2</formula>
    </cfRule>
  </conditionalFormatting>
  <conditionalFormatting sqref="B9">
    <cfRule type="cellIs" dxfId="1321" priority="106" operator="equal">
      <formula>TRUE</formula>
    </cfRule>
  </conditionalFormatting>
  <conditionalFormatting sqref="E9:S9">
    <cfRule type="cellIs" dxfId="1320" priority="107" operator="equal">
      <formula>"EXC"</formula>
    </cfRule>
    <cfRule type="cellIs" dxfId="1319" priority="108" operator="equal">
      <formula>"ABS"</formula>
    </cfRule>
  </conditionalFormatting>
  <conditionalFormatting sqref="E10">
    <cfRule type="cellIs" dxfId="1318" priority="105" operator="greaterThan">
      <formula>$E$2</formula>
    </cfRule>
  </conditionalFormatting>
  <conditionalFormatting sqref="F10">
    <cfRule type="cellIs" dxfId="1317" priority="104" operator="greaterThan">
      <formula>$F$2</formula>
    </cfRule>
  </conditionalFormatting>
  <conditionalFormatting sqref="G10">
    <cfRule type="cellIs" dxfId="1316" priority="103" operator="greaterThan">
      <formula>$G$2</formula>
    </cfRule>
  </conditionalFormatting>
  <conditionalFormatting sqref="H10">
    <cfRule type="cellIs" dxfId="1315" priority="102" operator="greaterThan">
      <formula>$H$2</formula>
    </cfRule>
  </conditionalFormatting>
  <conditionalFormatting sqref="I10">
    <cfRule type="cellIs" dxfId="1314" priority="101" operator="greaterThan">
      <formula>$I$2</formula>
    </cfRule>
  </conditionalFormatting>
  <conditionalFormatting sqref="J10">
    <cfRule type="cellIs" dxfId="1313" priority="100" operator="greaterThan">
      <formula>$J$2</formula>
    </cfRule>
  </conditionalFormatting>
  <conditionalFormatting sqref="K10">
    <cfRule type="cellIs" dxfId="1312" priority="99" operator="greaterThan">
      <formula>$K$2</formula>
    </cfRule>
  </conditionalFormatting>
  <conditionalFormatting sqref="L10">
    <cfRule type="cellIs" dxfId="1311" priority="98" operator="greaterThan">
      <formula>$L$2</formula>
    </cfRule>
  </conditionalFormatting>
  <conditionalFormatting sqref="M10">
    <cfRule type="cellIs" dxfId="1310" priority="97" operator="greaterThan">
      <formula>$M$2</formula>
    </cfRule>
  </conditionalFormatting>
  <conditionalFormatting sqref="N10">
    <cfRule type="cellIs" dxfId="1309" priority="96" operator="greaterThan">
      <formula>$N$2</formula>
    </cfRule>
  </conditionalFormatting>
  <conditionalFormatting sqref="O10">
    <cfRule type="cellIs" dxfId="1308" priority="95" operator="greaterThan">
      <formula>$O$2</formula>
    </cfRule>
  </conditionalFormatting>
  <conditionalFormatting sqref="P10">
    <cfRule type="cellIs" dxfId="1307" priority="94" operator="greaterThan">
      <formula>$P$2</formula>
    </cfRule>
  </conditionalFormatting>
  <conditionalFormatting sqref="B10">
    <cfRule type="cellIs" dxfId="1306" priority="91" operator="equal">
      <formula>TRUE</formula>
    </cfRule>
  </conditionalFormatting>
  <conditionalFormatting sqref="E10:S10">
    <cfRule type="cellIs" dxfId="1305" priority="92" operator="equal">
      <formula>"EXC"</formula>
    </cfRule>
    <cfRule type="cellIs" dxfId="1304" priority="93" operator="equal">
      <formula>"ABS"</formula>
    </cfRule>
  </conditionalFormatting>
  <conditionalFormatting sqref="E11">
    <cfRule type="cellIs" dxfId="1303" priority="90" operator="greaterThan">
      <formula>$E$2</formula>
    </cfRule>
  </conditionalFormatting>
  <conditionalFormatting sqref="F11">
    <cfRule type="cellIs" dxfId="1302" priority="89" operator="greaterThan">
      <formula>$F$2</formula>
    </cfRule>
  </conditionalFormatting>
  <conditionalFormatting sqref="G11">
    <cfRule type="cellIs" dxfId="1301" priority="88" operator="greaterThan">
      <formula>$G$2</formula>
    </cfRule>
  </conditionalFormatting>
  <conditionalFormatting sqref="H11">
    <cfRule type="cellIs" dxfId="1300" priority="87" operator="greaterThan">
      <formula>$H$2</formula>
    </cfRule>
  </conditionalFormatting>
  <conditionalFormatting sqref="I11">
    <cfRule type="cellIs" dxfId="1299" priority="86" operator="greaterThan">
      <formula>$I$2</formula>
    </cfRule>
  </conditionalFormatting>
  <conditionalFormatting sqref="J11">
    <cfRule type="cellIs" dxfId="1298" priority="85" operator="greaterThan">
      <formula>$J$2</formula>
    </cfRule>
  </conditionalFormatting>
  <conditionalFormatting sqref="K11">
    <cfRule type="cellIs" dxfId="1297" priority="84" operator="greaterThan">
      <formula>$K$2</formula>
    </cfRule>
  </conditionalFormatting>
  <conditionalFormatting sqref="L11">
    <cfRule type="cellIs" dxfId="1296" priority="83" operator="greaterThan">
      <formula>$L$2</formula>
    </cfRule>
  </conditionalFormatting>
  <conditionalFormatting sqref="M11">
    <cfRule type="cellIs" dxfId="1295" priority="82" operator="greaterThan">
      <formula>$M$2</formula>
    </cfRule>
  </conditionalFormatting>
  <conditionalFormatting sqref="N11">
    <cfRule type="cellIs" dxfId="1294" priority="81" operator="greaterThan">
      <formula>$N$2</formula>
    </cfRule>
  </conditionalFormatting>
  <conditionalFormatting sqref="O11">
    <cfRule type="cellIs" dxfId="1293" priority="80" operator="greaterThan">
      <formula>$O$2</formula>
    </cfRule>
  </conditionalFormatting>
  <conditionalFormatting sqref="P11">
    <cfRule type="cellIs" dxfId="1292" priority="79" operator="greaterThan">
      <formula>$P$2</formula>
    </cfRule>
  </conditionalFormatting>
  <conditionalFormatting sqref="B11">
    <cfRule type="cellIs" dxfId="1291" priority="76" operator="equal">
      <formula>TRUE</formula>
    </cfRule>
  </conditionalFormatting>
  <conditionalFormatting sqref="E11:S11">
    <cfRule type="cellIs" dxfId="1290" priority="77" operator="equal">
      <formula>"EXC"</formula>
    </cfRule>
    <cfRule type="cellIs" dxfId="1289" priority="78" operator="equal">
      <formula>"ABS"</formula>
    </cfRule>
  </conditionalFormatting>
  <conditionalFormatting sqref="E12">
    <cfRule type="cellIs" dxfId="1288" priority="75" operator="greaterThan">
      <formula>$E$2</formula>
    </cfRule>
  </conditionalFormatting>
  <conditionalFormatting sqref="F12">
    <cfRule type="cellIs" dxfId="1287" priority="74" operator="greaterThan">
      <formula>$F$2</formula>
    </cfRule>
  </conditionalFormatting>
  <conditionalFormatting sqref="G12">
    <cfRule type="cellIs" dxfId="1286" priority="73" operator="greaterThan">
      <formula>$G$2</formula>
    </cfRule>
  </conditionalFormatting>
  <conditionalFormatting sqref="H12">
    <cfRule type="cellIs" dxfId="1285" priority="72" operator="greaterThan">
      <formula>$H$2</formula>
    </cfRule>
  </conditionalFormatting>
  <conditionalFormatting sqref="I12">
    <cfRule type="cellIs" dxfId="1284" priority="71" operator="greaterThan">
      <formula>$I$2</formula>
    </cfRule>
  </conditionalFormatting>
  <conditionalFormatting sqref="J12">
    <cfRule type="cellIs" dxfId="1283" priority="70" operator="greaterThan">
      <formula>$J$2</formula>
    </cfRule>
  </conditionalFormatting>
  <conditionalFormatting sqref="K12">
    <cfRule type="cellIs" dxfId="1282" priority="69" operator="greaterThan">
      <formula>$K$2</formula>
    </cfRule>
  </conditionalFormatting>
  <conditionalFormatting sqref="L12">
    <cfRule type="cellIs" dxfId="1281" priority="68" operator="greaterThan">
      <formula>$L$2</formula>
    </cfRule>
  </conditionalFormatting>
  <conditionalFormatting sqref="M12">
    <cfRule type="cellIs" dxfId="1280" priority="67" operator="greaterThan">
      <formula>$M$2</formula>
    </cfRule>
  </conditionalFormatting>
  <conditionalFormatting sqref="N12">
    <cfRule type="cellIs" dxfId="1279" priority="66" operator="greaterThan">
      <formula>$N$2</formula>
    </cfRule>
  </conditionalFormatting>
  <conditionalFormatting sqref="O12">
    <cfRule type="cellIs" dxfId="1278" priority="65" operator="greaterThan">
      <formula>$O$2</formula>
    </cfRule>
  </conditionalFormatting>
  <conditionalFormatting sqref="P12">
    <cfRule type="cellIs" dxfId="1277" priority="64" operator="greaterThan">
      <formula>$P$2</formula>
    </cfRule>
  </conditionalFormatting>
  <conditionalFormatting sqref="B12">
    <cfRule type="cellIs" dxfId="1276" priority="61" operator="equal">
      <formula>TRUE</formula>
    </cfRule>
  </conditionalFormatting>
  <conditionalFormatting sqref="E12:S12">
    <cfRule type="cellIs" dxfId="1275" priority="62" operator="equal">
      <formula>"EXC"</formula>
    </cfRule>
    <cfRule type="cellIs" dxfId="1274" priority="63" operator="equal">
      <formula>"ABS"</formula>
    </cfRule>
  </conditionalFormatting>
  <conditionalFormatting sqref="E13">
    <cfRule type="cellIs" dxfId="1273" priority="60" operator="greaterThan">
      <formula>$E$2</formula>
    </cfRule>
  </conditionalFormatting>
  <conditionalFormatting sqref="F13">
    <cfRule type="cellIs" dxfId="1272" priority="59" operator="greaterThan">
      <formula>$F$2</formula>
    </cfRule>
  </conditionalFormatting>
  <conditionalFormatting sqref="G13">
    <cfRule type="cellIs" dxfId="1271" priority="58" operator="greaterThan">
      <formula>$G$2</formula>
    </cfRule>
  </conditionalFormatting>
  <conditionalFormatting sqref="H13">
    <cfRule type="cellIs" dxfId="1270" priority="57" operator="greaterThan">
      <formula>$H$2</formula>
    </cfRule>
  </conditionalFormatting>
  <conditionalFormatting sqref="I13">
    <cfRule type="cellIs" dxfId="1269" priority="56" operator="greaterThan">
      <formula>$I$2</formula>
    </cfRule>
  </conditionalFormatting>
  <conditionalFormatting sqref="J13">
    <cfRule type="cellIs" dxfId="1268" priority="55" operator="greaterThan">
      <formula>$J$2</formula>
    </cfRule>
  </conditionalFormatting>
  <conditionalFormatting sqref="K13">
    <cfRule type="cellIs" dxfId="1267" priority="54" operator="greaterThan">
      <formula>$K$2</formula>
    </cfRule>
  </conditionalFormatting>
  <conditionalFormatting sqref="L13">
    <cfRule type="cellIs" dxfId="1266" priority="53" operator="greaterThan">
      <formula>$L$2</formula>
    </cfRule>
  </conditionalFormatting>
  <conditionalFormatting sqref="M13">
    <cfRule type="cellIs" dxfId="1265" priority="52" operator="greaterThan">
      <formula>$M$2</formula>
    </cfRule>
  </conditionalFormatting>
  <conditionalFormatting sqref="N13">
    <cfRule type="cellIs" dxfId="1264" priority="51" operator="greaterThan">
      <formula>$N$2</formula>
    </cfRule>
  </conditionalFormatting>
  <conditionalFormatting sqref="O13">
    <cfRule type="cellIs" dxfId="1263" priority="50" operator="greaterThan">
      <formula>$O$2</formula>
    </cfRule>
  </conditionalFormatting>
  <conditionalFormatting sqref="P13">
    <cfRule type="cellIs" dxfId="1262" priority="49" operator="greaterThan">
      <formula>$P$2</formula>
    </cfRule>
  </conditionalFormatting>
  <conditionalFormatting sqref="B13">
    <cfRule type="cellIs" dxfId="1261" priority="46" operator="equal">
      <formula>TRUE</formula>
    </cfRule>
  </conditionalFormatting>
  <conditionalFormatting sqref="E13:S13">
    <cfRule type="cellIs" dxfId="1260" priority="47" operator="equal">
      <formula>"EXC"</formula>
    </cfRule>
    <cfRule type="cellIs" dxfId="1259" priority="48" operator="equal">
      <formula>"ABS"</formula>
    </cfRule>
  </conditionalFormatting>
  <conditionalFormatting sqref="E14">
    <cfRule type="cellIs" dxfId="1258" priority="45" operator="greaterThan">
      <formula>$E$2</formula>
    </cfRule>
  </conditionalFormatting>
  <conditionalFormatting sqref="F14">
    <cfRule type="cellIs" dxfId="1257" priority="44" operator="greaterThan">
      <formula>$F$2</formula>
    </cfRule>
  </conditionalFormatting>
  <conditionalFormatting sqref="G14">
    <cfRule type="cellIs" dxfId="1256" priority="43" operator="greaterThan">
      <formula>$G$2</formula>
    </cfRule>
  </conditionalFormatting>
  <conditionalFormatting sqref="H14">
    <cfRule type="cellIs" dxfId="1255" priority="42" operator="greaterThan">
      <formula>$H$2</formula>
    </cfRule>
  </conditionalFormatting>
  <conditionalFormatting sqref="I14">
    <cfRule type="cellIs" dxfId="1254" priority="41" operator="greaterThan">
      <formula>$I$2</formula>
    </cfRule>
  </conditionalFormatting>
  <conditionalFormatting sqref="J14">
    <cfRule type="cellIs" dxfId="1253" priority="40" operator="greaterThan">
      <formula>$J$2</formula>
    </cfRule>
  </conditionalFormatting>
  <conditionalFormatting sqref="K14">
    <cfRule type="cellIs" dxfId="1252" priority="39" operator="greaterThan">
      <formula>$K$2</formula>
    </cfRule>
  </conditionalFormatting>
  <conditionalFormatting sqref="L14">
    <cfRule type="cellIs" dxfId="1251" priority="38" operator="greaterThan">
      <formula>$L$2</formula>
    </cfRule>
  </conditionalFormatting>
  <conditionalFormatting sqref="M14">
    <cfRule type="cellIs" dxfId="1250" priority="37" operator="greaterThan">
      <formula>$M$2</formula>
    </cfRule>
  </conditionalFormatting>
  <conditionalFormatting sqref="N14">
    <cfRule type="cellIs" dxfId="1249" priority="36" operator="greaterThan">
      <formula>$N$2</formula>
    </cfRule>
  </conditionalFormatting>
  <conditionalFormatting sqref="O14">
    <cfRule type="cellIs" dxfId="1248" priority="35" operator="greaterThan">
      <formula>$O$2</formula>
    </cfRule>
  </conditionalFormatting>
  <conditionalFormatting sqref="P14">
    <cfRule type="cellIs" dxfId="1247" priority="34" operator="greaterThan">
      <formula>$P$2</formula>
    </cfRule>
  </conditionalFormatting>
  <conditionalFormatting sqref="B14">
    <cfRule type="cellIs" dxfId="1246" priority="31" operator="equal">
      <formula>TRUE</formula>
    </cfRule>
  </conditionalFormatting>
  <conditionalFormatting sqref="E14:S14">
    <cfRule type="cellIs" dxfId="1245" priority="32" operator="equal">
      <formula>"EXC"</formula>
    </cfRule>
    <cfRule type="cellIs" dxfId="1244" priority="33" operator="equal">
      <formula>"ABS"</formula>
    </cfRule>
  </conditionalFormatting>
  <conditionalFormatting sqref="E15">
    <cfRule type="cellIs" dxfId="1243" priority="30" operator="greaterThan">
      <formula>$E$2</formula>
    </cfRule>
  </conditionalFormatting>
  <conditionalFormatting sqref="F15">
    <cfRule type="cellIs" dxfId="1242" priority="29" operator="greaterThan">
      <formula>$F$2</formula>
    </cfRule>
  </conditionalFormatting>
  <conditionalFormatting sqref="G15">
    <cfRule type="cellIs" dxfId="1241" priority="28" operator="greaterThan">
      <formula>$G$2</formula>
    </cfRule>
  </conditionalFormatting>
  <conditionalFormatting sqref="H15">
    <cfRule type="cellIs" dxfId="1240" priority="27" operator="greaterThan">
      <formula>$H$2</formula>
    </cfRule>
  </conditionalFormatting>
  <conditionalFormatting sqref="I15">
    <cfRule type="cellIs" dxfId="1239" priority="26" operator="greaterThan">
      <formula>$I$2</formula>
    </cfRule>
  </conditionalFormatting>
  <conditionalFormatting sqref="J15">
    <cfRule type="cellIs" dxfId="1238" priority="25" operator="greaterThan">
      <formula>$J$2</formula>
    </cfRule>
  </conditionalFormatting>
  <conditionalFormatting sqref="K15">
    <cfRule type="cellIs" dxfId="1237" priority="24" operator="greaterThan">
      <formula>$K$2</formula>
    </cfRule>
  </conditionalFormatting>
  <conditionalFormatting sqref="L15">
    <cfRule type="cellIs" dxfId="1236" priority="23" operator="greaterThan">
      <formula>$L$2</formula>
    </cfRule>
  </conditionalFormatting>
  <conditionalFormatting sqref="M15">
    <cfRule type="cellIs" dxfId="1235" priority="22" operator="greaterThan">
      <formula>$M$2</formula>
    </cfRule>
  </conditionalFormatting>
  <conditionalFormatting sqref="N15">
    <cfRule type="cellIs" dxfId="1234" priority="21" operator="greaterThan">
      <formula>$N$2</formula>
    </cfRule>
  </conditionalFormatting>
  <conditionalFormatting sqref="O15">
    <cfRule type="cellIs" dxfId="1233" priority="20" operator="greaterThan">
      <formula>$O$2</formula>
    </cfRule>
  </conditionalFormatting>
  <conditionalFormatting sqref="P15">
    <cfRule type="cellIs" dxfId="1232" priority="19" operator="greaterThan">
      <formula>$P$2</formula>
    </cfRule>
  </conditionalFormatting>
  <conditionalFormatting sqref="B15">
    <cfRule type="cellIs" dxfId="1231" priority="16" operator="equal">
      <formula>TRUE</formula>
    </cfRule>
  </conditionalFormatting>
  <conditionalFormatting sqref="E15:S15">
    <cfRule type="cellIs" dxfId="1230" priority="17" operator="equal">
      <formula>"EXC"</formula>
    </cfRule>
    <cfRule type="cellIs" dxfId="1229" priority="18" operator="equal">
      <formula>"ABS"</formula>
    </cfRule>
  </conditionalFormatting>
  <conditionalFormatting sqref="E16">
    <cfRule type="cellIs" dxfId="1228" priority="15" operator="greaterThan">
      <formula>$E$2</formula>
    </cfRule>
  </conditionalFormatting>
  <conditionalFormatting sqref="F16">
    <cfRule type="cellIs" dxfId="1227" priority="14" operator="greaterThan">
      <formula>$F$2</formula>
    </cfRule>
  </conditionalFormatting>
  <conditionalFormatting sqref="G16">
    <cfRule type="cellIs" dxfId="1226" priority="13" operator="greaterThan">
      <formula>$G$2</formula>
    </cfRule>
  </conditionalFormatting>
  <conditionalFormatting sqref="H16">
    <cfRule type="cellIs" dxfId="1225" priority="12" operator="greaterThan">
      <formula>$H$2</formula>
    </cfRule>
  </conditionalFormatting>
  <conditionalFormatting sqref="I16">
    <cfRule type="cellIs" dxfId="1224" priority="11" operator="greaterThan">
      <formula>$I$2</formula>
    </cfRule>
  </conditionalFormatting>
  <conditionalFormatting sqref="J16">
    <cfRule type="cellIs" dxfId="1223" priority="10" operator="greaterThan">
      <formula>$J$2</formula>
    </cfRule>
  </conditionalFormatting>
  <conditionalFormatting sqref="K16">
    <cfRule type="cellIs" dxfId="1222" priority="9" operator="greaterThan">
      <formula>$K$2</formula>
    </cfRule>
  </conditionalFormatting>
  <conditionalFormatting sqref="L16">
    <cfRule type="cellIs" dxfId="1221" priority="8" operator="greaterThan">
      <formula>$L$2</formula>
    </cfRule>
  </conditionalFormatting>
  <conditionalFormatting sqref="M16">
    <cfRule type="cellIs" dxfId="1220" priority="7" operator="greaterThan">
      <formula>$M$2</formula>
    </cfRule>
  </conditionalFormatting>
  <conditionalFormatting sqref="N16">
    <cfRule type="cellIs" dxfId="1219" priority="6" operator="greaterThan">
      <formula>$N$2</formula>
    </cfRule>
  </conditionalFormatting>
  <conditionalFormatting sqref="O16">
    <cfRule type="cellIs" dxfId="1218" priority="5" operator="greaterThan">
      <formula>$O$2</formula>
    </cfRule>
  </conditionalFormatting>
  <conditionalFormatting sqref="P16">
    <cfRule type="cellIs" dxfId="1217" priority="4" operator="greaterThan">
      <formula>$P$2</formula>
    </cfRule>
  </conditionalFormatting>
  <conditionalFormatting sqref="B16">
    <cfRule type="cellIs" dxfId="1216" priority="1" operator="equal">
      <formula>TRUE</formula>
    </cfRule>
  </conditionalFormatting>
  <conditionalFormatting sqref="E16:S16">
    <cfRule type="cellIs" dxfId="1215" priority="2" operator="equal">
      <formula>"EXC"</formula>
    </cfRule>
    <cfRule type="cellIs" dxfId="1214" priority="3" operator="equal">
      <formula>"ABS"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1723"/>
  <sheetViews>
    <sheetView zoomScaleNormal="100" workbookViewId="0">
      <pane xSplit="7" ySplit="6" topLeftCell="H7" activePane="bottomRight" state="frozen"/>
      <selection pane="topRight" activeCell="H1" sqref="H1"/>
      <selection pane="bottomLeft" activeCell="A7" sqref="A7"/>
      <selection pane="bottomRight" activeCell="H7" sqref="H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31" width="9.140625" style="2"/>
  </cols>
  <sheetData>
    <row r="1" spans="1:39" ht="15.75" thickBot="1" x14ac:dyDescent="0.3">
      <c r="A1" s="1" t="s">
        <v>37</v>
      </c>
      <c r="D1" s="126" t="s">
        <v>1</v>
      </c>
      <c r="E1" s="200"/>
      <c r="F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"/>
      <c r="AG1" s="2"/>
      <c r="AH1" s="2"/>
      <c r="AI1" s="2"/>
      <c r="AJ1" s="2"/>
      <c r="AK1" s="2"/>
      <c r="AL1" s="2"/>
      <c r="AM1" s="2"/>
    </row>
    <row r="2" spans="1:39" ht="15.75" thickBot="1" x14ac:dyDescent="0.3">
      <c r="D2" s="3" t="s">
        <v>2</v>
      </c>
      <c r="E2" s="36"/>
      <c r="F2" s="5">
        <v>100</v>
      </c>
      <c r="G2" s="137"/>
      <c r="H2" s="4">
        <v>20</v>
      </c>
      <c r="I2" s="4">
        <v>20</v>
      </c>
      <c r="J2" s="4">
        <v>20</v>
      </c>
      <c r="K2" s="4">
        <v>20</v>
      </c>
      <c r="L2" s="4">
        <v>20</v>
      </c>
      <c r="M2" s="4">
        <v>20</v>
      </c>
      <c r="N2" s="4">
        <v>20</v>
      </c>
      <c r="O2" s="4">
        <v>20</v>
      </c>
      <c r="P2" s="4">
        <v>20</v>
      </c>
      <c r="Q2" s="4">
        <v>20</v>
      </c>
      <c r="R2" s="4">
        <v>20</v>
      </c>
      <c r="S2" s="4">
        <v>20</v>
      </c>
      <c r="T2" s="4">
        <v>20</v>
      </c>
      <c r="U2" s="4">
        <v>20</v>
      </c>
      <c r="V2" s="4">
        <v>20</v>
      </c>
      <c r="W2" s="4">
        <v>20</v>
      </c>
      <c r="X2" s="4">
        <v>20</v>
      </c>
      <c r="Y2" s="4">
        <v>20</v>
      </c>
      <c r="Z2" s="4">
        <v>20</v>
      </c>
      <c r="AA2" s="4">
        <v>20</v>
      </c>
      <c r="AB2" s="4">
        <v>20</v>
      </c>
      <c r="AC2" s="4">
        <v>20</v>
      </c>
      <c r="AD2" s="4">
        <v>20</v>
      </c>
      <c r="AE2" s="4">
        <v>20</v>
      </c>
      <c r="AF2" s="2"/>
      <c r="AG2" s="2"/>
      <c r="AH2" s="2"/>
      <c r="AI2" s="2"/>
      <c r="AJ2" s="2"/>
      <c r="AK2" s="2"/>
      <c r="AL2" s="2"/>
      <c r="AM2" s="2"/>
    </row>
    <row r="3" spans="1:39" ht="15.75" thickBot="1" x14ac:dyDescent="0.3">
      <c r="D3" s="3" t="s">
        <v>24</v>
      </c>
      <c r="E3" s="36"/>
      <c r="F3" s="36"/>
      <c r="G3" s="138"/>
      <c r="H3" s="37">
        <v>1</v>
      </c>
      <c r="I3" s="37">
        <v>0</v>
      </c>
      <c r="J3" s="37">
        <v>0</v>
      </c>
      <c r="K3" s="37">
        <v>0</v>
      </c>
      <c r="L3" s="37">
        <v>0</v>
      </c>
      <c r="M3" s="37">
        <v>0</v>
      </c>
      <c r="N3" s="37">
        <v>0</v>
      </c>
      <c r="O3" s="37">
        <v>0</v>
      </c>
      <c r="P3" s="37">
        <v>0</v>
      </c>
      <c r="Q3" s="37">
        <v>0</v>
      </c>
      <c r="R3" s="37">
        <v>0</v>
      </c>
      <c r="S3" s="37">
        <v>0</v>
      </c>
      <c r="T3" s="37">
        <v>0</v>
      </c>
      <c r="U3" s="37">
        <v>0</v>
      </c>
      <c r="V3" s="37">
        <v>0</v>
      </c>
      <c r="W3" s="37">
        <v>0</v>
      </c>
      <c r="X3" s="37">
        <v>0</v>
      </c>
      <c r="Y3" s="37">
        <v>0</v>
      </c>
      <c r="Z3" s="37">
        <v>0</v>
      </c>
      <c r="AA3" s="37">
        <v>0</v>
      </c>
      <c r="AB3" s="37">
        <v>0</v>
      </c>
      <c r="AC3" s="37">
        <v>0</v>
      </c>
      <c r="AD3" s="37">
        <v>0</v>
      </c>
      <c r="AE3" s="37">
        <v>0</v>
      </c>
      <c r="AF3" s="2"/>
      <c r="AG3" s="22"/>
      <c r="AH3" s="2"/>
      <c r="AI3" s="2"/>
      <c r="AJ3" s="2"/>
      <c r="AK3" s="2"/>
      <c r="AL3" s="2"/>
      <c r="AM3" s="2"/>
    </row>
    <row r="4" spans="1:39" ht="15.75" thickBot="1" x14ac:dyDescent="0.3">
      <c r="D4" s="6" t="s">
        <v>3</v>
      </c>
      <c r="E4" s="9"/>
      <c r="F4" s="38" t="e">
        <f>IF(SUM(F7:F2000)=0,"",AVERAGE(F7:F2000))</f>
        <v>#DIV/0!</v>
      </c>
      <c r="G4" s="139"/>
      <c r="H4" s="38">
        <f t="shared" ref="H4:AE4" si="0">IF(SUM(H7:H2000)=0,"",AVERAGE(H7:H2000))</f>
        <v>14.285714285714286</v>
      </c>
      <c r="I4" s="38" t="str">
        <f t="shared" si="0"/>
        <v/>
      </c>
      <c r="J4" s="38" t="str">
        <f t="shared" si="0"/>
        <v/>
      </c>
      <c r="K4" s="38" t="str">
        <f t="shared" si="0"/>
        <v/>
      </c>
      <c r="L4" s="38" t="str">
        <f t="shared" si="0"/>
        <v/>
      </c>
      <c r="M4" s="38" t="str">
        <f t="shared" si="0"/>
        <v/>
      </c>
      <c r="N4" s="38" t="str">
        <f t="shared" si="0"/>
        <v/>
      </c>
      <c r="O4" s="38" t="str">
        <f t="shared" si="0"/>
        <v/>
      </c>
      <c r="P4" s="38" t="str">
        <f t="shared" si="0"/>
        <v/>
      </c>
      <c r="Q4" s="38" t="str">
        <f t="shared" si="0"/>
        <v/>
      </c>
      <c r="R4" s="38" t="str">
        <f t="shared" si="0"/>
        <v/>
      </c>
      <c r="S4" s="38" t="str">
        <f t="shared" si="0"/>
        <v/>
      </c>
      <c r="T4" s="38" t="str">
        <f t="shared" si="0"/>
        <v/>
      </c>
      <c r="U4" s="38" t="str">
        <f t="shared" si="0"/>
        <v/>
      </c>
      <c r="V4" s="38" t="str">
        <f t="shared" si="0"/>
        <v/>
      </c>
      <c r="W4" s="38" t="str">
        <f t="shared" si="0"/>
        <v/>
      </c>
      <c r="X4" s="38" t="str">
        <f t="shared" si="0"/>
        <v/>
      </c>
      <c r="Y4" s="38" t="str">
        <f t="shared" si="0"/>
        <v/>
      </c>
      <c r="Z4" s="38" t="str">
        <f t="shared" si="0"/>
        <v/>
      </c>
      <c r="AA4" s="38" t="str">
        <f t="shared" si="0"/>
        <v/>
      </c>
      <c r="AB4" s="38" t="str">
        <f t="shared" si="0"/>
        <v/>
      </c>
      <c r="AC4" s="38" t="str">
        <f t="shared" si="0"/>
        <v/>
      </c>
      <c r="AD4" s="38" t="str">
        <f t="shared" si="0"/>
        <v/>
      </c>
      <c r="AE4" s="38" t="str">
        <f t="shared" si="0"/>
        <v/>
      </c>
      <c r="AF4" s="2"/>
      <c r="AG4" s="22"/>
      <c r="AH4" s="2"/>
      <c r="AI4" s="2"/>
      <c r="AJ4" s="2"/>
      <c r="AK4" s="2"/>
      <c r="AL4" s="2"/>
      <c r="AM4" s="2"/>
    </row>
    <row r="5" spans="1:39" ht="15.75" thickBot="1" x14ac:dyDescent="0.3">
      <c r="A5" s="8"/>
      <c r="B5" s="8"/>
      <c r="C5" s="8"/>
      <c r="D5" s="25"/>
      <c r="E5" s="9"/>
      <c r="F5" s="9"/>
      <c r="G5" s="140"/>
      <c r="H5" s="9"/>
      <c r="I5" s="3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2"/>
      <c r="AG5" s="22"/>
      <c r="AH5" s="2"/>
      <c r="AI5" s="2"/>
      <c r="AJ5" s="2"/>
      <c r="AK5" s="2"/>
      <c r="AL5" s="2"/>
      <c r="AM5" s="2"/>
    </row>
    <row r="6" spans="1:39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30" t="s">
        <v>8</v>
      </c>
      <c r="F6" s="31" t="s">
        <v>9</v>
      </c>
      <c r="G6" s="135"/>
      <c r="H6" s="183" t="s">
        <v>38</v>
      </c>
      <c r="I6" s="184" t="s">
        <v>39</v>
      </c>
      <c r="J6" s="185" t="s">
        <v>40</v>
      </c>
      <c r="K6" s="181" t="s">
        <v>41</v>
      </c>
      <c r="L6" s="181" t="s">
        <v>42</v>
      </c>
      <c r="M6" s="181" t="s">
        <v>43</v>
      </c>
      <c r="N6" s="181" t="s">
        <v>44</v>
      </c>
      <c r="O6" s="181" t="s">
        <v>45</v>
      </c>
      <c r="P6" s="181" t="s">
        <v>46</v>
      </c>
      <c r="Q6" s="181" t="s">
        <v>47</v>
      </c>
      <c r="R6" s="181" t="s">
        <v>48</v>
      </c>
      <c r="S6" s="181" t="s">
        <v>49</v>
      </c>
      <c r="T6" s="181" t="s">
        <v>50</v>
      </c>
      <c r="U6" s="181" t="s">
        <v>51</v>
      </c>
      <c r="V6" s="181" t="s">
        <v>156</v>
      </c>
      <c r="W6" s="181" t="s">
        <v>157</v>
      </c>
      <c r="X6" s="181" t="s">
        <v>158</v>
      </c>
      <c r="Y6" s="181" t="s">
        <v>159</v>
      </c>
      <c r="Z6" s="181" t="s">
        <v>160</v>
      </c>
      <c r="AA6" s="181" t="s">
        <v>161</v>
      </c>
      <c r="AB6" s="181" t="s">
        <v>162</v>
      </c>
      <c r="AC6" s="181" t="s">
        <v>163</v>
      </c>
      <c r="AD6" s="181" t="s">
        <v>164</v>
      </c>
      <c r="AE6" s="181" t="s">
        <v>165</v>
      </c>
      <c r="AF6" s="2"/>
      <c r="AG6" s="2"/>
      <c r="AH6" s="2"/>
      <c r="AI6" s="2"/>
      <c r="AJ6" s="2"/>
      <c r="AK6" s="2"/>
      <c r="AL6" s="2"/>
      <c r="AM6" s="2"/>
    </row>
    <row r="7" spans="1:39" x14ac:dyDescent="0.25">
      <c r="A7" s="11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12">
        <f t="shared" ref="E7:E16" si="1">SUM(H7:AE7)</f>
        <v>20</v>
      </c>
      <c r="F7" s="14">
        <f t="shared" ref="F7:F16" si="2">100*(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+IF(OR(Q7="EXC",Q7="ABS"),0,Q7)*$Q$3+IF(OR(R7="EXC",R7="ABS"),0,R7)*$R$3+IF(OR(S7="EXC",S7="ABS"),0,S7)*$S$3+IF(OR(T7="EXC",T7="ABS"),0,T7)*$T$3+IF(OR(U7="EXC",U7="ABS"),0,U7)*$U$3+IF(OR(V7="EXC",V7="ABS"),0,V7)*$V$3+IF(OR(W7="EXC",W7="ABS"),0,W7)*$W$3+IF(OR(X7="EXC",X7="ABS"),0,X7)*$X$3+IF(OR(Y7="EXC",Y7="ABS"),0,Y7)*$Y$3+IF(OR(Z7="EXC",Z7="ABS"),0,Z7)*$Z$3+IF(OR(AA7="EXC",AA7="ABS"),0,AA7)*$AA$3+IF(OR(AB7="EXC",AB7="ABS"),0,AB7)*$AB$3+IF(OR(AC7="EXC",AC7="ABS"),0,AC7)*$AC$3+IF(OR(AD7="EXC",AD7="ABS"),0,AD7)*$AD$3+IF(OR(AE7="EXC",AE7="ABS"),0,AE7)*$AE$3)/(IF(H7="EXC",0,$H$2)*$H$3+IF(I7="EXC",0,$I$2)*$I$3+IF(J7="EXC",0,$J$2)*$J$3+IF(K7="EXC",0,$K$2)*$K$3+IF(L7="EXC",0,$L$2)*$L$3+IF(M7="EXC",0,$M$2)*$M$3+IF(N7="EXC",0,$N$2)*$N$3+IF(O7="EXC",0,$O$2)*$O$3+IF(P7="EXC",0,$P$2)*$P$3+IF(Q7="EXC",0,$Q$2)*$Q$3+IF(R7="EXC",0,$R$2)*$R$3+IF(S7="EXC",0,$S$2)*$S$3+IF(T7="EXC",0,$T$2)*$T$3+IF(U7="EXC",0,$U$2)*$U$3+IF(V7="EXC",0,$V$2)*$V$3+IF(W7="EXC",0,$W$2)*$W$3+IF(X7="EXC",0,$X$2)*$X$3+IF(Y7="EXC",0,$Y$2)*$Y$3+IF(Z7="EXC",0,$Z$2)*$Z$3+IF(AA7="EXC",0,$AA$2)*$AA$3+IF(AB7="EXC",0,$AB$2)*$AB$3+IF(AC7="EXC",0,$AC$2)*$AC$3+IF(AD7="EXC",0,$AD$2)*$AD$3+IF(AE7="EXC",0,$AE$2)*$AE$3)</f>
        <v>100</v>
      </c>
      <c r="G7" s="136"/>
      <c r="H7" s="13">
        <v>20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2"/>
      <c r="AG7" s="2"/>
      <c r="AH7" s="2"/>
      <c r="AI7" s="2"/>
      <c r="AJ7" s="2"/>
      <c r="AK7" s="2"/>
      <c r="AL7" s="2"/>
      <c r="AM7" s="2"/>
    </row>
    <row r="8" spans="1:39" x14ac:dyDescent="0.25">
      <c r="A8" s="11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12">
        <f t="shared" si="1"/>
        <v>10</v>
      </c>
      <c r="F8" s="14">
        <f t="shared" si="2"/>
        <v>50</v>
      </c>
      <c r="G8" s="136"/>
      <c r="H8" s="13">
        <v>10</v>
      </c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2"/>
      <c r="AG8" s="2"/>
      <c r="AH8" s="2"/>
      <c r="AI8" s="2"/>
      <c r="AJ8" s="2"/>
      <c r="AK8" s="2"/>
      <c r="AL8" s="2"/>
      <c r="AM8" s="2"/>
    </row>
    <row r="9" spans="1:39" x14ac:dyDescent="0.25">
      <c r="A9" s="11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12">
        <f t="shared" si="1"/>
        <v>0</v>
      </c>
      <c r="F9" s="14">
        <f t="shared" si="2"/>
        <v>0</v>
      </c>
      <c r="G9" s="136"/>
      <c r="H9" s="13">
        <v>0</v>
      </c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</row>
    <row r="10" spans="1:39" x14ac:dyDescent="0.25">
      <c r="A10" s="11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12">
        <f t="shared" si="1"/>
        <v>40</v>
      </c>
      <c r="F10" s="14">
        <f t="shared" si="2"/>
        <v>200</v>
      </c>
      <c r="G10" s="136"/>
      <c r="H10" s="13">
        <v>40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</row>
    <row r="11" spans="1:39" x14ac:dyDescent="0.25">
      <c r="A11" s="11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12">
        <f t="shared" si="1"/>
        <v>0</v>
      </c>
      <c r="F11" s="14">
        <f t="shared" si="2"/>
        <v>0</v>
      </c>
      <c r="G11" s="136"/>
      <c r="H11" s="13" t="s">
        <v>245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</row>
    <row r="12" spans="1:39" x14ac:dyDescent="0.25">
      <c r="A12" s="11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12">
        <f t="shared" si="1"/>
        <v>0</v>
      </c>
      <c r="F12" s="14" t="e">
        <f t="shared" si="2"/>
        <v>#DIV/0!</v>
      </c>
      <c r="G12" s="136"/>
      <c r="H12" s="13" t="s">
        <v>246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9" x14ac:dyDescent="0.25">
      <c r="A13" s="11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12">
        <f t="shared" si="1"/>
        <v>10</v>
      </c>
      <c r="F13" s="14">
        <f t="shared" si="2"/>
        <v>50</v>
      </c>
      <c r="G13" s="136"/>
      <c r="H13" s="13">
        <v>10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</row>
    <row r="14" spans="1:39" x14ac:dyDescent="0.25">
      <c r="A14" s="11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12">
        <f t="shared" si="1"/>
        <v>10</v>
      </c>
      <c r="F14" s="14">
        <f t="shared" si="2"/>
        <v>50</v>
      </c>
      <c r="G14" s="136"/>
      <c r="H14" s="13">
        <v>10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</row>
    <row r="15" spans="1:39" x14ac:dyDescent="0.25">
      <c r="A15" s="11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12">
        <f t="shared" si="1"/>
        <v>0</v>
      </c>
      <c r="F15" s="14">
        <f t="shared" si="2"/>
        <v>0</v>
      </c>
      <c r="G15" s="136"/>
      <c r="H15" s="13" t="s">
        <v>245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9" x14ac:dyDescent="0.25">
      <c r="A16" s="11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12">
        <f t="shared" si="1"/>
        <v>10</v>
      </c>
      <c r="F16" s="14">
        <f t="shared" si="2"/>
        <v>50</v>
      </c>
      <c r="G16" s="136"/>
      <c r="H16" s="13">
        <v>10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3:31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</row>
    <row r="18" spans="3:31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</row>
    <row r="19" spans="3:31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</row>
    <row r="20" spans="3:31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</row>
    <row r="21" spans="3:31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</row>
    <row r="22" spans="3:31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</row>
    <row r="23" spans="3:31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</row>
    <row r="24" spans="3:31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</row>
    <row r="25" spans="3:31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</row>
    <row r="26" spans="3:31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</row>
    <row r="27" spans="3:31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</row>
    <row r="28" spans="3:31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</row>
    <row r="29" spans="3:31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</row>
    <row r="30" spans="3:31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</row>
    <row r="31" spans="3:31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</row>
    <row r="32" spans="3:31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</row>
    <row r="33" spans="3:31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</row>
    <row r="34" spans="3:31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</row>
    <row r="35" spans="3:31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</row>
    <row r="36" spans="3:31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</row>
    <row r="37" spans="3:31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</row>
    <row r="38" spans="3:31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</row>
    <row r="39" spans="3:31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</row>
    <row r="40" spans="3:31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</row>
    <row r="41" spans="3:31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</row>
    <row r="42" spans="3:31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</row>
    <row r="43" spans="3:31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</row>
    <row r="44" spans="3:31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</row>
    <row r="45" spans="3:31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</row>
    <row r="46" spans="3:31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</row>
    <row r="47" spans="3:31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</row>
    <row r="48" spans="3:31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</row>
    <row r="49" spans="3:31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</row>
    <row r="50" spans="3:31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</row>
    <row r="51" spans="3:31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</row>
    <row r="52" spans="3:31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</row>
    <row r="53" spans="3:31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</row>
    <row r="54" spans="3:31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</row>
    <row r="55" spans="3:31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</row>
    <row r="56" spans="3:31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</row>
    <row r="57" spans="3:31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</row>
    <row r="58" spans="3:31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</row>
    <row r="59" spans="3:31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</row>
    <row r="60" spans="3:31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</row>
    <row r="61" spans="3:31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</row>
    <row r="62" spans="3:31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</row>
    <row r="63" spans="3:31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</row>
    <row r="64" spans="3:31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</row>
    <row r="65" spans="3:31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</row>
    <row r="66" spans="3:31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</row>
    <row r="67" spans="3:31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</row>
    <row r="68" spans="3:31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</row>
    <row r="69" spans="3:31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</row>
    <row r="70" spans="3:31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</row>
    <row r="71" spans="3:31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</row>
    <row r="72" spans="3:31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</row>
    <row r="73" spans="3:31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</row>
    <row r="74" spans="3:31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</row>
    <row r="75" spans="3:31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</row>
    <row r="76" spans="3:31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</row>
    <row r="77" spans="3:31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</row>
    <row r="78" spans="3:31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</row>
    <row r="79" spans="3:31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</row>
    <row r="80" spans="3:31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</row>
    <row r="81" spans="3:31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</row>
    <row r="82" spans="3:31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</row>
    <row r="83" spans="3:31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</row>
    <row r="84" spans="3:31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</row>
    <row r="85" spans="3:31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</row>
    <row r="86" spans="3:31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</row>
    <row r="87" spans="3:31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</row>
    <row r="88" spans="3:31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</row>
    <row r="89" spans="3:31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</row>
    <row r="90" spans="3:31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</row>
    <row r="91" spans="3:31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</row>
    <row r="92" spans="3:31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</row>
    <row r="93" spans="3:31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</row>
    <row r="94" spans="3:31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</row>
    <row r="95" spans="3:31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</row>
    <row r="96" spans="3:31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</row>
    <row r="97" spans="3:31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</row>
    <row r="98" spans="3:31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</row>
    <row r="99" spans="3:31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</row>
    <row r="100" spans="3:31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</row>
    <row r="101" spans="3:31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</row>
    <row r="102" spans="3:31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</row>
    <row r="103" spans="3:31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</row>
    <row r="104" spans="3:31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</row>
    <row r="105" spans="3:31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</row>
    <row r="106" spans="3:31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</row>
    <row r="107" spans="3:31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</row>
    <row r="108" spans="3:31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</row>
    <row r="109" spans="3:31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</row>
    <row r="110" spans="3:31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</row>
    <row r="111" spans="3:31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</row>
    <row r="112" spans="3:31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</row>
    <row r="113" spans="3:31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</row>
    <row r="114" spans="3:31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</row>
    <row r="115" spans="3:31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</row>
    <row r="116" spans="3:31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</row>
    <row r="117" spans="3:31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</row>
    <row r="118" spans="3:31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</row>
    <row r="119" spans="3:31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</row>
    <row r="120" spans="3:31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</row>
    <row r="121" spans="3:31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</row>
    <row r="122" spans="3:31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</row>
    <row r="123" spans="3:31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</row>
    <row r="124" spans="3:31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</row>
    <row r="125" spans="3:31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</row>
    <row r="126" spans="3:31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</row>
    <row r="127" spans="3:31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</row>
    <row r="128" spans="3:31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</row>
    <row r="129" spans="3:31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</row>
    <row r="130" spans="3:31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</row>
    <row r="131" spans="3:31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</row>
    <row r="132" spans="3:31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</row>
    <row r="133" spans="3:31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</row>
    <row r="134" spans="3:31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</row>
    <row r="135" spans="3:31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</row>
    <row r="136" spans="3:31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</row>
    <row r="137" spans="3:31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</row>
    <row r="138" spans="3:31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</row>
    <row r="139" spans="3:31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  <c r="AC139" s="144"/>
      <c r="AD139" s="144"/>
      <c r="AE139" s="144"/>
    </row>
    <row r="140" spans="3:31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  <c r="AC140" s="144"/>
      <c r="AD140" s="144"/>
      <c r="AE140" s="144"/>
    </row>
    <row r="141" spans="3:31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</row>
    <row r="142" spans="3:31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  <c r="AC142" s="144"/>
      <c r="AD142" s="144"/>
      <c r="AE142" s="144"/>
    </row>
    <row r="143" spans="3:31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  <c r="AC143" s="144"/>
      <c r="AD143" s="144"/>
      <c r="AE143" s="144"/>
    </row>
    <row r="144" spans="3:31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  <c r="AC144" s="144"/>
      <c r="AD144" s="144"/>
      <c r="AE144" s="144"/>
    </row>
    <row r="145" spans="3:31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</row>
    <row r="146" spans="3:31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  <c r="AC146" s="144"/>
      <c r="AD146" s="144"/>
      <c r="AE146" s="144"/>
    </row>
    <row r="147" spans="3:31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  <c r="AC147" s="144"/>
      <c r="AD147" s="144"/>
      <c r="AE147" s="144"/>
    </row>
    <row r="148" spans="3:31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  <c r="AC148" s="144"/>
      <c r="AD148" s="144"/>
      <c r="AE148" s="144"/>
    </row>
    <row r="149" spans="3:31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</row>
    <row r="150" spans="3:31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</row>
    <row r="151" spans="3:31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</row>
    <row r="152" spans="3:31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</row>
    <row r="153" spans="3:31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</row>
    <row r="154" spans="3:31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</row>
    <row r="155" spans="3:31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</row>
    <row r="156" spans="3:31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</row>
    <row r="157" spans="3:31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</row>
    <row r="158" spans="3:31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</row>
    <row r="159" spans="3:31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  <c r="AC159" s="144"/>
      <c r="AD159" s="144"/>
      <c r="AE159" s="144"/>
    </row>
    <row r="160" spans="3:31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</row>
    <row r="161" spans="3:31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</row>
    <row r="162" spans="3:31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</row>
    <row r="163" spans="3:31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</row>
    <row r="164" spans="3:31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</row>
    <row r="165" spans="3:31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</row>
    <row r="166" spans="3:31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</row>
    <row r="167" spans="3:31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</row>
    <row r="168" spans="3:31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</row>
    <row r="169" spans="3:31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</row>
    <row r="170" spans="3:31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</row>
    <row r="171" spans="3:31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</row>
    <row r="172" spans="3:31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</row>
    <row r="173" spans="3:31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</row>
    <row r="174" spans="3:31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</row>
    <row r="175" spans="3:31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</row>
    <row r="176" spans="3:31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</row>
    <row r="177" spans="3:31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  <c r="AC177" s="144"/>
      <c r="AD177" s="144"/>
      <c r="AE177" s="144"/>
    </row>
    <row r="178" spans="3:31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  <c r="AC178" s="144"/>
      <c r="AD178" s="144"/>
      <c r="AE178" s="144"/>
    </row>
    <row r="179" spans="3:31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  <c r="AC179" s="144"/>
      <c r="AD179" s="144"/>
      <c r="AE179" s="144"/>
    </row>
    <row r="180" spans="3:31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</row>
    <row r="181" spans="3:31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</row>
    <row r="182" spans="3:31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</row>
    <row r="183" spans="3:31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</row>
    <row r="184" spans="3:31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</row>
    <row r="185" spans="3:31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  <c r="AC185" s="144"/>
      <c r="AD185" s="144"/>
      <c r="AE185" s="144"/>
    </row>
    <row r="186" spans="3:31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  <c r="AC186" s="144"/>
      <c r="AD186" s="144"/>
      <c r="AE186" s="144"/>
    </row>
    <row r="187" spans="3:31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</row>
    <row r="188" spans="3:31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  <c r="AC188" s="144"/>
      <c r="AD188" s="144"/>
      <c r="AE188" s="144"/>
    </row>
    <row r="189" spans="3:31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  <c r="AC189" s="144"/>
      <c r="AD189" s="144"/>
      <c r="AE189" s="144"/>
    </row>
    <row r="190" spans="3:31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  <c r="AC190" s="144"/>
      <c r="AD190" s="144"/>
      <c r="AE190" s="144"/>
    </row>
    <row r="191" spans="3:31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  <c r="AC191" s="144"/>
      <c r="AD191" s="144"/>
      <c r="AE191" s="144"/>
    </row>
    <row r="192" spans="3:31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  <c r="AC192" s="144"/>
      <c r="AD192" s="144"/>
      <c r="AE192" s="144"/>
    </row>
    <row r="193" spans="3:31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</row>
    <row r="194" spans="3:31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</row>
    <row r="195" spans="3:31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  <c r="AC195" s="144"/>
      <c r="AD195" s="144"/>
      <c r="AE195" s="144"/>
    </row>
    <row r="196" spans="3:31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44"/>
      <c r="AD196" s="144"/>
      <c r="AE196" s="144"/>
    </row>
    <row r="197" spans="3:31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  <c r="AC197" s="144"/>
      <c r="AD197" s="144"/>
      <c r="AE197" s="144"/>
    </row>
    <row r="198" spans="3:31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  <c r="AC198" s="144"/>
      <c r="AD198" s="144"/>
      <c r="AE198" s="144"/>
    </row>
    <row r="199" spans="3:31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  <c r="AC199" s="144"/>
      <c r="AD199" s="144"/>
      <c r="AE199" s="144"/>
    </row>
    <row r="200" spans="3:31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  <c r="AC200" s="144"/>
      <c r="AD200" s="144"/>
      <c r="AE200" s="144"/>
    </row>
    <row r="201" spans="3:31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  <c r="AC201" s="144"/>
      <c r="AD201" s="144"/>
      <c r="AE201" s="144"/>
    </row>
    <row r="202" spans="3:31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  <c r="AC202" s="144"/>
      <c r="AD202" s="144"/>
      <c r="AE202" s="144"/>
    </row>
    <row r="203" spans="3:31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  <c r="AC203" s="144"/>
      <c r="AD203" s="144"/>
      <c r="AE203" s="144"/>
    </row>
    <row r="204" spans="3:31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  <c r="AA204" s="144"/>
      <c r="AB204" s="144"/>
      <c r="AC204" s="144"/>
      <c r="AD204" s="144"/>
      <c r="AE204" s="144"/>
    </row>
    <row r="205" spans="3:31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  <c r="AC205" s="144"/>
      <c r="AD205" s="144"/>
      <c r="AE205" s="144"/>
    </row>
    <row r="206" spans="3:31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  <c r="AC206" s="144"/>
      <c r="AD206" s="144"/>
      <c r="AE206" s="144"/>
    </row>
    <row r="207" spans="3:31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</row>
    <row r="208" spans="3:31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  <c r="AC208" s="144"/>
      <c r="AD208" s="144"/>
      <c r="AE208" s="144"/>
    </row>
    <row r="209" spans="3:31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  <c r="AC209" s="144"/>
      <c r="AD209" s="144"/>
      <c r="AE209" s="144"/>
    </row>
    <row r="210" spans="3:31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</row>
    <row r="211" spans="3:31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  <c r="AC211" s="144"/>
      <c r="AD211" s="144"/>
      <c r="AE211" s="144"/>
    </row>
    <row r="212" spans="3:31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  <c r="AC212" s="144"/>
      <c r="AD212" s="144"/>
      <c r="AE212" s="144"/>
    </row>
    <row r="213" spans="3:31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  <c r="AC213" s="144"/>
      <c r="AD213" s="144"/>
      <c r="AE213" s="144"/>
    </row>
    <row r="214" spans="3:31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  <c r="AC214" s="144"/>
      <c r="AD214" s="144"/>
      <c r="AE214" s="144"/>
    </row>
    <row r="215" spans="3:31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  <c r="AC215" s="144"/>
      <c r="AD215" s="144"/>
      <c r="AE215" s="144"/>
    </row>
    <row r="216" spans="3:31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  <c r="AC216" s="144"/>
      <c r="AD216" s="144"/>
      <c r="AE216" s="144"/>
    </row>
    <row r="217" spans="3:31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  <c r="AC217" s="144"/>
      <c r="AD217" s="144"/>
      <c r="AE217" s="144"/>
    </row>
    <row r="218" spans="3:31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  <c r="AC218" s="144"/>
      <c r="AD218" s="144"/>
      <c r="AE218" s="144"/>
    </row>
    <row r="219" spans="3:31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</row>
    <row r="220" spans="3:31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  <c r="AC220" s="144"/>
      <c r="AD220" s="144"/>
      <c r="AE220" s="144"/>
    </row>
    <row r="221" spans="3:31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</row>
    <row r="222" spans="3:31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  <c r="AC222" s="144"/>
      <c r="AD222" s="144"/>
      <c r="AE222" s="144"/>
    </row>
    <row r="223" spans="3:31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  <c r="AC223" s="144"/>
      <c r="AD223" s="144"/>
      <c r="AE223" s="144"/>
    </row>
    <row r="224" spans="3:31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  <c r="AC224" s="144"/>
      <c r="AD224" s="144"/>
      <c r="AE224" s="144"/>
    </row>
    <row r="225" spans="3:31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</row>
    <row r="226" spans="3:31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</row>
    <row r="227" spans="3:31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</row>
    <row r="228" spans="3:31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  <c r="AC228" s="144"/>
      <c r="AD228" s="144"/>
      <c r="AE228" s="144"/>
    </row>
    <row r="229" spans="3:31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  <c r="AC229" s="144"/>
      <c r="AD229" s="144"/>
      <c r="AE229" s="144"/>
    </row>
    <row r="230" spans="3:31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  <c r="AC230" s="144"/>
      <c r="AD230" s="144"/>
      <c r="AE230" s="144"/>
    </row>
    <row r="231" spans="3:31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  <c r="AC231" s="144"/>
      <c r="AD231" s="144"/>
      <c r="AE231" s="144"/>
    </row>
    <row r="232" spans="3:31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  <c r="AC232" s="144"/>
      <c r="AD232" s="144"/>
      <c r="AE232" s="144"/>
    </row>
    <row r="233" spans="3:31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  <c r="AC233" s="144"/>
      <c r="AD233" s="144"/>
      <c r="AE233" s="144"/>
    </row>
    <row r="234" spans="3:31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  <c r="AC234" s="144"/>
      <c r="AD234" s="144"/>
      <c r="AE234" s="144"/>
    </row>
    <row r="235" spans="3:31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</row>
    <row r="236" spans="3:31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  <c r="AC236" s="144"/>
      <c r="AD236" s="144"/>
      <c r="AE236" s="144"/>
    </row>
    <row r="237" spans="3:31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</row>
    <row r="238" spans="3:31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  <c r="AC238" s="144"/>
      <c r="AD238" s="144"/>
      <c r="AE238" s="144"/>
    </row>
    <row r="239" spans="3:31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  <c r="AC239" s="144"/>
      <c r="AD239" s="144"/>
      <c r="AE239" s="144"/>
    </row>
    <row r="240" spans="3:31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  <c r="AC240" s="144"/>
      <c r="AD240" s="144"/>
      <c r="AE240" s="144"/>
    </row>
    <row r="241" spans="3:31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  <c r="AC241" s="144"/>
      <c r="AD241" s="144"/>
      <c r="AE241" s="144"/>
    </row>
    <row r="242" spans="3:31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  <c r="AC242" s="144"/>
      <c r="AD242" s="144"/>
      <c r="AE242" s="144"/>
    </row>
    <row r="243" spans="3:31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  <c r="AC243" s="144"/>
      <c r="AD243" s="144"/>
      <c r="AE243" s="144"/>
    </row>
    <row r="244" spans="3:31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  <c r="AC244" s="144"/>
      <c r="AD244" s="144"/>
      <c r="AE244" s="144"/>
    </row>
    <row r="245" spans="3:31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</row>
    <row r="246" spans="3:31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4"/>
      <c r="AE246" s="144"/>
    </row>
    <row r="247" spans="3:31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  <c r="AC247" s="144"/>
      <c r="AD247" s="144"/>
      <c r="AE247" s="144"/>
    </row>
    <row r="248" spans="3:31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  <c r="AC248" s="144"/>
      <c r="AD248" s="144"/>
      <c r="AE248" s="144"/>
    </row>
    <row r="249" spans="3:31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  <c r="AC249" s="144"/>
      <c r="AD249" s="144"/>
      <c r="AE249" s="144"/>
    </row>
    <row r="250" spans="3:31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</row>
    <row r="251" spans="3:31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  <c r="AC251" s="144"/>
      <c r="AD251" s="144"/>
      <c r="AE251" s="144"/>
    </row>
    <row r="252" spans="3:31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</row>
    <row r="253" spans="3:31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  <c r="AC253" s="144"/>
      <c r="AD253" s="144"/>
      <c r="AE253" s="144"/>
    </row>
    <row r="254" spans="3:31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  <c r="AC254" s="144"/>
      <c r="AD254" s="144"/>
      <c r="AE254" s="144"/>
    </row>
    <row r="255" spans="3:31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  <c r="AC255" s="144"/>
      <c r="AD255" s="144"/>
      <c r="AE255" s="144"/>
    </row>
    <row r="256" spans="3:31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  <c r="AC256" s="144"/>
      <c r="AD256" s="144"/>
      <c r="AE256" s="144"/>
    </row>
    <row r="257" spans="3:31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  <c r="AC257" s="144"/>
      <c r="AD257" s="144"/>
      <c r="AE257" s="144"/>
    </row>
    <row r="258" spans="3:31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</row>
    <row r="259" spans="3:31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  <c r="AC259" s="144"/>
      <c r="AD259" s="144"/>
      <c r="AE259" s="144"/>
    </row>
    <row r="260" spans="3:31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</row>
    <row r="261" spans="3:31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  <c r="AC261" s="144"/>
      <c r="AD261" s="144"/>
      <c r="AE261" s="144"/>
    </row>
    <row r="262" spans="3:31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  <c r="AC262" s="144"/>
      <c r="AD262" s="144"/>
      <c r="AE262" s="144"/>
    </row>
    <row r="263" spans="3:31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  <c r="AC263" s="144"/>
      <c r="AD263" s="144"/>
      <c r="AE263" s="144"/>
    </row>
    <row r="264" spans="3:31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  <c r="AC264" s="144"/>
      <c r="AD264" s="144"/>
      <c r="AE264" s="144"/>
    </row>
    <row r="265" spans="3:31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  <c r="AC265" s="144"/>
      <c r="AD265" s="144"/>
      <c r="AE265" s="144"/>
    </row>
    <row r="266" spans="3:31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  <c r="AC266" s="144"/>
      <c r="AD266" s="144"/>
      <c r="AE266" s="144"/>
    </row>
    <row r="267" spans="3:31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  <c r="AC267" s="144"/>
      <c r="AD267" s="144"/>
      <c r="AE267" s="144"/>
    </row>
    <row r="268" spans="3:31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  <c r="AC268" s="144"/>
      <c r="AD268" s="144"/>
      <c r="AE268" s="144"/>
    </row>
    <row r="269" spans="3:31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  <c r="AC269" s="144"/>
      <c r="AD269" s="144"/>
      <c r="AE269" s="144"/>
    </row>
    <row r="270" spans="3:31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  <c r="AC270" s="144"/>
      <c r="AD270" s="144"/>
      <c r="AE270" s="144"/>
    </row>
    <row r="271" spans="3:31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</row>
    <row r="272" spans="3:31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  <c r="AC272" s="144"/>
      <c r="AD272" s="144"/>
      <c r="AE272" s="144"/>
    </row>
    <row r="273" spans="3:31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  <c r="AC273" s="144"/>
      <c r="AD273" s="144"/>
      <c r="AE273" s="144"/>
    </row>
    <row r="274" spans="3:31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  <c r="AC274" s="144"/>
      <c r="AD274" s="144"/>
      <c r="AE274" s="144"/>
    </row>
    <row r="275" spans="3:31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  <c r="AC275" s="144"/>
      <c r="AD275" s="144"/>
      <c r="AE275" s="144"/>
    </row>
    <row r="276" spans="3:31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  <c r="AC276" s="144"/>
      <c r="AD276" s="144"/>
      <c r="AE276" s="144"/>
    </row>
    <row r="277" spans="3:31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  <c r="AC277" s="144"/>
      <c r="AD277" s="144"/>
      <c r="AE277" s="144"/>
    </row>
    <row r="278" spans="3:31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  <c r="AC278" s="144"/>
      <c r="AD278" s="144"/>
      <c r="AE278" s="144"/>
    </row>
    <row r="279" spans="3:31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  <c r="AC279" s="144"/>
      <c r="AD279" s="144"/>
      <c r="AE279" s="144"/>
    </row>
    <row r="280" spans="3:31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  <c r="AC280" s="144"/>
      <c r="AD280" s="144"/>
      <c r="AE280" s="144"/>
    </row>
    <row r="281" spans="3:31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  <c r="AC281" s="144"/>
      <c r="AD281" s="144"/>
      <c r="AE281" s="144"/>
    </row>
    <row r="282" spans="3:31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  <c r="AC282" s="144"/>
      <c r="AD282" s="144"/>
      <c r="AE282" s="144"/>
    </row>
    <row r="283" spans="3:31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  <c r="AC283" s="144"/>
      <c r="AD283" s="144"/>
      <c r="AE283" s="144"/>
    </row>
    <row r="284" spans="3:31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  <c r="AC284" s="144"/>
      <c r="AD284" s="144"/>
      <c r="AE284" s="144"/>
    </row>
    <row r="285" spans="3:31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  <c r="AC285" s="144"/>
      <c r="AD285" s="144"/>
      <c r="AE285" s="144"/>
    </row>
    <row r="286" spans="3:31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  <c r="AC286" s="144"/>
      <c r="AD286" s="144"/>
      <c r="AE286" s="144"/>
    </row>
    <row r="287" spans="3:31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</row>
    <row r="288" spans="3:31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  <c r="AC288" s="144"/>
      <c r="AD288" s="144"/>
      <c r="AE288" s="144"/>
    </row>
    <row r="289" spans="3:31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  <c r="AC289" s="144"/>
      <c r="AD289" s="144"/>
      <c r="AE289" s="144"/>
    </row>
    <row r="290" spans="3:31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</row>
    <row r="291" spans="3:31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  <c r="AC291" s="144"/>
      <c r="AD291" s="144"/>
      <c r="AE291" s="144"/>
    </row>
    <row r="292" spans="3:31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  <c r="AC292" s="144"/>
      <c r="AD292" s="144"/>
      <c r="AE292" s="144"/>
    </row>
    <row r="293" spans="3:31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  <c r="AC293" s="144"/>
      <c r="AD293" s="144"/>
      <c r="AE293" s="144"/>
    </row>
    <row r="294" spans="3:31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  <c r="AC294" s="144"/>
      <c r="AD294" s="144"/>
      <c r="AE294" s="144"/>
    </row>
    <row r="295" spans="3:31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  <c r="AC295" s="144"/>
      <c r="AD295" s="144"/>
      <c r="AE295" s="144"/>
    </row>
    <row r="296" spans="3:31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  <c r="AC296" s="144"/>
      <c r="AD296" s="144"/>
      <c r="AE296" s="144"/>
    </row>
    <row r="297" spans="3:31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</row>
    <row r="298" spans="3:31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  <c r="AC298" s="144"/>
      <c r="AD298" s="144"/>
      <c r="AE298" s="144"/>
    </row>
    <row r="299" spans="3:31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  <c r="AC299" s="144"/>
      <c r="AD299" s="144"/>
      <c r="AE299" s="144"/>
    </row>
    <row r="300" spans="3:31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  <c r="AC300" s="144"/>
      <c r="AD300" s="144"/>
      <c r="AE300" s="144"/>
    </row>
    <row r="301" spans="3:31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  <c r="AC301" s="144"/>
      <c r="AD301" s="144"/>
      <c r="AE301" s="144"/>
    </row>
    <row r="302" spans="3:31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  <c r="AC302" s="144"/>
      <c r="AD302" s="144"/>
      <c r="AE302" s="144"/>
    </row>
    <row r="303" spans="3:31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  <c r="AC303" s="144"/>
      <c r="AD303" s="144"/>
      <c r="AE303" s="144"/>
    </row>
    <row r="304" spans="3:31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  <c r="AC304" s="144"/>
      <c r="AD304" s="144"/>
      <c r="AE304" s="144"/>
    </row>
    <row r="305" spans="3:31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  <c r="AC305" s="144"/>
      <c r="AD305" s="144"/>
      <c r="AE305" s="144"/>
    </row>
    <row r="306" spans="3:31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  <c r="AC306" s="144"/>
      <c r="AD306" s="144"/>
      <c r="AE306" s="144"/>
    </row>
    <row r="307" spans="3:31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  <c r="AC307" s="144"/>
      <c r="AD307" s="144"/>
      <c r="AE307" s="144"/>
    </row>
    <row r="308" spans="3:31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  <c r="AC308" s="144"/>
      <c r="AD308" s="144"/>
      <c r="AE308" s="144"/>
    </row>
    <row r="309" spans="3:31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  <c r="AC309" s="144"/>
      <c r="AD309" s="144"/>
      <c r="AE309" s="144"/>
    </row>
    <row r="310" spans="3:31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  <c r="AC310" s="144"/>
      <c r="AD310" s="144"/>
      <c r="AE310" s="144"/>
    </row>
    <row r="311" spans="3:31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  <c r="AC311" s="144"/>
      <c r="AD311" s="144"/>
      <c r="AE311" s="144"/>
    </row>
    <row r="312" spans="3:31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  <c r="AC312" s="144"/>
      <c r="AD312" s="144"/>
      <c r="AE312" s="144"/>
    </row>
    <row r="313" spans="3:31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  <c r="AC313" s="144"/>
      <c r="AD313" s="144"/>
      <c r="AE313" s="144"/>
    </row>
    <row r="314" spans="3:31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  <c r="AC314" s="144"/>
      <c r="AD314" s="144"/>
      <c r="AE314" s="144"/>
    </row>
    <row r="315" spans="3:31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  <c r="AC315" s="144"/>
      <c r="AD315" s="144"/>
      <c r="AE315" s="144"/>
    </row>
    <row r="316" spans="3:31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  <c r="AC316" s="144"/>
      <c r="AD316" s="144"/>
      <c r="AE316" s="144"/>
    </row>
    <row r="317" spans="3:31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  <c r="AC317" s="144"/>
      <c r="AD317" s="144"/>
      <c r="AE317" s="144"/>
    </row>
    <row r="318" spans="3:31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  <c r="AC318" s="144"/>
      <c r="AD318" s="144"/>
      <c r="AE318" s="144"/>
    </row>
    <row r="319" spans="3:31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  <c r="AC319" s="144"/>
      <c r="AD319" s="144"/>
      <c r="AE319" s="144"/>
    </row>
    <row r="320" spans="3:31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  <c r="AC320" s="144"/>
      <c r="AD320" s="144"/>
      <c r="AE320" s="144"/>
    </row>
    <row r="321" spans="3:31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  <c r="AC321" s="144"/>
      <c r="AD321" s="144"/>
      <c r="AE321" s="144"/>
    </row>
    <row r="322" spans="3:31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</row>
    <row r="323" spans="3:31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</row>
    <row r="324" spans="3:31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  <c r="AC324" s="144"/>
      <c r="AD324" s="144"/>
      <c r="AE324" s="144"/>
    </row>
    <row r="325" spans="3:31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  <c r="AC325" s="144"/>
      <c r="AD325" s="144"/>
      <c r="AE325" s="144"/>
    </row>
    <row r="326" spans="3:31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  <c r="AC326" s="144"/>
      <c r="AD326" s="144"/>
      <c r="AE326" s="144"/>
    </row>
    <row r="327" spans="3:31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  <c r="AC327" s="144"/>
      <c r="AD327" s="144"/>
      <c r="AE327" s="144"/>
    </row>
    <row r="328" spans="3:31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  <c r="AC328" s="144"/>
      <c r="AD328" s="144"/>
      <c r="AE328" s="144"/>
    </row>
    <row r="329" spans="3:31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  <c r="AC329" s="144"/>
      <c r="AD329" s="144"/>
      <c r="AE329" s="144"/>
    </row>
    <row r="330" spans="3:31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  <c r="AC330" s="144"/>
      <c r="AD330" s="144"/>
      <c r="AE330" s="144"/>
    </row>
    <row r="331" spans="3:31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  <c r="AC331" s="144"/>
      <c r="AD331" s="144"/>
      <c r="AE331" s="144"/>
    </row>
    <row r="332" spans="3:31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  <c r="AA332" s="144"/>
      <c r="AB332" s="144"/>
      <c r="AC332" s="144"/>
      <c r="AD332" s="144"/>
      <c r="AE332" s="144"/>
    </row>
    <row r="333" spans="3:31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  <c r="AC333" s="144"/>
      <c r="AD333" s="144"/>
      <c r="AE333" s="144"/>
    </row>
    <row r="334" spans="3:31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  <c r="AC334" s="144"/>
      <c r="AD334" s="144"/>
      <c r="AE334" s="144"/>
    </row>
    <row r="335" spans="3:31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  <c r="AC335" s="144"/>
      <c r="AD335" s="144"/>
      <c r="AE335" s="144"/>
    </row>
    <row r="336" spans="3:31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  <c r="AC336" s="144"/>
      <c r="AD336" s="144"/>
      <c r="AE336" s="144"/>
    </row>
    <row r="337" spans="3:31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  <c r="AC337" s="144"/>
      <c r="AD337" s="144"/>
      <c r="AE337" s="144"/>
    </row>
    <row r="338" spans="3:31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  <c r="AC338" s="144"/>
      <c r="AD338" s="144"/>
      <c r="AE338" s="144"/>
    </row>
    <row r="339" spans="3:31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  <c r="AC339" s="144"/>
      <c r="AD339" s="144"/>
      <c r="AE339" s="144"/>
    </row>
    <row r="340" spans="3:31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  <c r="AA340" s="144"/>
      <c r="AB340" s="144"/>
      <c r="AC340" s="144"/>
      <c r="AD340" s="144"/>
      <c r="AE340" s="144"/>
    </row>
    <row r="341" spans="3:31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  <c r="AA341" s="144"/>
      <c r="AB341" s="144"/>
      <c r="AC341" s="144"/>
      <c r="AD341" s="144"/>
      <c r="AE341" s="144"/>
    </row>
    <row r="342" spans="3:31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  <c r="AC342" s="144"/>
      <c r="AD342" s="144"/>
      <c r="AE342" s="144"/>
    </row>
    <row r="343" spans="3:31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  <c r="AC343" s="144"/>
      <c r="AD343" s="144"/>
      <c r="AE343" s="144"/>
    </row>
    <row r="344" spans="3:31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  <c r="AC344" s="144"/>
      <c r="AD344" s="144"/>
      <c r="AE344" s="144"/>
    </row>
    <row r="345" spans="3:31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  <c r="AC345" s="144"/>
      <c r="AD345" s="144"/>
      <c r="AE345" s="144"/>
    </row>
    <row r="346" spans="3:31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  <c r="AC346" s="144"/>
      <c r="AD346" s="144"/>
      <c r="AE346" s="144"/>
    </row>
    <row r="347" spans="3:31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  <c r="AC347" s="144"/>
      <c r="AD347" s="144"/>
      <c r="AE347" s="144"/>
    </row>
    <row r="348" spans="3:31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  <c r="AC348" s="144"/>
      <c r="AD348" s="144"/>
      <c r="AE348" s="144"/>
    </row>
    <row r="349" spans="3:31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</row>
    <row r="350" spans="3:31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  <c r="AC350" s="144"/>
      <c r="AD350" s="144"/>
      <c r="AE350" s="144"/>
    </row>
    <row r="351" spans="3:31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  <c r="AC351" s="144"/>
      <c r="AD351" s="144"/>
      <c r="AE351" s="144"/>
    </row>
    <row r="352" spans="3:31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  <c r="AC352" s="144"/>
      <c r="AD352" s="144"/>
      <c r="AE352" s="144"/>
    </row>
    <row r="353" spans="3:31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  <c r="AC353" s="144"/>
      <c r="AD353" s="144"/>
      <c r="AE353" s="144"/>
    </row>
    <row r="354" spans="3:31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</row>
    <row r="355" spans="3:31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  <c r="AC355" s="144"/>
      <c r="AD355" s="144"/>
      <c r="AE355" s="144"/>
    </row>
    <row r="356" spans="3:31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  <c r="AC356" s="144"/>
      <c r="AD356" s="144"/>
      <c r="AE356" s="144"/>
    </row>
    <row r="357" spans="3:31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  <c r="AC357" s="144"/>
      <c r="AD357" s="144"/>
      <c r="AE357" s="144"/>
    </row>
    <row r="358" spans="3:31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  <c r="AC358" s="144"/>
      <c r="AD358" s="144"/>
      <c r="AE358" s="144"/>
    </row>
    <row r="359" spans="3:31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  <c r="AC359" s="144"/>
      <c r="AD359" s="144"/>
      <c r="AE359" s="144"/>
    </row>
    <row r="360" spans="3:31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  <c r="AC360" s="144"/>
      <c r="AD360" s="144"/>
      <c r="AE360" s="144"/>
    </row>
    <row r="361" spans="3:31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  <c r="AC361" s="144"/>
      <c r="AD361" s="144"/>
      <c r="AE361" s="144"/>
    </row>
    <row r="362" spans="3:31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  <c r="AC362" s="144"/>
      <c r="AD362" s="144"/>
      <c r="AE362" s="144"/>
    </row>
    <row r="363" spans="3:31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  <c r="AC363" s="144"/>
      <c r="AD363" s="144"/>
      <c r="AE363" s="144"/>
    </row>
    <row r="364" spans="3:31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  <c r="AC364" s="144"/>
      <c r="AD364" s="144"/>
      <c r="AE364" s="144"/>
    </row>
    <row r="365" spans="3:31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  <c r="AC365" s="144"/>
      <c r="AD365" s="144"/>
      <c r="AE365" s="144"/>
    </row>
    <row r="366" spans="3:31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  <c r="AC366" s="144"/>
      <c r="AD366" s="144"/>
      <c r="AE366" s="144"/>
    </row>
    <row r="367" spans="3:31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  <c r="AC367" s="144"/>
      <c r="AD367" s="144"/>
      <c r="AE367" s="144"/>
    </row>
    <row r="368" spans="3:31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  <c r="AC368" s="144"/>
      <c r="AD368" s="144"/>
      <c r="AE368" s="144"/>
    </row>
    <row r="369" spans="3:31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  <c r="AC369" s="144"/>
      <c r="AD369" s="144"/>
      <c r="AE369" s="144"/>
    </row>
    <row r="370" spans="3:31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  <c r="AC370" s="144"/>
      <c r="AD370" s="144"/>
      <c r="AE370" s="144"/>
    </row>
    <row r="371" spans="3:31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  <c r="AC371" s="144"/>
      <c r="AD371" s="144"/>
      <c r="AE371" s="144"/>
    </row>
    <row r="372" spans="3:31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  <c r="AC372" s="144"/>
      <c r="AD372" s="144"/>
      <c r="AE372" s="144"/>
    </row>
    <row r="373" spans="3:31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  <c r="AC373" s="144"/>
      <c r="AD373" s="144"/>
      <c r="AE373" s="144"/>
    </row>
    <row r="374" spans="3:31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  <c r="AC374" s="144"/>
      <c r="AD374" s="144"/>
      <c r="AE374" s="144"/>
    </row>
    <row r="375" spans="3:31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</row>
    <row r="376" spans="3:31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  <c r="AC376" s="144"/>
      <c r="AD376" s="144"/>
      <c r="AE376" s="144"/>
    </row>
    <row r="377" spans="3:31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  <c r="AC377" s="144"/>
      <c r="AD377" s="144"/>
      <c r="AE377" s="144"/>
    </row>
    <row r="378" spans="3:31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  <c r="AC378" s="144"/>
      <c r="AD378" s="144"/>
      <c r="AE378" s="144"/>
    </row>
    <row r="379" spans="3:31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  <c r="AC379" s="144"/>
      <c r="AD379" s="144"/>
      <c r="AE379" s="144"/>
    </row>
    <row r="380" spans="3:31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  <c r="AC380" s="144"/>
      <c r="AD380" s="144"/>
      <c r="AE380" s="144"/>
    </row>
    <row r="381" spans="3:31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  <c r="AC381" s="144"/>
      <c r="AD381" s="144"/>
      <c r="AE381" s="144"/>
    </row>
    <row r="382" spans="3:31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  <c r="AC382" s="144"/>
      <c r="AD382" s="144"/>
      <c r="AE382" s="144"/>
    </row>
    <row r="383" spans="3:31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  <c r="AC383" s="144"/>
      <c r="AD383" s="144"/>
      <c r="AE383" s="144"/>
    </row>
    <row r="384" spans="3:31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  <c r="AC384" s="144"/>
      <c r="AD384" s="144"/>
      <c r="AE384" s="144"/>
    </row>
    <row r="385" spans="3:31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  <c r="AC385" s="144"/>
      <c r="AD385" s="144"/>
      <c r="AE385" s="144"/>
    </row>
    <row r="386" spans="3:31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</row>
    <row r="387" spans="3:31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  <c r="AC387" s="144"/>
      <c r="AD387" s="144"/>
      <c r="AE387" s="144"/>
    </row>
    <row r="388" spans="3:31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  <c r="AC388" s="144"/>
      <c r="AD388" s="144"/>
      <c r="AE388" s="144"/>
    </row>
    <row r="389" spans="3:31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  <c r="AC389" s="144"/>
      <c r="AD389" s="144"/>
      <c r="AE389" s="144"/>
    </row>
    <row r="390" spans="3:31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  <c r="AC390" s="144"/>
      <c r="AD390" s="144"/>
      <c r="AE390" s="144"/>
    </row>
    <row r="391" spans="3:31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  <c r="AC391" s="144"/>
      <c r="AD391" s="144"/>
      <c r="AE391" s="144"/>
    </row>
    <row r="392" spans="3:31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  <c r="AC392" s="144"/>
      <c r="AD392" s="144"/>
      <c r="AE392" s="144"/>
    </row>
    <row r="393" spans="3:31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  <c r="AC393" s="144"/>
      <c r="AD393" s="144"/>
      <c r="AE393" s="144"/>
    </row>
    <row r="394" spans="3:31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  <c r="AC394" s="144"/>
      <c r="AD394" s="144"/>
      <c r="AE394" s="144"/>
    </row>
    <row r="395" spans="3:31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  <c r="AC395" s="144"/>
      <c r="AD395" s="144"/>
      <c r="AE395" s="144"/>
    </row>
    <row r="396" spans="3:31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  <c r="AC396" s="144"/>
      <c r="AD396" s="144"/>
      <c r="AE396" s="144"/>
    </row>
    <row r="397" spans="3:31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  <c r="AC397" s="144"/>
      <c r="AD397" s="144"/>
      <c r="AE397" s="144"/>
    </row>
    <row r="398" spans="3:31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  <c r="AC398" s="144"/>
      <c r="AD398" s="144"/>
      <c r="AE398" s="144"/>
    </row>
    <row r="399" spans="3:31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  <c r="AC399" s="144"/>
      <c r="AD399" s="144"/>
      <c r="AE399" s="144"/>
    </row>
    <row r="400" spans="3:31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  <c r="AC400" s="144"/>
      <c r="AD400" s="144"/>
      <c r="AE400" s="144"/>
    </row>
    <row r="401" spans="3:31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</row>
    <row r="402" spans="3:31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  <c r="AC402" s="144"/>
      <c r="AD402" s="144"/>
      <c r="AE402" s="144"/>
    </row>
    <row r="403" spans="3:31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  <c r="AC403" s="144"/>
      <c r="AD403" s="144"/>
      <c r="AE403" s="144"/>
    </row>
    <row r="404" spans="3:31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  <c r="AC404" s="144"/>
      <c r="AD404" s="144"/>
      <c r="AE404" s="144"/>
    </row>
    <row r="405" spans="3:31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  <c r="AC405" s="144"/>
      <c r="AD405" s="144"/>
      <c r="AE405" s="144"/>
    </row>
    <row r="406" spans="3:31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  <c r="AC406" s="144"/>
      <c r="AD406" s="144"/>
      <c r="AE406" s="144"/>
    </row>
    <row r="407" spans="3:31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  <c r="AC407" s="144"/>
      <c r="AD407" s="144"/>
      <c r="AE407" s="144"/>
    </row>
    <row r="408" spans="3:31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  <c r="AC408" s="144"/>
      <c r="AD408" s="144"/>
      <c r="AE408" s="144"/>
    </row>
    <row r="409" spans="3:31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  <c r="AC409" s="144"/>
      <c r="AD409" s="144"/>
      <c r="AE409" s="144"/>
    </row>
    <row r="410" spans="3:31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  <c r="AC410" s="144"/>
      <c r="AD410" s="144"/>
      <c r="AE410" s="144"/>
    </row>
    <row r="411" spans="3:31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  <c r="AC411" s="144"/>
      <c r="AD411" s="144"/>
      <c r="AE411" s="144"/>
    </row>
    <row r="412" spans="3:31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  <c r="AC412" s="144"/>
      <c r="AD412" s="144"/>
      <c r="AE412" s="144"/>
    </row>
    <row r="413" spans="3:31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  <c r="AC413" s="144"/>
      <c r="AD413" s="144"/>
      <c r="AE413" s="144"/>
    </row>
    <row r="414" spans="3:31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  <c r="AC414" s="144"/>
      <c r="AD414" s="144"/>
      <c r="AE414" s="144"/>
    </row>
    <row r="415" spans="3:31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  <c r="AC415" s="144"/>
      <c r="AD415" s="144"/>
      <c r="AE415" s="144"/>
    </row>
    <row r="416" spans="3:31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  <c r="AC416" s="144"/>
      <c r="AD416" s="144"/>
      <c r="AE416" s="144"/>
    </row>
    <row r="417" spans="3:31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  <c r="AC417" s="144"/>
      <c r="AD417" s="144"/>
      <c r="AE417" s="144"/>
    </row>
    <row r="418" spans="3:31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</row>
    <row r="419" spans="3:31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  <c r="AC419" s="144"/>
      <c r="AD419" s="144"/>
      <c r="AE419" s="144"/>
    </row>
    <row r="420" spans="3:31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  <c r="AC420" s="144"/>
      <c r="AD420" s="144"/>
      <c r="AE420" s="144"/>
    </row>
    <row r="421" spans="3:31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  <c r="AC421" s="144"/>
      <c r="AD421" s="144"/>
      <c r="AE421" s="144"/>
    </row>
    <row r="422" spans="3:31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  <c r="AC422" s="144"/>
      <c r="AD422" s="144"/>
      <c r="AE422" s="144"/>
    </row>
    <row r="423" spans="3:31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  <c r="AC423" s="144"/>
      <c r="AD423" s="144"/>
      <c r="AE423" s="144"/>
    </row>
    <row r="424" spans="3:31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  <c r="AC424" s="144"/>
      <c r="AD424" s="144"/>
      <c r="AE424" s="144"/>
    </row>
    <row r="425" spans="3:31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  <c r="AC425" s="144"/>
      <c r="AD425" s="144"/>
      <c r="AE425" s="144"/>
    </row>
    <row r="426" spans="3:31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  <c r="AC426" s="144"/>
      <c r="AD426" s="144"/>
      <c r="AE426" s="144"/>
    </row>
    <row r="427" spans="3:31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  <c r="AC427" s="144"/>
      <c r="AD427" s="144"/>
      <c r="AE427" s="144"/>
    </row>
    <row r="428" spans="3:31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  <c r="AC428" s="144"/>
      <c r="AD428" s="144"/>
      <c r="AE428" s="144"/>
    </row>
    <row r="429" spans="3:31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  <c r="AC429" s="144"/>
      <c r="AD429" s="144"/>
      <c r="AE429" s="144"/>
    </row>
    <row r="430" spans="3:31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  <c r="AC430" s="144"/>
      <c r="AD430" s="144"/>
      <c r="AE430" s="144"/>
    </row>
    <row r="431" spans="3:31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  <c r="AC431" s="144"/>
      <c r="AD431" s="144"/>
      <c r="AE431" s="144"/>
    </row>
    <row r="432" spans="3:31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  <c r="AC432" s="144"/>
      <c r="AD432" s="144"/>
      <c r="AE432" s="144"/>
    </row>
    <row r="433" spans="3:31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  <c r="AC433" s="144"/>
      <c r="AD433" s="144"/>
      <c r="AE433" s="144"/>
    </row>
    <row r="434" spans="3:31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  <c r="AC434" s="144"/>
      <c r="AD434" s="144"/>
      <c r="AE434" s="144"/>
    </row>
    <row r="435" spans="3:31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  <c r="AC435" s="144"/>
      <c r="AD435" s="144"/>
      <c r="AE435" s="144"/>
    </row>
    <row r="436" spans="3:31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  <c r="AC436" s="144"/>
      <c r="AD436" s="144"/>
      <c r="AE436" s="144"/>
    </row>
    <row r="437" spans="3:31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  <c r="AC437" s="144"/>
      <c r="AD437" s="144"/>
      <c r="AE437" s="144"/>
    </row>
    <row r="438" spans="3:31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  <c r="AC438" s="144"/>
      <c r="AD438" s="144"/>
      <c r="AE438" s="144"/>
    </row>
    <row r="439" spans="3:31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  <c r="AC439" s="144"/>
      <c r="AD439" s="144"/>
      <c r="AE439" s="144"/>
    </row>
    <row r="440" spans="3:31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  <c r="AC440" s="144"/>
      <c r="AD440" s="144"/>
      <c r="AE440" s="144"/>
    </row>
    <row r="441" spans="3:31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  <c r="AC441" s="144"/>
      <c r="AD441" s="144"/>
      <c r="AE441" s="144"/>
    </row>
    <row r="442" spans="3:31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  <c r="AC442" s="144"/>
      <c r="AD442" s="144"/>
      <c r="AE442" s="144"/>
    </row>
    <row r="443" spans="3:31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  <c r="AC443" s="144"/>
      <c r="AD443" s="144"/>
      <c r="AE443" s="144"/>
    </row>
    <row r="444" spans="3:31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  <c r="AC444" s="144"/>
      <c r="AD444" s="144"/>
      <c r="AE444" s="144"/>
    </row>
    <row r="445" spans="3:31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  <c r="AC445" s="144"/>
      <c r="AD445" s="144"/>
      <c r="AE445" s="144"/>
    </row>
    <row r="446" spans="3:31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  <c r="AC446" s="144"/>
      <c r="AD446" s="144"/>
      <c r="AE446" s="144"/>
    </row>
    <row r="447" spans="3:31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  <c r="AC447" s="144"/>
      <c r="AD447" s="144"/>
      <c r="AE447" s="144"/>
    </row>
    <row r="448" spans="3:31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  <c r="AC448" s="144"/>
      <c r="AD448" s="144"/>
      <c r="AE448" s="144"/>
    </row>
    <row r="449" spans="3:31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  <c r="AC449" s="144"/>
      <c r="AD449" s="144"/>
      <c r="AE449" s="144"/>
    </row>
    <row r="450" spans="3:31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</row>
    <row r="451" spans="3:31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  <c r="AC451" s="144"/>
      <c r="AD451" s="144"/>
      <c r="AE451" s="144"/>
    </row>
    <row r="452" spans="3:31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  <c r="AC452" s="144"/>
      <c r="AD452" s="144"/>
      <c r="AE452" s="144"/>
    </row>
    <row r="453" spans="3:31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  <c r="AC453" s="144"/>
      <c r="AD453" s="144"/>
      <c r="AE453" s="144"/>
    </row>
    <row r="454" spans="3:31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  <c r="AC454" s="144"/>
      <c r="AD454" s="144"/>
      <c r="AE454" s="144"/>
    </row>
    <row r="455" spans="3:31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  <c r="AC455" s="144"/>
      <c r="AD455" s="144"/>
      <c r="AE455" s="144"/>
    </row>
    <row r="456" spans="3:31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  <c r="AC456" s="144"/>
      <c r="AD456" s="144"/>
      <c r="AE456" s="144"/>
    </row>
    <row r="457" spans="3:31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  <c r="AC457" s="144"/>
      <c r="AD457" s="144"/>
      <c r="AE457" s="144"/>
    </row>
    <row r="458" spans="3:31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  <c r="AC458" s="144"/>
      <c r="AD458" s="144"/>
      <c r="AE458" s="144"/>
    </row>
    <row r="459" spans="3:31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  <c r="AC459" s="144"/>
      <c r="AD459" s="144"/>
      <c r="AE459" s="144"/>
    </row>
    <row r="460" spans="3:31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  <c r="AC460" s="144"/>
      <c r="AD460" s="144"/>
      <c r="AE460" s="144"/>
    </row>
    <row r="461" spans="3:31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  <c r="AC461" s="144"/>
      <c r="AD461" s="144"/>
      <c r="AE461" s="144"/>
    </row>
    <row r="462" spans="3:31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  <c r="AC462" s="144"/>
      <c r="AD462" s="144"/>
      <c r="AE462" s="144"/>
    </row>
    <row r="463" spans="3:31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  <c r="AC463" s="144"/>
      <c r="AD463" s="144"/>
      <c r="AE463" s="144"/>
    </row>
    <row r="464" spans="3:31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  <c r="AC464" s="144"/>
      <c r="AD464" s="144"/>
      <c r="AE464" s="144"/>
    </row>
    <row r="465" spans="3:31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  <c r="AC465" s="144"/>
      <c r="AD465" s="144"/>
      <c r="AE465" s="144"/>
    </row>
    <row r="466" spans="3:31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  <c r="AC466" s="144"/>
      <c r="AD466" s="144"/>
      <c r="AE466" s="144"/>
    </row>
    <row r="467" spans="3:31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  <c r="AC467" s="144"/>
      <c r="AD467" s="144"/>
      <c r="AE467" s="144"/>
    </row>
    <row r="468" spans="3:31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  <c r="AC468" s="144"/>
      <c r="AD468" s="144"/>
      <c r="AE468" s="144"/>
    </row>
    <row r="469" spans="3:31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  <c r="AC469" s="144"/>
      <c r="AD469" s="144"/>
      <c r="AE469" s="144"/>
    </row>
    <row r="470" spans="3:31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  <c r="AC470" s="144"/>
      <c r="AD470" s="144"/>
      <c r="AE470" s="144"/>
    </row>
    <row r="471" spans="3:31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  <c r="AC471" s="144"/>
      <c r="AD471" s="144"/>
      <c r="AE471" s="144"/>
    </row>
    <row r="472" spans="3:31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  <c r="AC472" s="144"/>
      <c r="AD472" s="144"/>
      <c r="AE472" s="144"/>
    </row>
    <row r="473" spans="3:31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  <c r="AC473" s="144"/>
      <c r="AD473" s="144"/>
      <c r="AE473" s="144"/>
    </row>
    <row r="474" spans="3:31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  <c r="AC474" s="144"/>
      <c r="AD474" s="144"/>
      <c r="AE474" s="144"/>
    </row>
    <row r="475" spans="3:31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  <c r="AC475" s="144"/>
      <c r="AD475" s="144"/>
      <c r="AE475" s="144"/>
    </row>
    <row r="476" spans="3:31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  <c r="AC476" s="144"/>
      <c r="AD476" s="144"/>
      <c r="AE476" s="144"/>
    </row>
    <row r="477" spans="3:31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  <c r="AC477" s="144"/>
      <c r="AD477" s="144"/>
      <c r="AE477" s="144"/>
    </row>
    <row r="478" spans="3:31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  <c r="AC478" s="144"/>
      <c r="AD478" s="144"/>
      <c r="AE478" s="144"/>
    </row>
    <row r="479" spans="3:31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  <c r="AC479" s="144"/>
      <c r="AD479" s="144"/>
      <c r="AE479" s="144"/>
    </row>
    <row r="480" spans="3:31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  <c r="AC480" s="144"/>
      <c r="AD480" s="144"/>
      <c r="AE480" s="144"/>
    </row>
    <row r="481" spans="3:31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  <c r="AC481" s="144"/>
      <c r="AD481" s="144"/>
      <c r="AE481" s="144"/>
    </row>
    <row r="482" spans="3:31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</row>
    <row r="483" spans="3:31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</row>
    <row r="484" spans="3:31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  <c r="AC484" s="144"/>
      <c r="AD484" s="144"/>
      <c r="AE484" s="144"/>
    </row>
    <row r="485" spans="3:31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  <c r="AC485" s="144"/>
      <c r="AD485" s="144"/>
      <c r="AE485" s="144"/>
    </row>
    <row r="486" spans="3:31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  <c r="AC486" s="144"/>
      <c r="AD486" s="144"/>
      <c r="AE486" s="144"/>
    </row>
    <row r="487" spans="3:31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  <c r="AC487" s="144"/>
      <c r="AD487" s="144"/>
      <c r="AE487" s="144"/>
    </row>
    <row r="488" spans="3:31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  <c r="AC488" s="144"/>
      <c r="AD488" s="144"/>
      <c r="AE488" s="144"/>
    </row>
    <row r="489" spans="3:31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  <c r="AC489" s="144"/>
      <c r="AD489" s="144"/>
      <c r="AE489" s="144"/>
    </row>
    <row r="490" spans="3:31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  <c r="AC490" s="144"/>
      <c r="AD490" s="144"/>
      <c r="AE490" s="144"/>
    </row>
    <row r="491" spans="3:31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  <c r="AC491" s="144"/>
      <c r="AD491" s="144"/>
      <c r="AE491" s="144"/>
    </row>
    <row r="492" spans="3:31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</row>
    <row r="493" spans="3:31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  <c r="AC493" s="144"/>
      <c r="AD493" s="144"/>
      <c r="AE493" s="144"/>
    </row>
    <row r="494" spans="3:31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  <c r="AC494" s="144"/>
      <c r="AD494" s="144"/>
      <c r="AE494" s="144"/>
    </row>
    <row r="495" spans="3:31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  <c r="AC495" s="144"/>
      <c r="AD495" s="144"/>
      <c r="AE495" s="144"/>
    </row>
    <row r="496" spans="3:31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  <c r="AC496" s="144"/>
      <c r="AD496" s="144"/>
      <c r="AE496" s="144"/>
    </row>
    <row r="497" spans="3:31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  <c r="AC497" s="144"/>
      <c r="AD497" s="144"/>
      <c r="AE497" s="144"/>
    </row>
    <row r="498" spans="3:31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  <c r="AC498" s="144"/>
      <c r="AD498" s="144"/>
      <c r="AE498" s="144"/>
    </row>
    <row r="499" spans="3:31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  <c r="AC499" s="144"/>
      <c r="AD499" s="144"/>
      <c r="AE499" s="144"/>
    </row>
    <row r="500" spans="3:31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  <c r="AC500" s="144"/>
      <c r="AD500" s="144"/>
      <c r="AE500" s="144"/>
    </row>
    <row r="501" spans="3:31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  <c r="AC501" s="144"/>
      <c r="AD501" s="144"/>
      <c r="AE501" s="144"/>
    </row>
    <row r="502" spans="3:31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  <c r="AC502" s="144"/>
      <c r="AD502" s="144"/>
      <c r="AE502" s="144"/>
    </row>
    <row r="503" spans="3:31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  <c r="AC503" s="144"/>
      <c r="AD503" s="144"/>
      <c r="AE503" s="144"/>
    </row>
    <row r="504" spans="3:31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  <c r="AC504" s="144"/>
      <c r="AD504" s="144"/>
      <c r="AE504" s="144"/>
    </row>
    <row r="505" spans="3:31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  <c r="AC505" s="144"/>
      <c r="AD505" s="144"/>
      <c r="AE505" s="144"/>
    </row>
    <row r="506" spans="3:31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  <c r="AC506" s="144"/>
      <c r="AD506" s="144"/>
      <c r="AE506" s="144"/>
    </row>
    <row r="507" spans="3:31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  <c r="AC507" s="144"/>
      <c r="AD507" s="144"/>
      <c r="AE507" s="144"/>
    </row>
    <row r="508" spans="3:31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  <c r="AC508" s="144"/>
      <c r="AD508" s="144"/>
      <c r="AE508" s="144"/>
    </row>
    <row r="509" spans="3:31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  <c r="AC509" s="144"/>
      <c r="AD509" s="144"/>
      <c r="AE509" s="144"/>
    </row>
    <row r="510" spans="3:31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  <c r="AC510" s="144"/>
      <c r="AD510" s="144"/>
      <c r="AE510" s="144"/>
    </row>
    <row r="511" spans="3:31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  <c r="AC511" s="144"/>
      <c r="AD511" s="144"/>
      <c r="AE511" s="144"/>
    </row>
    <row r="512" spans="3:31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  <c r="AC512" s="144"/>
      <c r="AD512" s="144"/>
      <c r="AE512" s="144"/>
    </row>
    <row r="513" spans="3:31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  <c r="AC513" s="144"/>
      <c r="AD513" s="144"/>
      <c r="AE513" s="144"/>
    </row>
    <row r="514" spans="3:31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  <c r="AC514" s="144"/>
      <c r="AD514" s="144"/>
      <c r="AE514" s="144"/>
    </row>
    <row r="515" spans="3:31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</row>
    <row r="516" spans="3:31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  <c r="AC516" s="144"/>
      <c r="AD516" s="144"/>
      <c r="AE516" s="144"/>
    </row>
    <row r="517" spans="3:31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  <c r="AC517" s="144"/>
      <c r="AD517" s="144"/>
      <c r="AE517" s="144"/>
    </row>
    <row r="518" spans="3:31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  <c r="AC518" s="144"/>
      <c r="AD518" s="144"/>
      <c r="AE518" s="144"/>
    </row>
    <row r="519" spans="3:31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  <c r="AC519" s="144"/>
      <c r="AD519" s="144"/>
      <c r="AE519" s="144"/>
    </row>
    <row r="520" spans="3:31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  <c r="AC520" s="144"/>
      <c r="AD520" s="144"/>
      <c r="AE520" s="144"/>
    </row>
    <row r="521" spans="3:31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  <c r="AC521" s="144"/>
      <c r="AD521" s="144"/>
      <c r="AE521" s="144"/>
    </row>
    <row r="522" spans="3:31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  <c r="AC522" s="144"/>
      <c r="AD522" s="144"/>
      <c r="AE522" s="144"/>
    </row>
    <row r="523" spans="3:31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  <c r="AC523" s="144"/>
      <c r="AD523" s="144"/>
      <c r="AE523" s="144"/>
    </row>
    <row r="524" spans="3:31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</row>
    <row r="525" spans="3:31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  <c r="AC525" s="144"/>
      <c r="AD525" s="144"/>
      <c r="AE525" s="144"/>
    </row>
    <row r="526" spans="3:31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  <c r="AC526" s="144"/>
      <c r="AD526" s="144"/>
      <c r="AE526" s="144"/>
    </row>
    <row r="527" spans="3:31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  <c r="AC527" s="144"/>
      <c r="AD527" s="144"/>
      <c r="AE527" s="144"/>
    </row>
    <row r="528" spans="3:31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  <c r="AC528" s="144"/>
      <c r="AD528" s="144"/>
      <c r="AE528" s="144"/>
    </row>
    <row r="529" spans="3:31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  <c r="AC529" s="144"/>
      <c r="AD529" s="144"/>
      <c r="AE529" s="144"/>
    </row>
    <row r="530" spans="3:31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  <c r="AC530" s="144"/>
      <c r="AD530" s="144"/>
      <c r="AE530" s="144"/>
    </row>
    <row r="531" spans="3:31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  <c r="AC531" s="144"/>
      <c r="AD531" s="144"/>
      <c r="AE531" s="144"/>
    </row>
    <row r="532" spans="3:31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  <c r="AC532" s="144"/>
      <c r="AD532" s="144"/>
      <c r="AE532" s="144"/>
    </row>
    <row r="533" spans="3:31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  <c r="AC533" s="144"/>
      <c r="AD533" s="144"/>
      <c r="AE533" s="144"/>
    </row>
    <row r="534" spans="3:31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  <c r="AC534" s="144"/>
      <c r="AD534" s="144"/>
      <c r="AE534" s="144"/>
    </row>
    <row r="535" spans="3:31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  <c r="AC535" s="144"/>
      <c r="AD535" s="144"/>
      <c r="AE535" s="144"/>
    </row>
    <row r="536" spans="3:31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  <c r="AC536" s="144"/>
      <c r="AD536" s="144"/>
      <c r="AE536" s="144"/>
    </row>
    <row r="537" spans="3:31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  <c r="AC537" s="144"/>
      <c r="AD537" s="144"/>
      <c r="AE537" s="144"/>
    </row>
    <row r="538" spans="3:31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</row>
    <row r="539" spans="3:31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  <c r="AC539" s="144"/>
      <c r="AD539" s="144"/>
      <c r="AE539" s="144"/>
    </row>
    <row r="540" spans="3:31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  <c r="AC540" s="144"/>
      <c r="AD540" s="144"/>
      <c r="AE540" s="144"/>
    </row>
    <row r="541" spans="3:31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  <c r="AC541" s="144"/>
      <c r="AD541" s="144"/>
      <c r="AE541" s="144"/>
    </row>
    <row r="542" spans="3:31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  <c r="AC542" s="144"/>
      <c r="AD542" s="144"/>
      <c r="AE542" s="144"/>
    </row>
    <row r="543" spans="3:31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  <c r="AC543" s="144"/>
      <c r="AD543" s="144"/>
      <c r="AE543" s="144"/>
    </row>
    <row r="544" spans="3:31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  <c r="AC544" s="144"/>
      <c r="AD544" s="144"/>
      <c r="AE544" s="144"/>
    </row>
    <row r="545" spans="3:31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  <c r="AC545" s="144"/>
      <c r="AD545" s="144"/>
      <c r="AE545" s="144"/>
    </row>
    <row r="546" spans="3:31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  <c r="AC546" s="144"/>
      <c r="AD546" s="144"/>
      <c r="AE546" s="144"/>
    </row>
    <row r="547" spans="3:31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  <c r="AC547" s="144"/>
      <c r="AD547" s="144"/>
      <c r="AE547" s="144"/>
    </row>
    <row r="548" spans="3:31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  <c r="AC548" s="144"/>
      <c r="AD548" s="144"/>
      <c r="AE548" s="144"/>
    </row>
    <row r="549" spans="3:31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</row>
    <row r="550" spans="3:31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  <c r="AC550" s="144"/>
      <c r="AD550" s="144"/>
      <c r="AE550" s="144"/>
    </row>
    <row r="551" spans="3:31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  <c r="AC551" s="144"/>
      <c r="AD551" s="144"/>
      <c r="AE551" s="144"/>
    </row>
    <row r="552" spans="3:31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  <c r="AC552" s="144"/>
      <c r="AD552" s="144"/>
      <c r="AE552" s="144"/>
    </row>
    <row r="553" spans="3:31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  <c r="AC553" s="144"/>
      <c r="AD553" s="144"/>
      <c r="AE553" s="144"/>
    </row>
    <row r="554" spans="3:31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  <c r="AC554" s="144"/>
      <c r="AD554" s="144"/>
      <c r="AE554" s="144"/>
    </row>
    <row r="555" spans="3:31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  <c r="AC555" s="144"/>
      <c r="AD555" s="144"/>
      <c r="AE555" s="144"/>
    </row>
    <row r="556" spans="3:31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  <c r="AC556" s="144"/>
      <c r="AD556" s="144"/>
      <c r="AE556" s="144"/>
    </row>
    <row r="557" spans="3:31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  <c r="AC557" s="144"/>
      <c r="AD557" s="144"/>
      <c r="AE557" s="144"/>
    </row>
    <row r="558" spans="3:31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  <c r="AC558" s="144"/>
      <c r="AD558" s="144"/>
      <c r="AE558" s="144"/>
    </row>
    <row r="559" spans="3:31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  <c r="AC559" s="144"/>
      <c r="AD559" s="144"/>
      <c r="AE559" s="144"/>
    </row>
    <row r="560" spans="3:31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  <c r="AC560" s="144"/>
      <c r="AD560" s="144"/>
      <c r="AE560" s="144"/>
    </row>
    <row r="561" spans="3:31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  <c r="AC561" s="144"/>
      <c r="AD561" s="144"/>
      <c r="AE561" s="144"/>
    </row>
    <row r="562" spans="3:31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  <c r="AC562" s="144"/>
      <c r="AD562" s="144"/>
      <c r="AE562" s="144"/>
    </row>
    <row r="563" spans="3:31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  <c r="AC563" s="144"/>
      <c r="AD563" s="144"/>
      <c r="AE563" s="144"/>
    </row>
    <row r="564" spans="3:31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  <c r="AC564" s="144"/>
      <c r="AD564" s="144"/>
      <c r="AE564" s="144"/>
    </row>
    <row r="565" spans="3:31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  <c r="AC565" s="144"/>
      <c r="AD565" s="144"/>
      <c r="AE565" s="144"/>
    </row>
    <row r="566" spans="3:31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  <c r="AC566" s="144"/>
      <c r="AD566" s="144"/>
      <c r="AE566" s="144"/>
    </row>
    <row r="567" spans="3:31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  <c r="AC567" s="144"/>
      <c r="AD567" s="144"/>
      <c r="AE567" s="144"/>
    </row>
    <row r="568" spans="3:31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  <c r="AC568" s="144"/>
      <c r="AD568" s="144"/>
      <c r="AE568" s="144"/>
    </row>
    <row r="569" spans="3:31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  <c r="AC569" s="144"/>
      <c r="AD569" s="144"/>
      <c r="AE569" s="144"/>
    </row>
    <row r="570" spans="3:31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  <c r="AC570" s="144"/>
      <c r="AD570" s="144"/>
      <c r="AE570" s="144"/>
    </row>
    <row r="571" spans="3:31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  <c r="AC571" s="144"/>
      <c r="AD571" s="144"/>
      <c r="AE571" s="144"/>
    </row>
    <row r="572" spans="3:31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  <c r="AC572" s="144"/>
      <c r="AD572" s="144"/>
      <c r="AE572" s="144"/>
    </row>
    <row r="573" spans="3:31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  <c r="AC573" s="144"/>
      <c r="AD573" s="144"/>
      <c r="AE573" s="144"/>
    </row>
    <row r="574" spans="3:31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  <c r="AC574" s="144"/>
      <c r="AD574" s="144"/>
      <c r="AE574" s="144"/>
    </row>
    <row r="575" spans="3:31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  <c r="AC575" s="144"/>
      <c r="AD575" s="144"/>
      <c r="AE575" s="144"/>
    </row>
    <row r="576" spans="3:31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  <c r="AC576" s="144"/>
      <c r="AD576" s="144"/>
      <c r="AE576" s="144"/>
    </row>
    <row r="577" spans="3:31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</row>
    <row r="578" spans="3:31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  <c r="AC578" s="144"/>
      <c r="AD578" s="144"/>
      <c r="AE578" s="144"/>
    </row>
    <row r="579" spans="3:31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  <c r="AC579" s="144"/>
      <c r="AD579" s="144"/>
      <c r="AE579" s="144"/>
    </row>
    <row r="580" spans="3:31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  <c r="AC580" s="144"/>
      <c r="AD580" s="144"/>
      <c r="AE580" s="144"/>
    </row>
    <row r="581" spans="3:31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  <c r="AC581" s="144"/>
      <c r="AD581" s="144"/>
      <c r="AE581" s="144"/>
    </row>
    <row r="582" spans="3:31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  <c r="AC582" s="144"/>
      <c r="AD582" s="144"/>
      <c r="AE582" s="144"/>
    </row>
    <row r="583" spans="3:31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</row>
    <row r="584" spans="3:31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  <c r="AC584" s="144"/>
      <c r="AD584" s="144"/>
      <c r="AE584" s="144"/>
    </row>
    <row r="585" spans="3:31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  <c r="AC585" s="144"/>
      <c r="AD585" s="144"/>
      <c r="AE585" s="144"/>
    </row>
    <row r="586" spans="3:31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  <c r="AC586" s="144"/>
      <c r="AD586" s="144"/>
      <c r="AE586" s="144"/>
    </row>
    <row r="587" spans="3:31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  <c r="AC587" s="144"/>
      <c r="AD587" s="144"/>
      <c r="AE587" s="144"/>
    </row>
    <row r="588" spans="3:31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  <c r="AC588" s="144"/>
      <c r="AD588" s="144"/>
      <c r="AE588" s="144"/>
    </row>
    <row r="589" spans="3:31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</row>
    <row r="590" spans="3:31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</row>
    <row r="591" spans="3:31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</row>
    <row r="592" spans="3:31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  <c r="AC592" s="144"/>
      <c r="AD592" s="144"/>
      <c r="AE592" s="144"/>
    </row>
    <row r="593" spans="3:31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  <c r="AC593" s="144"/>
      <c r="AD593" s="144"/>
      <c r="AE593" s="144"/>
    </row>
    <row r="594" spans="3:31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  <c r="AC594" s="144"/>
      <c r="AD594" s="144"/>
      <c r="AE594" s="144"/>
    </row>
    <row r="595" spans="3:31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  <c r="AC595" s="144"/>
      <c r="AD595" s="144"/>
      <c r="AE595" s="144"/>
    </row>
    <row r="596" spans="3:31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  <c r="AC596" s="144"/>
      <c r="AD596" s="144"/>
      <c r="AE596" s="144"/>
    </row>
    <row r="597" spans="3:31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  <c r="AC597" s="144"/>
      <c r="AD597" s="144"/>
      <c r="AE597" s="144"/>
    </row>
    <row r="598" spans="3:31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  <c r="AC598" s="144"/>
      <c r="AD598" s="144"/>
      <c r="AE598" s="144"/>
    </row>
    <row r="599" spans="3:31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  <c r="AC599" s="144"/>
      <c r="AD599" s="144"/>
      <c r="AE599" s="144"/>
    </row>
    <row r="600" spans="3:31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  <c r="AC600" s="144"/>
      <c r="AD600" s="144"/>
      <c r="AE600" s="144"/>
    </row>
    <row r="601" spans="3:31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  <c r="AC601" s="144"/>
      <c r="AD601" s="144"/>
      <c r="AE601" s="144"/>
    </row>
    <row r="602" spans="3:31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  <c r="AC602" s="144"/>
      <c r="AD602" s="144"/>
      <c r="AE602" s="144"/>
    </row>
    <row r="603" spans="3:31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  <c r="AC603" s="144"/>
      <c r="AD603" s="144"/>
      <c r="AE603" s="144"/>
    </row>
    <row r="604" spans="3:31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  <c r="AC604" s="144"/>
      <c r="AD604" s="144"/>
      <c r="AE604" s="144"/>
    </row>
    <row r="605" spans="3:31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  <c r="AC605" s="144"/>
      <c r="AD605" s="144"/>
      <c r="AE605" s="144"/>
    </row>
    <row r="606" spans="3:31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  <c r="AC606" s="144"/>
      <c r="AD606" s="144"/>
      <c r="AE606" s="144"/>
    </row>
    <row r="607" spans="3:31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  <c r="AC607" s="144"/>
      <c r="AD607" s="144"/>
      <c r="AE607" s="144"/>
    </row>
    <row r="608" spans="3:31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  <c r="AC608" s="144"/>
      <c r="AD608" s="144"/>
      <c r="AE608" s="144"/>
    </row>
    <row r="609" spans="3:31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  <c r="AC609" s="144"/>
      <c r="AD609" s="144"/>
      <c r="AE609" s="144"/>
    </row>
    <row r="610" spans="3:31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  <c r="AC610" s="144"/>
      <c r="AD610" s="144"/>
      <c r="AE610" s="144"/>
    </row>
    <row r="611" spans="3:31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  <c r="AC611" s="144"/>
      <c r="AD611" s="144"/>
      <c r="AE611" s="144"/>
    </row>
    <row r="612" spans="3:31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  <c r="AC612" s="144"/>
      <c r="AD612" s="144"/>
      <c r="AE612" s="144"/>
    </row>
    <row r="613" spans="3:31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  <c r="AC613" s="144"/>
      <c r="AD613" s="144"/>
      <c r="AE613" s="144"/>
    </row>
    <row r="614" spans="3:31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  <c r="AC614" s="144"/>
      <c r="AD614" s="144"/>
      <c r="AE614" s="144"/>
    </row>
    <row r="615" spans="3:31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  <c r="AC615" s="144"/>
      <c r="AD615" s="144"/>
      <c r="AE615" s="144"/>
    </row>
    <row r="616" spans="3:31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</row>
    <row r="617" spans="3:31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  <c r="AC617" s="144"/>
      <c r="AD617" s="144"/>
      <c r="AE617" s="144"/>
    </row>
    <row r="618" spans="3:31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  <c r="AC618" s="144"/>
      <c r="AD618" s="144"/>
      <c r="AE618" s="144"/>
    </row>
    <row r="619" spans="3:31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  <c r="AC619" s="144"/>
      <c r="AD619" s="144"/>
      <c r="AE619" s="144"/>
    </row>
    <row r="620" spans="3:31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  <c r="AC620" s="144"/>
      <c r="AD620" s="144"/>
      <c r="AE620" s="144"/>
    </row>
    <row r="621" spans="3:31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  <c r="AC621" s="144"/>
      <c r="AD621" s="144"/>
      <c r="AE621" s="144"/>
    </row>
    <row r="622" spans="3:31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  <c r="AC622" s="144"/>
      <c r="AD622" s="144"/>
      <c r="AE622" s="144"/>
    </row>
    <row r="623" spans="3:31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  <c r="AC623" s="144"/>
      <c r="AD623" s="144"/>
      <c r="AE623" s="144"/>
    </row>
    <row r="624" spans="3:31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  <c r="AC624" s="144"/>
      <c r="AD624" s="144"/>
      <c r="AE624" s="144"/>
    </row>
    <row r="625" spans="3:31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  <c r="AC625" s="144"/>
      <c r="AD625" s="144"/>
      <c r="AE625" s="144"/>
    </row>
    <row r="626" spans="3:31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  <c r="AC626" s="144"/>
      <c r="AD626" s="144"/>
      <c r="AE626" s="144"/>
    </row>
    <row r="627" spans="3:31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  <c r="AC627" s="144"/>
      <c r="AD627" s="144"/>
      <c r="AE627" s="144"/>
    </row>
    <row r="628" spans="3:31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  <c r="AC628" s="144"/>
      <c r="AD628" s="144"/>
      <c r="AE628" s="144"/>
    </row>
    <row r="629" spans="3:31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  <c r="AC629" s="144"/>
      <c r="AD629" s="144"/>
      <c r="AE629" s="144"/>
    </row>
    <row r="630" spans="3:31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  <c r="AC630" s="144"/>
      <c r="AD630" s="144"/>
      <c r="AE630" s="144"/>
    </row>
    <row r="631" spans="3:31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  <c r="AC631" s="144"/>
      <c r="AD631" s="144"/>
      <c r="AE631" s="144"/>
    </row>
    <row r="632" spans="3:31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  <c r="AC632" s="144"/>
      <c r="AD632" s="144"/>
      <c r="AE632" s="144"/>
    </row>
    <row r="633" spans="3:31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  <c r="AC633" s="144"/>
      <c r="AD633" s="144"/>
      <c r="AE633" s="144"/>
    </row>
    <row r="634" spans="3:31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  <c r="AC634" s="144"/>
      <c r="AD634" s="144"/>
      <c r="AE634" s="144"/>
    </row>
    <row r="635" spans="3:31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  <c r="AC635" s="144"/>
      <c r="AD635" s="144"/>
      <c r="AE635" s="144"/>
    </row>
    <row r="636" spans="3:31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  <c r="AC636" s="144"/>
      <c r="AD636" s="144"/>
      <c r="AE636" s="144"/>
    </row>
    <row r="637" spans="3:31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  <c r="AC637" s="144"/>
      <c r="AD637" s="144"/>
      <c r="AE637" s="144"/>
    </row>
    <row r="638" spans="3:31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  <c r="AC638" s="144"/>
      <c r="AD638" s="144"/>
      <c r="AE638" s="144"/>
    </row>
    <row r="639" spans="3:31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  <c r="AC639" s="144"/>
      <c r="AD639" s="144"/>
      <c r="AE639" s="144"/>
    </row>
    <row r="640" spans="3:31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  <c r="AC640" s="144"/>
      <c r="AD640" s="144"/>
      <c r="AE640" s="144"/>
    </row>
    <row r="641" spans="3:31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  <c r="AC641" s="144"/>
      <c r="AD641" s="144"/>
      <c r="AE641" s="144"/>
    </row>
    <row r="642" spans="3:31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  <c r="AC642" s="144"/>
      <c r="AD642" s="144"/>
      <c r="AE642" s="144"/>
    </row>
    <row r="643" spans="3:31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  <c r="AC643" s="144"/>
      <c r="AD643" s="144"/>
      <c r="AE643" s="144"/>
    </row>
    <row r="644" spans="3:31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  <c r="AC644" s="144"/>
      <c r="AD644" s="144"/>
      <c r="AE644" s="144"/>
    </row>
    <row r="645" spans="3:31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  <c r="AC645" s="144"/>
      <c r="AD645" s="144"/>
      <c r="AE645" s="144"/>
    </row>
    <row r="646" spans="3:31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  <c r="AC646" s="144"/>
      <c r="AD646" s="144"/>
      <c r="AE646" s="144"/>
    </row>
    <row r="647" spans="3:31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  <c r="AC647" s="144"/>
      <c r="AD647" s="144"/>
      <c r="AE647" s="144"/>
    </row>
    <row r="648" spans="3:31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  <c r="AC648" s="144"/>
      <c r="AD648" s="144"/>
      <c r="AE648" s="144"/>
    </row>
    <row r="649" spans="3:31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  <c r="AC649" s="144"/>
      <c r="AD649" s="144"/>
      <c r="AE649" s="144"/>
    </row>
    <row r="650" spans="3:31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  <c r="AC650" s="144"/>
      <c r="AD650" s="144"/>
      <c r="AE650" s="144"/>
    </row>
    <row r="651" spans="3:31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</row>
    <row r="652" spans="3:31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  <c r="AC652" s="144"/>
      <c r="AD652" s="144"/>
      <c r="AE652" s="144"/>
    </row>
    <row r="653" spans="3:31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  <c r="AC653" s="144"/>
      <c r="AD653" s="144"/>
      <c r="AE653" s="144"/>
    </row>
    <row r="654" spans="3:31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  <c r="AC654" s="144"/>
      <c r="AD654" s="144"/>
      <c r="AE654" s="144"/>
    </row>
    <row r="655" spans="3:31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  <c r="AC655" s="144"/>
      <c r="AD655" s="144"/>
      <c r="AE655" s="144"/>
    </row>
    <row r="656" spans="3:31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  <c r="AC656" s="144"/>
      <c r="AD656" s="144"/>
      <c r="AE656" s="144"/>
    </row>
    <row r="657" spans="3:31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  <c r="AC657" s="144"/>
      <c r="AD657" s="144"/>
      <c r="AE657" s="144"/>
    </row>
    <row r="658" spans="3:31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  <c r="AC658" s="144"/>
      <c r="AD658" s="144"/>
      <c r="AE658" s="144"/>
    </row>
    <row r="659" spans="3:31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  <c r="AC659" s="144"/>
      <c r="AD659" s="144"/>
      <c r="AE659" s="144"/>
    </row>
    <row r="660" spans="3:31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  <c r="AC660" s="144"/>
      <c r="AD660" s="144"/>
      <c r="AE660" s="144"/>
    </row>
    <row r="661" spans="3:31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  <c r="AC661" s="144"/>
      <c r="AD661" s="144"/>
      <c r="AE661" s="144"/>
    </row>
    <row r="662" spans="3:31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  <c r="AC662" s="144"/>
      <c r="AD662" s="144"/>
      <c r="AE662" s="144"/>
    </row>
    <row r="663" spans="3:31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  <c r="AC663" s="144"/>
      <c r="AD663" s="144"/>
      <c r="AE663" s="144"/>
    </row>
    <row r="664" spans="3:31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  <c r="AC664" s="144"/>
      <c r="AD664" s="144"/>
      <c r="AE664" s="144"/>
    </row>
    <row r="665" spans="3:31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  <c r="AC665" s="144"/>
      <c r="AD665" s="144"/>
      <c r="AE665" s="144"/>
    </row>
    <row r="666" spans="3:31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  <c r="AC666" s="144"/>
      <c r="AD666" s="144"/>
      <c r="AE666" s="144"/>
    </row>
    <row r="667" spans="3:31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  <c r="AC667" s="144"/>
      <c r="AD667" s="144"/>
      <c r="AE667" s="144"/>
    </row>
    <row r="668" spans="3:31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  <c r="AC668" s="144"/>
      <c r="AD668" s="144"/>
      <c r="AE668" s="144"/>
    </row>
    <row r="669" spans="3:31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  <c r="AC669" s="144"/>
      <c r="AD669" s="144"/>
      <c r="AE669" s="144"/>
    </row>
    <row r="670" spans="3:31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  <c r="AC670" s="144"/>
      <c r="AD670" s="144"/>
      <c r="AE670" s="144"/>
    </row>
    <row r="671" spans="3:31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  <c r="AC671" s="144"/>
      <c r="AD671" s="144"/>
      <c r="AE671" s="144"/>
    </row>
    <row r="672" spans="3:31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  <c r="AC672" s="144"/>
      <c r="AD672" s="144"/>
      <c r="AE672" s="144"/>
    </row>
    <row r="673" spans="3:31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  <c r="AC673" s="144"/>
      <c r="AD673" s="144"/>
      <c r="AE673" s="144"/>
    </row>
    <row r="674" spans="3:31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  <c r="AC674" s="144"/>
      <c r="AD674" s="144"/>
      <c r="AE674" s="144"/>
    </row>
    <row r="675" spans="3:31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</row>
    <row r="676" spans="3:31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  <c r="AC676" s="144"/>
      <c r="AD676" s="144"/>
      <c r="AE676" s="144"/>
    </row>
    <row r="677" spans="3:31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  <c r="AC677" s="144"/>
      <c r="AD677" s="144"/>
      <c r="AE677" s="144"/>
    </row>
    <row r="678" spans="3:31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  <c r="AC678" s="144"/>
      <c r="AD678" s="144"/>
      <c r="AE678" s="144"/>
    </row>
    <row r="679" spans="3:31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  <c r="AC679" s="144"/>
      <c r="AD679" s="144"/>
      <c r="AE679" s="144"/>
    </row>
    <row r="680" spans="3:31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  <c r="AC680" s="144"/>
      <c r="AD680" s="144"/>
      <c r="AE680" s="144"/>
    </row>
    <row r="681" spans="3:31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  <c r="AC681" s="144"/>
      <c r="AD681" s="144"/>
      <c r="AE681" s="144"/>
    </row>
    <row r="682" spans="3:31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  <c r="AC682" s="144"/>
      <c r="AD682" s="144"/>
      <c r="AE682" s="144"/>
    </row>
    <row r="683" spans="3:31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  <c r="AC683" s="144"/>
      <c r="AD683" s="144"/>
      <c r="AE683" s="144"/>
    </row>
    <row r="684" spans="3:31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  <c r="AC684" s="144"/>
      <c r="AD684" s="144"/>
      <c r="AE684" s="144"/>
    </row>
    <row r="685" spans="3:31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</row>
    <row r="686" spans="3:31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  <c r="AC686" s="144"/>
      <c r="AD686" s="144"/>
      <c r="AE686" s="144"/>
    </row>
    <row r="687" spans="3:31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  <c r="AC687" s="144"/>
      <c r="AD687" s="144"/>
      <c r="AE687" s="144"/>
    </row>
    <row r="688" spans="3:31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  <c r="AC688" s="144"/>
      <c r="AD688" s="144"/>
      <c r="AE688" s="144"/>
    </row>
    <row r="689" spans="3:31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  <c r="AC689" s="144"/>
      <c r="AD689" s="144"/>
      <c r="AE689" s="144"/>
    </row>
    <row r="690" spans="3:31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  <c r="AC690" s="144"/>
      <c r="AD690" s="144"/>
      <c r="AE690" s="144"/>
    </row>
    <row r="691" spans="3:31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</row>
    <row r="692" spans="3:31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  <c r="AC692" s="144"/>
      <c r="AD692" s="144"/>
      <c r="AE692" s="144"/>
    </row>
    <row r="693" spans="3:31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  <c r="AC693" s="144"/>
      <c r="AD693" s="144"/>
      <c r="AE693" s="144"/>
    </row>
    <row r="694" spans="3:31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  <c r="AC694" s="144"/>
      <c r="AD694" s="144"/>
      <c r="AE694" s="144"/>
    </row>
    <row r="695" spans="3:31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  <c r="AC695" s="144"/>
      <c r="AD695" s="144"/>
      <c r="AE695" s="144"/>
    </row>
    <row r="696" spans="3:31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  <c r="AC696" s="144"/>
      <c r="AD696" s="144"/>
      <c r="AE696" s="144"/>
    </row>
    <row r="697" spans="3:31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  <c r="AC697" s="144"/>
      <c r="AD697" s="144"/>
      <c r="AE697" s="144"/>
    </row>
    <row r="698" spans="3:31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  <c r="AC698" s="144"/>
      <c r="AD698" s="144"/>
      <c r="AE698" s="144"/>
    </row>
    <row r="699" spans="3:31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  <c r="AC699" s="144"/>
      <c r="AD699" s="144"/>
      <c r="AE699" s="144"/>
    </row>
    <row r="700" spans="3:31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  <c r="AC700" s="144"/>
      <c r="AD700" s="144"/>
      <c r="AE700" s="144"/>
    </row>
    <row r="701" spans="3:31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  <c r="AC701" s="144"/>
      <c r="AD701" s="144"/>
      <c r="AE701" s="144"/>
    </row>
    <row r="702" spans="3:31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  <c r="AC702" s="144"/>
      <c r="AD702" s="144"/>
      <c r="AE702" s="144"/>
    </row>
    <row r="703" spans="3:31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  <c r="AC703" s="144"/>
      <c r="AD703" s="144"/>
      <c r="AE703" s="144"/>
    </row>
    <row r="704" spans="3:31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  <c r="AC704" s="144"/>
      <c r="AD704" s="144"/>
      <c r="AE704" s="144"/>
    </row>
    <row r="705" spans="3:31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  <c r="AC705" s="144"/>
      <c r="AD705" s="144"/>
      <c r="AE705" s="144"/>
    </row>
    <row r="706" spans="3:31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  <c r="AC706" s="144"/>
      <c r="AD706" s="144"/>
      <c r="AE706" s="144"/>
    </row>
    <row r="707" spans="3:31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  <c r="AC707" s="144"/>
      <c r="AD707" s="144"/>
      <c r="AE707" s="144"/>
    </row>
    <row r="708" spans="3:31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  <c r="AC708" s="144"/>
      <c r="AD708" s="144"/>
      <c r="AE708" s="144"/>
    </row>
    <row r="709" spans="3:31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  <c r="AC709" s="144"/>
      <c r="AD709" s="144"/>
      <c r="AE709" s="144"/>
    </row>
    <row r="710" spans="3:31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  <c r="AC710" s="144"/>
      <c r="AD710" s="144"/>
      <c r="AE710" s="144"/>
    </row>
    <row r="711" spans="3:31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  <c r="AC711" s="144"/>
      <c r="AD711" s="144"/>
      <c r="AE711" s="144"/>
    </row>
    <row r="712" spans="3:31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  <c r="AC712" s="144"/>
      <c r="AD712" s="144"/>
      <c r="AE712" s="144"/>
    </row>
    <row r="713" spans="3:31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  <c r="AC713" s="144"/>
      <c r="AD713" s="144"/>
      <c r="AE713" s="144"/>
    </row>
    <row r="714" spans="3:31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  <c r="AC714" s="144"/>
      <c r="AD714" s="144"/>
      <c r="AE714" s="144"/>
    </row>
    <row r="715" spans="3:31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  <c r="AC715" s="144"/>
      <c r="AD715" s="144"/>
      <c r="AE715" s="144"/>
    </row>
    <row r="716" spans="3:31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  <c r="AC716" s="144"/>
      <c r="AD716" s="144"/>
      <c r="AE716" s="144"/>
    </row>
    <row r="717" spans="3:31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  <c r="AC717" s="144"/>
      <c r="AD717" s="144"/>
      <c r="AE717" s="144"/>
    </row>
    <row r="718" spans="3:31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  <c r="AC718" s="144"/>
      <c r="AD718" s="144"/>
      <c r="AE718" s="144"/>
    </row>
    <row r="719" spans="3:31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</row>
    <row r="720" spans="3:31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  <c r="AC720" s="144"/>
      <c r="AD720" s="144"/>
      <c r="AE720" s="144"/>
    </row>
    <row r="721" spans="3:31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  <c r="AC721" s="144"/>
      <c r="AD721" s="144"/>
      <c r="AE721" s="144"/>
    </row>
    <row r="722" spans="3:31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  <c r="AC722" s="144"/>
      <c r="AD722" s="144"/>
      <c r="AE722" s="144"/>
    </row>
    <row r="723" spans="3:31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  <c r="AC723" s="144"/>
      <c r="AD723" s="144"/>
      <c r="AE723" s="144"/>
    </row>
    <row r="724" spans="3:31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  <c r="AC724" s="144"/>
      <c r="AD724" s="144"/>
      <c r="AE724" s="144"/>
    </row>
    <row r="725" spans="3:31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  <c r="AC725" s="144"/>
      <c r="AD725" s="144"/>
      <c r="AE725" s="144"/>
    </row>
    <row r="726" spans="3:31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  <c r="AC726" s="144"/>
      <c r="AD726" s="144"/>
      <c r="AE726" s="144"/>
    </row>
    <row r="727" spans="3:31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  <c r="AC727" s="144"/>
      <c r="AD727" s="144"/>
      <c r="AE727" s="144"/>
    </row>
    <row r="728" spans="3:31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  <c r="AC728" s="144"/>
      <c r="AD728" s="144"/>
      <c r="AE728" s="144"/>
    </row>
    <row r="729" spans="3:31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  <c r="AC729" s="144"/>
      <c r="AD729" s="144"/>
      <c r="AE729" s="144"/>
    </row>
    <row r="730" spans="3:31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  <c r="AC730" s="144"/>
      <c r="AD730" s="144"/>
      <c r="AE730" s="144"/>
    </row>
    <row r="731" spans="3:31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</row>
    <row r="732" spans="3:31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  <c r="AC732" s="144"/>
      <c r="AD732" s="144"/>
      <c r="AE732" s="144"/>
    </row>
    <row r="733" spans="3:31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  <c r="AC733" s="144"/>
      <c r="AD733" s="144"/>
      <c r="AE733" s="144"/>
    </row>
    <row r="734" spans="3:31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  <c r="AC734" s="144"/>
      <c r="AD734" s="144"/>
      <c r="AE734" s="144"/>
    </row>
    <row r="735" spans="3:31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  <c r="AC735" s="144"/>
      <c r="AD735" s="144"/>
      <c r="AE735" s="144"/>
    </row>
    <row r="736" spans="3:31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  <c r="AC736" s="144"/>
      <c r="AD736" s="144"/>
      <c r="AE736" s="144"/>
    </row>
    <row r="737" spans="3:31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  <c r="AC737" s="144"/>
      <c r="AD737" s="144"/>
      <c r="AE737" s="144"/>
    </row>
    <row r="738" spans="3:31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  <c r="AC738" s="144"/>
      <c r="AD738" s="144"/>
      <c r="AE738" s="144"/>
    </row>
    <row r="739" spans="3:31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  <c r="AC739" s="144"/>
      <c r="AD739" s="144"/>
      <c r="AE739" s="144"/>
    </row>
    <row r="740" spans="3:31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  <c r="AC740" s="144"/>
      <c r="AD740" s="144"/>
      <c r="AE740" s="144"/>
    </row>
    <row r="741" spans="3:31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  <c r="AC741" s="144"/>
      <c r="AD741" s="144"/>
      <c r="AE741" s="144"/>
    </row>
    <row r="742" spans="3:31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  <c r="AC742" s="144"/>
      <c r="AD742" s="144"/>
      <c r="AE742" s="144"/>
    </row>
    <row r="743" spans="3:31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  <c r="AC743" s="144"/>
      <c r="AD743" s="144"/>
      <c r="AE743" s="144"/>
    </row>
    <row r="744" spans="3:31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  <c r="AC744" s="144"/>
      <c r="AD744" s="144"/>
      <c r="AE744" s="144"/>
    </row>
    <row r="745" spans="3:31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  <c r="AC745" s="144"/>
      <c r="AD745" s="144"/>
      <c r="AE745" s="144"/>
    </row>
    <row r="746" spans="3:31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  <c r="AC746" s="144"/>
      <c r="AD746" s="144"/>
      <c r="AE746" s="144"/>
    </row>
    <row r="747" spans="3:31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  <c r="AC747" s="144"/>
      <c r="AD747" s="144"/>
      <c r="AE747" s="144"/>
    </row>
    <row r="748" spans="3:31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  <c r="AC748" s="144"/>
      <c r="AD748" s="144"/>
      <c r="AE748" s="144"/>
    </row>
    <row r="749" spans="3:31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  <c r="AC749" s="144"/>
      <c r="AD749" s="144"/>
      <c r="AE749" s="144"/>
    </row>
    <row r="750" spans="3:31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  <c r="AC750" s="144"/>
      <c r="AD750" s="144"/>
      <c r="AE750" s="144"/>
    </row>
    <row r="751" spans="3:31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  <c r="AC751" s="144"/>
      <c r="AD751" s="144"/>
      <c r="AE751" s="144"/>
    </row>
    <row r="752" spans="3:31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  <c r="AC752" s="144"/>
      <c r="AD752" s="144"/>
      <c r="AE752" s="144"/>
    </row>
    <row r="753" spans="3:31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</row>
    <row r="754" spans="3:31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  <c r="AC754" s="144"/>
      <c r="AD754" s="144"/>
      <c r="AE754" s="144"/>
    </row>
    <row r="755" spans="3:31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  <c r="AC755" s="144"/>
      <c r="AD755" s="144"/>
      <c r="AE755" s="144"/>
    </row>
    <row r="756" spans="3:31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  <c r="AC756" s="144"/>
      <c r="AD756" s="144"/>
      <c r="AE756" s="144"/>
    </row>
    <row r="757" spans="3:31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  <c r="AC757" s="144"/>
      <c r="AD757" s="144"/>
      <c r="AE757" s="144"/>
    </row>
    <row r="758" spans="3:31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</row>
    <row r="759" spans="3:31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  <c r="AC759" s="144"/>
      <c r="AD759" s="144"/>
      <c r="AE759" s="144"/>
    </row>
    <row r="760" spans="3:31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  <c r="AC760" s="144"/>
      <c r="AD760" s="144"/>
      <c r="AE760" s="144"/>
    </row>
    <row r="761" spans="3:31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  <c r="AC761" s="144"/>
      <c r="AD761" s="144"/>
      <c r="AE761" s="144"/>
    </row>
    <row r="762" spans="3:31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  <c r="AC762" s="144"/>
      <c r="AD762" s="144"/>
      <c r="AE762" s="144"/>
    </row>
    <row r="763" spans="3:31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  <c r="AC763" s="144"/>
      <c r="AD763" s="144"/>
      <c r="AE763" s="144"/>
    </row>
    <row r="764" spans="3:31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  <c r="AC764" s="144"/>
      <c r="AD764" s="144"/>
      <c r="AE764" s="144"/>
    </row>
    <row r="765" spans="3:31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  <c r="AC765" s="144"/>
      <c r="AD765" s="144"/>
      <c r="AE765" s="144"/>
    </row>
    <row r="766" spans="3:31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  <c r="AC766" s="144"/>
      <c r="AD766" s="144"/>
      <c r="AE766" s="144"/>
    </row>
    <row r="767" spans="3:31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  <c r="AC767" s="144"/>
      <c r="AD767" s="144"/>
      <c r="AE767" s="144"/>
    </row>
    <row r="768" spans="3:31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  <c r="AC768" s="144"/>
      <c r="AD768" s="144"/>
      <c r="AE768" s="144"/>
    </row>
    <row r="769" spans="3:31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  <c r="AC769" s="144"/>
      <c r="AD769" s="144"/>
      <c r="AE769" s="144"/>
    </row>
    <row r="770" spans="3:31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  <c r="AC770" s="144"/>
      <c r="AD770" s="144"/>
      <c r="AE770" s="144"/>
    </row>
    <row r="771" spans="3:31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  <c r="AC771" s="144"/>
      <c r="AD771" s="144"/>
      <c r="AE771" s="144"/>
    </row>
    <row r="772" spans="3:31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  <c r="AC772" s="144"/>
      <c r="AD772" s="144"/>
      <c r="AE772" s="144"/>
    </row>
    <row r="773" spans="3:31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  <c r="AC773" s="144"/>
      <c r="AD773" s="144"/>
      <c r="AE773" s="144"/>
    </row>
    <row r="774" spans="3:31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  <c r="AC774" s="144"/>
      <c r="AD774" s="144"/>
      <c r="AE774" s="144"/>
    </row>
    <row r="775" spans="3:31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  <c r="AC775" s="144"/>
      <c r="AD775" s="144"/>
      <c r="AE775" s="144"/>
    </row>
    <row r="776" spans="3:31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</row>
    <row r="777" spans="3:31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  <c r="AC777" s="144"/>
      <c r="AD777" s="144"/>
      <c r="AE777" s="144"/>
    </row>
    <row r="778" spans="3:31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  <c r="AC778" s="144"/>
      <c r="AD778" s="144"/>
      <c r="AE778" s="144"/>
    </row>
    <row r="779" spans="3:31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  <c r="AC779" s="144"/>
      <c r="AD779" s="144"/>
      <c r="AE779" s="144"/>
    </row>
    <row r="780" spans="3:31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  <c r="AC780" s="144"/>
      <c r="AD780" s="144"/>
      <c r="AE780" s="144"/>
    </row>
    <row r="781" spans="3:31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  <c r="AC781" s="144"/>
      <c r="AD781" s="144"/>
      <c r="AE781" s="144"/>
    </row>
    <row r="782" spans="3:31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  <c r="AC782" s="144"/>
      <c r="AD782" s="144"/>
      <c r="AE782" s="144"/>
    </row>
    <row r="783" spans="3:31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  <c r="AC783" s="144"/>
      <c r="AD783" s="144"/>
      <c r="AE783" s="144"/>
    </row>
    <row r="784" spans="3:31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  <c r="AC784" s="144"/>
      <c r="AD784" s="144"/>
      <c r="AE784" s="144"/>
    </row>
    <row r="785" spans="3:31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  <c r="AC785" s="144"/>
      <c r="AD785" s="144"/>
      <c r="AE785" s="144"/>
    </row>
    <row r="786" spans="3:31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  <c r="AC786" s="144"/>
      <c r="AD786" s="144"/>
      <c r="AE786" s="144"/>
    </row>
    <row r="787" spans="3:31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</row>
    <row r="788" spans="3:31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  <c r="AA788" s="144"/>
      <c r="AB788" s="144"/>
      <c r="AC788" s="144"/>
      <c r="AD788" s="144"/>
      <c r="AE788" s="144"/>
    </row>
    <row r="789" spans="3:31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  <c r="AC789" s="144"/>
      <c r="AD789" s="144"/>
      <c r="AE789" s="144"/>
    </row>
    <row r="790" spans="3:31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  <c r="AA790" s="144"/>
      <c r="AB790" s="144"/>
      <c r="AC790" s="144"/>
      <c r="AD790" s="144"/>
      <c r="AE790" s="144"/>
    </row>
    <row r="791" spans="3:31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  <c r="AC791" s="144"/>
      <c r="AD791" s="144"/>
      <c r="AE791" s="144"/>
    </row>
    <row r="792" spans="3:31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  <c r="AC792" s="144"/>
      <c r="AD792" s="144"/>
      <c r="AE792" s="144"/>
    </row>
    <row r="793" spans="3:31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</row>
    <row r="794" spans="3:31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  <c r="AC794" s="144"/>
      <c r="AD794" s="144"/>
      <c r="AE794" s="144"/>
    </row>
    <row r="795" spans="3:31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  <c r="AC795" s="144"/>
      <c r="AD795" s="144"/>
      <c r="AE795" s="144"/>
    </row>
    <row r="796" spans="3:31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  <c r="AC796" s="144"/>
      <c r="AD796" s="144"/>
      <c r="AE796" s="144"/>
    </row>
    <row r="797" spans="3:31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  <c r="AC797" s="144"/>
      <c r="AD797" s="144"/>
      <c r="AE797" s="144"/>
    </row>
    <row r="798" spans="3:31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  <c r="AC798" s="144"/>
      <c r="AD798" s="144"/>
      <c r="AE798" s="144"/>
    </row>
    <row r="799" spans="3:31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  <c r="AC799" s="144"/>
      <c r="AD799" s="144"/>
      <c r="AE799" s="144"/>
    </row>
    <row r="800" spans="3:31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  <c r="AC800" s="144"/>
      <c r="AD800" s="144"/>
      <c r="AE800" s="144"/>
    </row>
    <row r="801" spans="3:31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  <c r="AA801" s="144"/>
      <c r="AB801" s="144"/>
      <c r="AC801" s="144"/>
      <c r="AD801" s="144"/>
      <c r="AE801" s="144"/>
    </row>
    <row r="802" spans="3:31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  <c r="AC802" s="144"/>
      <c r="AD802" s="144"/>
      <c r="AE802" s="144"/>
    </row>
    <row r="803" spans="3:31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  <c r="AC803" s="144"/>
      <c r="AD803" s="144"/>
      <c r="AE803" s="144"/>
    </row>
    <row r="804" spans="3:31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  <c r="AC804" s="144"/>
      <c r="AD804" s="144"/>
      <c r="AE804" s="144"/>
    </row>
    <row r="805" spans="3:31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  <c r="AC805" s="144"/>
      <c r="AD805" s="144"/>
      <c r="AE805" s="144"/>
    </row>
    <row r="806" spans="3:31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  <c r="AC806" s="144"/>
      <c r="AD806" s="144"/>
      <c r="AE806" s="144"/>
    </row>
    <row r="807" spans="3:31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  <c r="AC807" s="144"/>
      <c r="AD807" s="144"/>
      <c r="AE807" s="144"/>
    </row>
    <row r="808" spans="3:31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  <c r="AC808" s="144"/>
      <c r="AD808" s="144"/>
      <c r="AE808" s="144"/>
    </row>
    <row r="809" spans="3:31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  <c r="AC809" s="144"/>
      <c r="AD809" s="144"/>
      <c r="AE809" s="144"/>
    </row>
    <row r="810" spans="3:31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  <c r="AC810" s="144"/>
      <c r="AD810" s="144"/>
      <c r="AE810" s="144"/>
    </row>
    <row r="811" spans="3:31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  <c r="AC811" s="144"/>
      <c r="AD811" s="144"/>
      <c r="AE811" s="144"/>
    </row>
    <row r="812" spans="3:31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  <c r="AC812" s="144"/>
      <c r="AD812" s="144"/>
      <c r="AE812" s="144"/>
    </row>
    <row r="813" spans="3:31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  <c r="AC813" s="144"/>
      <c r="AD813" s="144"/>
      <c r="AE813" s="144"/>
    </row>
    <row r="814" spans="3:31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  <c r="AC814" s="144"/>
      <c r="AD814" s="144"/>
      <c r="AE814" s="144"/>
    </row>
    <row r="815" spans="3:31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  <c r="AC815" s="144"/>
      <c r="AD815" s="144"/>
      <c r="AE815" s="144"/>
    </row>
    <row r="816" spans="3:31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  <c r="AC816" s="144"/>
      <c r="AD816" s="144"/>
      <c r="AE816" s="144"/>
    </row>
    <row r="817" spans="3:31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  <c r="AC817" s="144"/>
      <c r="AD817" s="144"/>
      <c r="AE817" s="144"/>
    </row>
    <row r="818" spans="3:31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</row>
    <row r="819" spans="3:31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  <c r="AC819" s="144"/>
      <c r="AD819" s="144"/>
      <c r="AE819" s="144"/>
    </row>
    <row r="820" spans="3:31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  <c r="AC820" s="144"/>
      <c r="AD820" s="144"/>
      <c r="AE820" s="144"/>
    </row>
    <row r="821" spans="3:31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</row>
    <row r="822" spans="3:31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  <c r="AC822" s="144"/>
      <c r="AD822" s="144"/>
      <c r="AE822" s="144"/>
    </row>
    <row r="823" spans="3:31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  <c r="AC823" s="144"/>
      <c r="AD823" s="144"/>
      <c r="AE823" s="144"/>
    </row>
    <row r="824" spans="3:31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  <c r="AC824" s="144"/>
      <c r="AD824" s="144"/>
      <c r="AE824" s="144"/>
    </row>
    <row r="825" spans="3:31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  <c r="AC825" s="144"/>
      <c r="AD825" s="144"/>
      <c r="AE825" s="144"/>
    </row>
    <row r="826" spans="3:31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</row>
    <row r="827" spans="3:31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  <c r="AC827" s="144"/>
      <c r="AD827" s="144"/>
      <c r="AE827" s="144"/>
    </row>
    <row r="828" spans="3:31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  <c r="AC828" s="144"/>
      <c r="AD828" s="144"/>
      <c r="AE828" s="144"/>
    </row>
    <row r="829" spans="3:31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  <c r="AC829" s="144"/>
      <c r="AD829" s="144"/>
      <c r="AE829" s="144"/>
    </row>
    <row r="830" spans="3:31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  <c r="AC830" s="144"/>
      <c r="AD830" s="144"/>
      <c r="AE830" s="144"/>
    </row>
    <row r="831" spans="3:31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  <c r="AC831" s="144"/>
      <c r="AD831" s="144"/>
      <c r="AE831" s="144"/>
    </row>
    <row r="832" spans="3:31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  <c r="AA832" s="144"/>
      <c r="AB832" s="144"/>
      <c r="AC832" s="144"/>
      <c r="AD832" s="144"/>
      <c r="AE832" s="144"/>
    </row>
    <row r="833" spans="3:31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  <c r="AA833" s="144"/>
      <c r="AB833" s="144"/>
      <c r="AC833" s="144"/>
      <c r="AD833" s="144"/>
      <c r="AE833" s="144"/>
    </row>
    <row r="834" spans="3:31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  <c r="AC834" s="144"/>
      <c r="AD834" s="144"/>
      <c r="AE834" s="144"/>
    </row>
    <row r="835" spans="3:31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  <c r="AC835" s="144"/>
      <c r="AD835" s="144"/>
      <c r="AE835" s="144"/>
    </row>
    <row r="836" spans="3:31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  <c r="AC836" s="144"/>
      <c r="AD836" s="144"/>
      <c r="AE836" s="144"/>
    </row>
    <row r="837" spans="3:31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  <c r="AC837" s="144"/>
      <c r="AD837" s="144"/>
      <c r="AE837" s="144"/>
    </row>
    <row r="838" spans="3:31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</row>
    <row r="839" spans="3:31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  <c r="AC839" s="144"/>
      <c r="AD839" s="144"/>
      <c r="AE839" s="144"/>
    </row>
    <row r="840" spans="3:31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  <c r="AC840" s="144"/>
      <c r="AD840" s="144"/>
      <c r="AE840" s="144"/>
    </row>
    <row r="841" spans="3:31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  <c r="AC841" s="144"/>
      <c r="AD841" s="144"/>
      <c r="AE841" s="144"/>
    </row>
    <row r="842" spans="3:31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  <c r="AC842" s="144"/>
      <c r="AD842" s="144"/>
      <c r="AE842" s="144"/>
    </row>
    <row r="843" spans="3:31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  <c r="AC843" s="144"/>
      <c r="AD843" s="144"/>
      <c r="AE843" s="144"/>
    </row>
    <row r="844" spans="3:31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  <c r="AC844" s="144"/>
      <c r="AD844" s="144"/>
      <c r="AE844" s="144"/>
    </row>
    <row r="845" spans="3:31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  <c r="AC845" s="144"/>
      <c r="AD845" s="144"/>
      <c r="AE845" s="144"/>
    </row>
    <row r="846" spans="3:31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  <c r="AA846" s="144"/>
      <c r="AB846" s="144"/>
      <c r="AC846" s="144"/>
      <c r="AD846" s="144"/>
      <c r="AE846" s="144"/>
    </row>
    <row r="847" spans="3:31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  <c r="AC847" s="144"/>
      <c r="AD847" s="144"/>
      <c r="AE847" s="144"/>
    </row>
    <row r="848" spans="3:31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  <c r="AC848" s="144"/>
      <c r="AD848" s="144"/>
      <c r="AE848" s="144"/>
    </row>
    <row r="849" spans="3:31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  <c r="AC849" s="144"/>
      <c r="AD849" s="144"/>
      <c r="AE849" s="144"/>
    </row>
    <row r="850" spans="3:31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  <c r="AC850" s="144"/>
      <c r="AD850" s="144"/>
      <c r="AE850" s="144"/>
    </row>
    <row r="851" spans="3:31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  <c r="AC851" s="144"/>
      <c r="AD851" s="144"/>
      <c r="AE851" s="144"/>
    </row>
    <row r="852" spans="3:31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  <c r="AA852" s="144"/>
      <c r="AB852" s="144"/>
      <c r="AC852" s="144"/>
      <c r="AD852" s="144"/>
      <c r="AE852" s="144"/>
    </row>
    <row r="853" spans="3:31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  <c r="AC853" s="144"/>
      <c r="AD853" s="144"/>
      <c r="AE853" s="144"/>
    </row>
    <row r="854" spans="3:31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  <c r="AC854" s="144"/>
      <c r="AD854" s="144"/>
      <c r="AE854" s="144"/>
    </row>
    <row r="855" spans="3:31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</row>
    <row r="856" spans="3:31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  <c r="AC856" s="144"/>
      <c r="AD856" s="144"/>
      <c r="AE856" s="144"/>
    </row>
    <row r="857" spans="3:31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  <c r="AC857" s="144"/>
      <c r="AD857" s="144"/>
      <c r="AE857" s="144"/>
    </row>
    <row r="858" spans="3:31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  <c r="AC858" s="144"/>
      <c r="AD858" s="144"/>
      <c r="AE858" s="144"/>
    </row>
    <row r="859" spans="3:31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  <c r="AC859" s="144"/>
      <c r="AD859" s="144"/>
      <c r="AE859" s="144"/>
    </row>
    <row r="860" spans="3:31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  <c r="AC860" s="144"/>
      <c r="AD860" s="144"/>
      <c r="AE860" s="144"/>
    </row>
    <row r="861" spans="3:31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  <c r="AC861" s="144"/>
      <c r="AD861" s="144"/>
      <c r="AE861" s="144"/>
    </row>
    <row r="862" spans="3:31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  <c r="AC862" s="144"/>
      <c r="AD862" s="144"/>
      <c r="AE862" s="144"/>
    </row>
    <row r="863" spans="3:31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  <c r="AC863" s="144"/>
      <c r="AD863" s="144"/>
      <c r="AE863" s="144"/>
    </row>
    <row r="864" spans="3:31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  <c r="AC864" s="144"/>
      <c r="AD864" s="144"/>
      <c r="AE864" s="144"/>
    </row>
    <row r="865" spans="3:31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  <c r="AC865" s="144"/>
      <c r="AD865" s="144"/>
      <c r="AE865" s="144"/>
    </row>
    <row r="866" spans="3:31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  <c r="AC866" s="144"/>
      <c r="AD866" s="144"/>
      <c r="AE866" s="144"/>
    </row>
    <row r="867" spans="3:31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  <c r="AC867" s="144"/>
      <c r="AD867" s="144"/>
      <c r="AE867" s="144"/>
    </row>
    <row r="868" spans="3:31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  <c r="AC868" s="144"/>
      <c r="AD868" s="144"/>
      <c r="AE868" s="144"/>
    </row>
    <row r="869" spans="3:31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  <c r="AC869" s="144"/>
      <c r="AD869" s="144"/>
      <c r="AE869" s="144"/>
    </row>
    <row r="870" spans="3:31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  <c r="AC870" s="144"/>
      <c r="AD870" s="144"/>
      <c r="AE870" s="144"/>
    </row>
    <row r="871" spans="3:31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  <c r="AC871" s="144"/>
      <c r="AD871" s="144"/>
      <c r="AE871" s="144"/>
    </row>
    <row r="872" spans="3:31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  <c r="AC872" s="144"/>
      <c r="AD872" s="144"/>
      <c r="AE872" s="144"/>
    </row>
    <row r="873" spans="3:31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  <c r="AC873" s="144"/>
      <c r="AD873" s="144"/>
      <c r="AE873" s="144"/>
    </row>
    <row r="874" spans="3:31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  <c r="AC874" s="144"/>
      <c r="AD874" s="144"/>
      <c r="AE874" s="144"/>
    </row>
    <row r="875" spans="3:31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  <c r="AC875" s="144"/>
      <c r="AD875" s="144"/>
      <c r="AE875" s="144"/>
    </row>
    <row r="876" spans="3:31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  <c r="AC876" s="144"/>
      <c r="AD876" s="144"/>
      <c r="AE876" s="144"/>
    </row>
    <row r="877" spans="3:31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  <c r="AC877" s="144"/>
      <c r="AD877" s="144"/>
      <c r="AE877" s="144"/>
    </row>
    <row r="878" spans="3:31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  <c r="AC878" s="144"/>
      <c r="AD878" s="144"/>
      <c r="AE878" s="144"/>
    </row>
    <row r="879" spans="3:31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  <c r="AC879" s="144"/>
      <c r="AD879" s="144"/>
      <c r="AE879" s="144"/>
    </row>
    <row r="880" spans="3:31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  <c r="AC880" s="144"/>
      <c r="AD880" s="144"/>
      <c r="AE880" s="144"/>
    </row>
    <row r="881" spans="3:31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  <c r="AC881" s="144"/>
      <c r="AD881" s="144"/>
      <c r="AE881" s="144"/>
    </row>
    <row r="882" spans="3:31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  <c r="AC882" s="144"/>
      <c r="AD882" s="144"/>
      <c r="AE882" s="144"/>
    </row>
    <row r="883" spans="3:31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  <c r="AC883" s="144"/>
      <c r="AD883" s="144"/>
      <c r="AE883" s="144"/>
    </row>
    <row r="884" spans="3:31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  <c r="AC884" s="144"/>
      <c r="AD884" s="144"/>
      <c r="AE884" s="144"/>
    </row>
    <row r="885" spans="3:31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  <c r="AC885" s="144"/>
      <c r="AD885" s="144"/>
      <c r="AE885" s="144"/>
    </row>
    <row r="886" spans="3:31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  <c r="AC886" s="144"/>
      <c r="AD886" s="144"/>
      <c r="AE886" s="144"/>
    </row>
    <row r="887" spans="3:31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  <c r="AC887" s="144"/>
      <c r="AD887" s="144"/>
      <c r="AE887" s="144"/>
    </row>
    <row r="888" spans="3:31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  <c r="AC888" s="144"/>
      <c r="AD888" s="144"/>
      <c r="AE888" s="144"/>
    </row>
    <row r="889" spans="3:31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</row>
    <row r="890" spans="3:31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  <c r="AC890" s="144"/>
      <c r="AD890" s="144"/>
      <c r="AE890" s="144"/>
    </row>
    <row r="891" spans="3:31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  <c r="AC891" s="144"/>
      <c r="AD891" s="144"/>
      <c r="AE891" s="144"/>
    </row>
    <row r="892" spans="3:31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  <c r="AC892" s="144"/>
      <c r="AD892" s="144"/>
      <c r="AE892" s="144"/>
    </row>
    <row r="893" spans="3:31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  <c r="AC893" s="144"/>
      <c r="AD893" s="144"/>
      <c r="AE893" s="144"/>
    </row>
    <row r="894" spans="3:31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  <c r="AC894" s="144"/>
      <c r="AD894" s="144"/>
      <c r="AE894" s="144"/>
    </row>
    <row r="895" spans="3:31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  <c r="AC895" s="144"/>
      <c r="AD895" s="144"/>
      <c r="AE895" s="144"/>
    </row>
    <row r="896" spans="3:31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  <c r="AC896" s="144"/>
      <c r="AD896" s="144"/>
      <c r="AE896" s="144"/>
    </row>
    <row r="897" spans="3:31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  <c r="AC897" s="144"/>
      <c r="AD897" s="144"/>
      <c r="AE897" s="144"/>
    </row>
    <row r="898" spans="3:31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  <c r="AC898" s="144"/>
      <c r="AD898" s="144"/>
      <c r="AE898" s="144"/>
    </row>
    <row r="899" spans="3:31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  <c r="AC899" s="144"/>
      <c r="AD899" s="144"/>
      <c r="AE899" s="144"/>
    </row>
    <row r="900" spans="3:31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  <c r="AC900" s="144"/>
      <c r="AD900" s="144"/>
      <c r="AE900" s="144"/>
    </row>
    <row r="901" spans="3:31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  <c r="AC901" s="144"/>
      <c r="AD901" s="144"/>
      <c r="AE901" s="144"/>
    </row>
    <row r="902" spans="3:31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  <c r="AC902" s="144"/>
      <c r="AD902" s="144"/>
      <c r="AE902" s="144"/>
    </row>
    <row r="903" spans="3:31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  <c r="AC903" s="144"/>
      <c r="AD903" s="144"/>
      <c r="AE903" s="144"/>
    </row>
    <row r="904" spans="3:31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  <c r="AC904" s="144"/>
      <c r="AD904" s="144"/>
      <c r="AE904" s="144"/>
    </row>
    <row r="905" spans="3:31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  <c r="AC905" s="144"/>
      <c r="AD905" s="144"/>
      <c r="AE905" s="144"/>
    </row>
    <row r="906" spans="3:31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  <c r="AC906" s="144"/>
      <c r="AD906" s="144"/>
      <c r="AE906" s="144"/>
    </row>
    <row r="907" spans="3:31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  <c r="AC907" s="144"/>
      <c r="AD907" s="144"/>
      <c r="AE907" s="144"/>
    </row>
    <row r="908" spans="3:31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  <c r="AC908" s="144"/>
      <c r="AD908" s="144"/>
      <c r="AE908" s="144"/>
    </row>
    <row r="909" spans="3:31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  <c r="AC909" s="144"/>
      <c r="AD909" s="144"/>
      <c r="AE909" s="144"/>
    </row>
    <row r="910" spans="3:31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  <c r="AC910" s="144"/>
      <c r="AD910" s="144"/>
      <c r="AE910" s="144"/>
    </row>
    <row r="911" spans="3:31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  <c r="AC911" s="144"/>
      <c r="AD911" s="144"/>
      <c r="AE911" s="144"/>
    </row>
    <row r="912" spans="3:31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  <c r="AC912" s="144"/>
      <c r="AD912" s="144"/>
      <c r="AE912" s="144"/>
    </row>
    <row r="913" spans="3:31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  <c r="AC913" s="144"/>
      <c r="AD913" s="144"/>
      <c r="AE913" s="144"/>
    </row>
    <row r="914" spans="3:31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  <c r="AC914" s="144"/>
      <c r="AD914" s="144"/>
      <c r="AE914" s="144"/>
    </row>
    <row r="915" spans="3:31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  <c r="AC915" s="144"/>
      <c r="AD915" s="144"/>
      <c r="AE915" s="144"/>
    </row>
    <row r="916" spans="3:31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  <c r="AC916" s="144"/>
      <c r="AD916" s="144"/>
      <c r="AE916" s="144"/>
    </row>
    <row r="917" spans="3:31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  <c r="AC917" s="144"/>
      <c r="AD917" s="144"/>
      <c r="AE917" s="144"/>
    </row>
    <row r="918" spans="3:31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  <c r="AC918" s="144"/>
      <c r="AD918" s="144"/>
      <c r="AE918" s="144"/>
    </row>
    <row r="919" spans="3:31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  <c r="AC919" s="144"/>
      <c r="AD919" s="144"/>
      <c r="AE919" s="144"/>
    </row>
    <row r="920" spans="3:31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  <c r="AC920" s="144"/>
      <c r="AD920" s="144"/>
      <c r="AE920" s="144"/>
    </row>
    <row r="921" spans="3:31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  <c r="AC921" s="144"/>
      <c r="AD921" s="144"/>
      <c r="AE921" s="144"/>
    </row>
    <row r="922" spans="3:31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  <c r="AC922" s="144"/>
      <c r="AD922" s="144"/>
      <c r="AE922" s="144"/>
    </row>
    <row r="923" spans="3:31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</row>
    <row r="924" spans="3:31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  <c r="AC924" s="144"/>
      <c r="AD924" s="144"/>
      <c r="AE924" s="144"/>
    </row>
    <row r="925" spans="3:31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  <c r="AC925" s="144"/>
      <c r="AD925" s="144"/>
      <c r="AE925" s="144"/>
    </row>
    <row r="926" spans="3:31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  <c r="AC926" s="144"/>
      <c r="AD926" s="144"/>
      <c r="AE926" s="144"/>
    </row>
    <row r="927" spans="3:31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  <c r="AC927" s="144"/>
      <c r="AD927" s="144"/>
      <c r="AE927" s="144"/>
    </row>
    <row r="928" spans="3:31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</row>
    <row r="929" spans="3:31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  <c r="AC929" s="144"/>
      <c r="AD929" s="144"/>
      <c r="AE929" s="144"/>
    </row>
    <row r="930" spans="3:31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  <c r="AC930" s="144"/>
      <c r="AD930" s="144"/>
      <c r="AE930" s="144"/>
    </row>
    <row r="931" spans="3:31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  <c r="AC931" s="144"/>
      <c r="AD931" s="144"/>
      <c r="AE931" s="144"/>
    </row>
    <row r="932" spans="3:31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  <c r="AC932" s="144"/>
      <c r="AD932" s="144"/>
      <c r="AE932" s="144"/>
    </row>
    <row r="933" spans="3:31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  <c r="AC933" s="144"/>
      <c r="AD933" s="144"/>
      <c r="AE933" s="144"/>
    </row>
    <row r="934" spans="3:31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  <c r="AC934" s="144"/>
      <c r="AD934" s="144"/>
      <c r="AE934" s="144"/>
    </row>
    <row r="935" spans="3:31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  <c r="AC935" s="144"/>
      <c r="AD935" s="144"/>
      <c r="AE935" s="144"/>
    </row>
    <row r="936" spans="3:31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  <c r="AC936" s="144"/>
      <c r="AD936" s="144"/>
      <c r="AE936" s="144"/>
    </row>
    <row r="937" spans="3:31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  <c r="AC937" s="144"/>
      <c r="AD937" s="144"/>
      <c r="AE937" s="144"/>
    </row>
    <row r="938" spans="3:31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  <c r="AC938" s="144"/>
      <c r="AD938" s="144"/>
      <c r="AE938" s="144"/>
    </row>
    <row r="939" spans="3:31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  <c r="AC939" s="144"/>
      <c r="AD939" s="144"/>
      <c r="AE939" s="144"/>
    </row>
    <row r="940" spans="3:31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  <c r="AC940" s="144"/>
      <c r="AD940" s="144"/>
      <c r="AE940" s="144"/>
    </row>
    <row r="941" spans="3:31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  <c r="AC941" s="144"/>
      <c r="AD941" s="144"/>
      <c r="AE941" s="144"/>
    </row>
    <row r="942" spans="3:31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  <c r="AC942" s="144"/>
      <c r="AD942" s="144"/>
      <c r="AE942" s="144"/>
    </row>
    <row r="943" spans="3:31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  <c r="AC943" s="144"/>
      <c r="AD943" s="144"/>
      <c r="AE943" s="144"/>
    </row>
    <row r="944" spans="3:31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  <c r="AC944" s="144"/>
      <c r="AD944" s="144"/>
      <c r="AE944" s="144"/>
    </row>
    <row r="945" spans="3:31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  <c r="AC945" s="144"/>
      <c r="AD945" s="144"/>
      <c r="AE945" s="144"/>
    </row>
    <row r="946" spans="3:31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  <c r="AC946" s="144"/>
      <c r="AD946" s="144"/>
      <c r="AE946" s="144"/>
    </row>
    <row r="947" spans="3:31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  <c r="AC947" s="144"/>
      <c r="AD947" s="144"/>
      <c r="AE947" s="144"/>
    </row>
    <row r="948" spans="3:31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  <c r="AC948" s="144"/>
      <c r="AD948" s="144"/>
      <c r="AE948" s="144"/>
    </row>
    <row r="949" spans="3:31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  <c r="AC949" s="144"/>
      <c r="AD949" s="144"/>
      <c r="AE949" s="144"/>
    </row>
    <row r="950" spans="3:31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  <c r="AC950" s="144"/>
      <c r="AD950" s="144"/>
      <c r="AE950" s="144"/>
    </row>
    <row r="951" spans="3:31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  <c r="AC951" s="144"/>
      <c r="AD951" s="144"/>
      <c r="AE951" s="144"/>
    </row>
    <row r="952" spans="3:31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  <c r="AC952" s="144"/>
      <c r="AD952" s="144"/>
      <c r="AE952" s="144"/>
    </row>
    <row r="953" spans="3:31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  <c r="AC953" s="144"/>
      <c r="AD953" s="144"/>
      <c r="AE953" s="144"/>
    </row>
    <row r="954" spans="3:31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  <c r="AC954" s="144"/>
      <c r="AD954" s="144"/>
      <c r="AE954" s="144"/>
    </row>
    <row r="955" spans="3:31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  <c r="AC955" s="144"/>
      <c r="AD955" s="144"/>
      <c r="AE955" s="144"/>
    </row>
    <row r="956" spans="3:31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  <c r="AC956" s="144"/>
      <c r="AD956" s="144"/>
      <c r="AE956" s="144"/>
    </row>
    <row r="957" spans="3:31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</row>
    <row r="958" spans="3:31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  <c r="AC958" s="144"/>
      <c r="AD958" s="144"/>
      <c r="AE958" s="144"/>
    </row>
    <row r="959" spans="3:31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  <c r="AC959" s="144"/>
      <c r="AD959" s="144"/>
      <c r="AE959" s="144"/>
    </row>
    <row r="960" spans="3:31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  <c r="AC960" s="144"/>
      <c r="AD960" s="144"/>
      <c r="AE960" s="144"/>
    </row>
    <row r="961" spans="3:31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  <c r="AC961" s="144"/>
      <c r="AD961" s="144"/>
      <c r="AE961" s="144"/>
    </row>
    <row r="962" spans="3:31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  <c r="AC962" s="144"/>
      <c r="AD962" s="144"/>
      <c r="AE962" s="144"/>
    </row>
    <row r="963" spans="3:31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  <c r="AC963" s="144"/>
      <c r="AD963" s="144"/>
      <c r="AE963" s="144"/>
    </row>
    <row r="964" spans="3:31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  <c r="AC964" s="144"/>
      <c r="AD964" s="144"/>
      <c r="AE964" s="144"/>
    </row>
    <row r="965" spans="3:31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  <c r="AC965" s="144"/>
      <c r="AD965" s="144"/>
      <c r="AE965" s="144"/>
    </row>
    <row r="966" spans="3:31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  <c r="AC966" s="144"/>
      <c r="AD966" s="144"/>
      <c r="AE966" s="144"/>
    </row>
    <row r="967" spans="3:31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  <c r="AC967" s="144"/>
      <c r="AD967" s="144"/>
      <c r="AE967" s="144"/>
    </row>
    <row r="968" spans="3:31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  <c r="AC968" s="144"/>
      <c r="AD968" s="144"/>
      <c r="AE968" s="144"/>
    </row>
    <row r="969" spans="3:31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  <c r="AC969" s="144"/>
      <c r="AD969" s="144"/>
      <c r="AE969" s="144"/>
    </row>
    <row r="970" spans="3:31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  <c r="AC970" s="144"/>
      <c r="AD970" s="144"/>
      <c r="AE970" s="144"/>
    </row>
    <row r="971" spans="3:31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  <c r="AC971" s="144"/>
      <c r="AD971" s="144"/>
      <c r="AE971" s="144"/>
    </row>
    <row r="972" spans="3:31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  <c r="AC972" s="144"/>
      <c r="AD972" s="144"/>
      <c r="AE972" s="144"/>
    </row>
    <row r="973" spans="3:31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  <c r="AC973" s="144"/>
      <c r="AD973" s="144"/>
      <c r="AE973" s="144"/>
    </row>
    <row r="974" spans="3:31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  <c r="AC974" s="144"/>
      <c r="AD974" s="144"/>
      <c r="AE974" s="144"/>
    </row>
    <row r="975" spans="3:31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  <c r="AC975" s="144"/>
      <c r="AD975" s="144"/>
      <c r="AE975" s="144"/>
    </row>
    <row r="976" spans="3:31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  <c r="AC976" s="144"/>
      <c r="AD976" s="144"/>
      <c r="AE976" s="144"/>
    </row>
    <row r="977" spans="3:31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  <c r="AC977" s="144"/>
      <c r="AD977" s="144"/>
      <c r="AE977" s="144"/>
    </row>
    <row r="978" spans="3:31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  <c r="AC978" s="144"/>
      <c r="AD978" s="144"/>
      <c r="AE978" s="144"/>
    </row>
    <row r="979" spans="3:31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  <c r="AC979" s="144"/>
      <c r="AD979" s="144"/>
      <c r="AE979" s="144"/>
    </row>
    <row r="980" spans="3:31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  <c r="AC980" s="144"/>
      <c r="AD980" s="144"/>
      <c r="AE980" s="144"/>
    </row>
    <row r="981" spans="3:31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  <c r="AC981" s="144"/>
      <c r="AD981" s="144"/>
      <c r="AE981" s="144"/>
    </row>
    <row r="982" spans="3:31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  <c r="AC982" s="144"/>
      <c r="AD982" s="144"/>
      <c r="AE982" s="144"/>
    </row>
    <row r="983" spans="3:31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  <c r="AC983" s="144"/>
      <c r="AD983" s="144"/>
      <c r="AE983" s="144"/>
    </row>
    <row r="984" spans="3:31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</row>
    <row r="985" spans="3:31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  <c r="AC985" s="144"/>
      <c r="AD985" s="144"/>
      <c r="AE985" s="144"/>
    </row>
    <row r="986" spans="3:31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  <c r="AC986" s="144"/>
      <c r="AD986" s="144"/>
      <c r="AE986" s="144"/>
    </row>
    <row r="987" spans="3:31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  <c r="AC987" s="144"/>
      <c r="AD987" s="144"/>
      <c r="AE987" s="144"/>
    </row>
    <row r="988" spans="3:31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  <c r="AC988" s="144"/>
      <c r="AD988" s="144"/>
      <c r="AE988" s="144"/>
    </row>
    <row r="989" spans="3:31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  <c r="AC989" s="144"/>
      <c r="AD989" s="144"/>
      <c r="AE989" s="144"/>
    </row>
    <row r="990" spans="3:31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  <c r="AC990" s="144"/>
      <c r="AD990" s="144"/>
      <c r="AE990" s="144"/>
    </row>
    <row r="991" spans="3:31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  <c r="AC991" s="144"/>
      <c r="AD991" s="144"/>
      <c r="AE991" s="144"/>
    </row>
    <row r="992" spans="3:31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  <c r="AC992" s="144"/>
      <c r="AD992" s="144"/>
      <c r="AE992" s="144"/>
    </row>
    <row r="993" spans="3:31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</row>
    <row r="994" spans="3:31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  <c r="AC994" s="144"/>
      <c r="AD994" s="144"/>
      <c r="AE994" s="144"/>
    </row>
    <row r="995" spans="3:31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4"/>
      <c r="AA995" s="144"/>
      <c r="AB995" s="144"/>
      <c r="AC995" s="144"/>
      <c r="AD995" s="144"/>
      <c r="AE995" s="144"/>
    </row>
    <row r="996" spans="3:31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  <c r="P996" s="144"/>
      <c r="Q996" s="144"/>
      <c r="R996" s="144"/>
      <c r="S996" s="144"/>
      <c r="T996" s="144"/>
      <c r="U996" s="144"/>
      <c r="V996" s="144"/>
      <c r="W996" s="144"/>
      <c r="X996" s="144"/>
      <c r="Y996" s="144"/>
      <c r="Z996" s="144"/>
      <c r="AA996" s="144"/>
      <c r="AB996" s="144"/>
      <c r="AC996" s="144"/>
      <c r="AD996" s="144"/>
      <c r="AE996" s="144"/>
    </row>
    <row r="997" spans="3:31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  <c r="P997" s="144"/>
      <c r="Q997" s="144"/>
      <c r="R997" s="144"/>
      <c r="S997" s="144"/>
      <c r="T997" s="144"/>
      <c r="U997" s="144"/>
      <c r="V997" s="144"/>
      <c r="W997" s="144"/>
      <c r="X997" s="144"/>
      <c r="Y997" s="144"/>
      <c r="Z997" s="144"/>
      <c r="AA997" s="144"/>
      <c r="AB997" s="144"/>
      <c r="AC997" s="144"/>
      <c r="AD997" s="144"/>
      <c r="AE997" s="144"/>
    </row>
    <row r="998" spans="3:31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  <c r="P998" s="144"/>
      <c r="Q998" s="144"/>
      <c r="R998" s="144"/>
      <c r="S998" s="144"/>
      <c r="T998" s="144"/>
      <c r="U998" s="144"/>
      <c r="V998" s="144"/>
      <c r="W998" s="144"/>
      <c r="X998" s="144"/>
      <c r="Y998" s="144"/>
      <c r="Z998" s="144"/>
      <c r="AA998" s="144"/>
      <c r="AB998" s="144"/>
      <c r="AC998" s="144"/>
      <c r="AD998" s="144"/>
      <c r="AE998" s="144"/>
    </row>
    <row r="999" spans="3:31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4"/>
      <c r="AA999" s="144"/>
      <c r="AB999" s="144"/>
      <c r="AC999" s="144"/>
      <c r="AD999" s="144"/>
      <c r="AE999" s="144"/>
    </row>
    <row r="1000" spans="3:31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  <c r="P1000" s="144"/>
      <c r="Q1000" s="144"/>
      <c r="R1000" s="144"/>
      <c r="S1000" s="144"/>
      <c r="T1000" s="144"/>
      <c r="U1000" s="144"/>
      <c r="V1000" s="144"/>
      <c r="W1000" s="144"/>
      <c r="X1000" s="144"/>
      <c r="Y1000" s="144"/>
      <c r="Z1000" s="144"/>
      <c r="AA1000" s="144"/>
      <c r="AB1000" s="144"/>
      <c r="AC1000" s="144"/>
      <c r="AD1000" s="144"/>
      <c r="AE1000" s="144"/>
    </row>
    <row r="1001" spans="3:31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  <c r="P1001" s="144"/>
      <c r="Q1001" s="144"/>
      <c r="R1001" s="144"/>
      <c r="S1001" s="144"/>
      <c r="T1001" s="144"/>
      <c r="U1001" s="144"/>
      <c r="V1001" s="144"/>
      <c r="W1001" s="144"/>
      <c r="X1001" s="144"/>
      <c r="Y1001" s="144"/>
      <c r="Z1001" s="144"/>
      <c r="AA1001" s="144"/>
      <c r="AB1001" s="144"/>
      <c r="AC1001" s="144"/>
      <c r="AD1001" s="144"/>
      <c r="AE1001" s="144"/>
    </row>
    <row r="1002" spans="3:31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  <c r="P1002" s="144"/>
      <c r="Q1002" s="144"/>
      <c r="R1002" s="144"/>
      <c r="S1002" s="144"/>
      <c r="T1002" s="144"/>
      <c r="U1002" s="144"/>
      <c r="V1002" s="144"/>
      <c r="W1002" s="144"/>
      <c r="X1002" s="144"/>
      <c r="Y1002" s="144"/>
      <c r="Z1002" s="144"/>
      <c r="AA1002" s="144"/>
      <c r="AB1002" s="144"/>
      <c r="AC1002" s="144"/>
      <c r="AD1002" s="144"/>
      <c r="AE1002" s="144"/>
    </row>
    <row r="1003" spans="3:31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4"/>
      <c r="AA1003" s="144"/>
      <c r="AB1003" s="144"/>
      <c r="AC1003" s="144"/>
      <c r="AD1003" s="144"/>
      <c r="AE1003" s="144"/>
    </row>
    <row r="1004" spans="3:31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4"/>
      <c r="AA1004" s="144"/>
      <c r="AB1004" s="144"/>
      <c r="AC1004" s="144"/>
      <c r="AD1004" s="144"/>
      <c r="AE1004" s="144"/>
    </row>
    <row r="1005" spans="3:31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4"/>
      <c r="AA1005" s="144"/>
      <c r="AB1005" s="144"/>
      <c r="AC1005" s="144"/>
      <c r="AD1005" s="144"/>
      <c r="AE1005" s="144"/>
    </row>
    <row r="1006" spans="3:31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  <c r="P1006" s="144"/>
      <c r="Q1006" s="144"/>
      <c r="R1006" s="144"/>
      <c r="S1006" s="144"/>
      <c r="T1006" s="144"/>
      <c r="U1006" s="144"/>
      <c r="V1006" s="144"/>
      <c r="W1006" s="144"/>
      <c r="X1006" s="144"/>
      <c r="Y1006" s="144"/>
      <c r="Z1006" s="144"/>
      <c r="AA1006" s="144"/>
      <c r="AB1006" s="144"/>
      <c r="AC1006" s="144"/>
      <c r="AD1006" s="144"/>
      <c r="AE1006" s="144"/>
    </row>
    <row r="1007" spans="3:31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4"/>
      <c r="AA1007" s="144"/>
      <c r="AB1007" s="144"/>
      <c r="AC1007" s="144"/>
      <c r="AD1007" s="144"/>
      <c r="AE1007" s="144"/>
    </row>
    <row r="1008" spans="3:31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  <c r="P1008" s="144"/>
      <c r="Q1008" s="144"/>
      <c r="R1008" s="144"/>
      <c r="S1008" s="144"/>
      <c r="T1008" s="144"/>
      <c r="U1008" s="144"/>
      <c r="V1008" s="144"/>
      <c r="W1008" s="144"/>
      <c r="X1008" s="144"/>
      <c r="Y1008" s="144"/>
      <c r="Z1008" s="144"/>
      <c r="AA1008" s="144"/>
      <c r="AB1008" s="144"/>
      <c r="AC1008" s="144"/>
      <c r="AD1008" s="144"/>
      <c r="AE1008" s="144"/>
    </row>
    <row r="1009" spans="3:31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  <c r="P1009" s="144"/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4"/>
      <c r="AA1009" s="144"/>
      <c r="AB1009" s="144"/>
      <c r="AC1009" s="144"/>
      <c r="AD1009" s="144"/>
      <c r="AE1009" s="144"/>
    </row>
    <row r="1010" spans="3:31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4"/>
      <c r="AA1010" s="144"/>
      <c r="AB1010" s="144"/>
      <c r="AC1010" s="144"/>
      <c r="AD1010" s="144"/>
      <c r="AE1010" s="144"/>
    </row>
    <row r="1011" spans="3:31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4"/>
      <c r="AA1011" s="144"/>
      <c r="AB1011" s="144"/>
      <c r="AC1011" s="144"/>
      <c r="AD1011" s="144"/>
      <c r="AE1011" s="144"/>
    </row>
    <row r="1012" spans="3:31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4"/>
      <c r="AA1012" s="144"/>
      <c r="AB1012" s="144"/>
      <c r="AC1012" s="144"/>
      <c r="AD1012" s="144"/>
      <c r="AE1012" s="144"/>
    </row>
    <row r="1013" spans="3:31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4"/>
      <c r="AA1013" s="144"/>
      <c r="AB1013" s="144"/>
      <c r="AC1013" s="144"/>
      <c r="AD1013" s="144"/>
      <c r="AE1013" s="144"/>
    </row>
    <row r="1014" spans="3:31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4"/>
      <c r="AA1014" s="144"/>
      <c r="AB1014" s="144"/>
      <c r="AC1014" s="144"/>
      <c r="AD1014" s="144"/>
      <c r="AE1014" s="144"/>
    </row>
    <row r="1015" spans="3:31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4"/>
      <c r="AA1015" s="144"/>
      <c r="AB1015" s="144"/>
      <c r="AC1015" s="144"/>
      <c r="AD1015" s="144"/>
      <c r="AE1015" s="144"/>
    </row>
    <row r="1016" spans="3:31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4"/>
      <c r="AA1016" s="144"/>
      <c r="AB1016" s="144"/>
      <c r="AC1016" s="144"/>
      <c r="AD1016" s="144"/>
      <c r="AE1016" s="144"/>
    </row>
    <row r="1017" spans="3:31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4"/>
      <c r="AA1017" s="144"/>
      <c r="AB1017" s="144"/>
      <c r="AC1017" s="144"/>
      <c r="AD1017" s="144"/>
      <c r="AE1017" s="144"/>
    </row>
    <row r="1018" spans="3:31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4"/>
      <c r="AA1018" s="144"/>
      <c r="AB1018" s="144"/>
      <c r="AC1018" s="144"/>
      <c r="AD1018" s="144"/>
      <c r="AE1018" s="144"/>
    </row>
    <row r="1019" spans="3:31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4"/>
      <c r="AA1019" s="144"/>
      <c r="AB1019" s="144"/>
      <c r="AC1019" s="144"/>
      <c r="AD1019" s="144"/>
      <c r="AE1019" s="144"/>
    </row>
    <row r="1020" spans="3:31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  <c r="AA1020" s="144"/>
      <c r="AB1020" s="144"/>
      <c r="AC1020" s="144"/>
      <c r="AD1020" s="144"/>
      <c r="AE1020" s="144"/>
    </row>
    <row r="1021" spans="3:31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4"/>
      <c r="AA1021" s="144"/>
      <c r="AB1021" s="144"/>
      <c r="AC1021" s="144"/>
      <c r="AD1021" s="144"/>
      <c r="AE1021" s="144"/>
    </row>
    <row r="1022" spans="3:31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4"/>
      <c r="AA1022" s="144"/>
      <c r="AB1022" s="144"/>
      <c r="AC1022" s="144"/>
      <c r="AD1022" s="144"/>
      <c r="AE1022" s="144"/>
    </row>
    <row r="1023" spans="3:31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  <c r="P1023" s="144"/>
      <c r="Q1023" s="144"/>
      <c r="R1023" s="144"/>
      <c r="S1023" s="144"/>
      <c r="T1023" s="144"/>
      <c r="U1023" s="144"/>
      <c r="V1023" s="144"/>
      <c r="W1023" s="144"/>
      <c r="X1023" s="144"/>
      <c r="Y1023" s="144"/>
      <c r="Z1023" s="144"/>
      <c r="AA1023" s="144"/>
      <c r="AB1023" s="144"/>
      <c r="AC1023" s="144"/>
      <c r="AD1023" s="144"/>
      <c r="AE1023" s="144"/>
    </row>
    <row r="1024" spans="3:31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  <c r="P1024" s="144"/>
      <c r="Q1024" s="144"/>
      <c r="R1024" s="144"/>
      <c r="S1024" s="144"/>
      <c r="T1024" s="144"/>
      <c r="U1024" s="144"/>
      <c r="V1024" s="144"/>
      <c r="W1024" s="144"/>
      <c r="X1024" s="144"/>
      <c r="Y1024" s="144"/>
      <c r="Z1024" s="144"/>
      <c r="AA1024" s="144"/>
      <c r="AB1024" s="144"/>
      <c r="AC1024" s="144"/>
      <c r="AD1024" s="144"/>
      <c r="AE1024" s="144"/>
    </row>
    <row r="1025" spans="3:31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4"/>
      <c r="AA1025" s="144"/>
      <c r="AB1025" s="144"/>
      <c r="AC1025" s="144"/>
      <c r="AD1025" s="144"/>
      <c r="AE1025" s="144"/>
    </row>
    <row r="1026" spans="3:31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  <c r="AC1026" s="144"/>
      <c r="AD1026" s="144"/>
      <c r="AE1026" s="144"/>
    </row>
    <row r="1027" spans="3:31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4"/>
      <c r="AA1027" s="144"/>
      <c r="AB1027" s="144"/>
      <c r="AC1027" s="144"/>
      <c r="AD1027" s="144"/>
      <c r="AE1027" s="144"/>
    </row>
    <row r="1028" spans="3:31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4"/>
      <c r="AA1028" s="144"/>
      <c r="AB1028" s="144"/>
      <c r="AC1028" s="144"/>
      <c r="AD1028" s="144"/>
      <c r="AE1028" s="144"/>
    </row>
    <row r="1029" spans="3:31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4"/>
      <c r="AA1029" s="144"/>
      <c r="AB1029" s="144"/>
      <c r="AC1029" s="144"/>
      <c r="AD1029" s="144"/>
      <c r="AE1029" s="144"/>
    </row>
    <row r="1030" spans="3:31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4"/>
      <c r="AA1030" s="144"/>
      <c r="AB1030" s="144"/>
      <c r="AC1030" s="144"/>
      <c r="AD1030" s="144"/>
      <c r="AE1030" s="144"/>
    </row>
    <row r="1031" spans="3:31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  <c r="P1031" s="144"/>
      <c r="Q1031" s="144"/>
      <c r="R1031" s="144"/>
      <c r="S1031" s="144"/>
      <c r="T1031" s="144"/>
      <c r="U1031" s="144"/>
      <c r="V1031" s="144"/>
      <c r="W1031" s="144"/>
      <c r="X1031" s="144"/>
      <c r="Y1031" s="144"/>
      <c r="Z1031" s="144"/>
      <c r="AA1031" s="144"/>
      <c r="AB1031" s="144"/>
      <c r="AC1031" s="144"/>
      <c r="AD1031" s="144"/>
      <c r="AE1031" s="144"/>
    </row>
    <row r="1032" spans="3:31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  <c r="P1032" s="144"/>
      <c r="Q1032" s="144"/>
      <c r="R1032" s="144"/>
      <c r="S1032" s="144"/>
      <c r="T1032" s="144"/>
      <c r="U1032" s="144"/>
      <c r="V1032" s="144"/>
      <c r="W1032" s="144"/>
      <c r="X1032" s="144"/>
      <c r="Y1032" s="144"/>
      <c r="Z1032" s="144"/>
      <c r="AA1032" s="144"/>
      <c r="AB1032" s="144"/>
      <c r="AC1032" s="144"/>
      <c r="AD1032" s="144"/>
      <c r="AE1032" s="144"/>
    </row>
    <row r="1033" spans="3:31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  <c r="P1033" s="144"/>
      <c r="Q1033" s="144"/>
      <c r="R1033" s="144"/>
      <c r="S1033" s="144"/>
      <c r="T1033" s="144"/>
      <c r="U1033" s="144"/>
      <c r="V1033" s="144"/>
      <c r="W1033" s="144"/>
      <c r="X1033" s="144"/>
      <c r="Y1033" s="144"/>
      <c r="Z1033" s="144"/>
      <c r="AA1033" s="144"/>
      <c r="AB1033" s="144"/>
      <c r="AC1033" s="144"/>
      <c r="AD1033" s="144"/>
      <c r="AE1033" s="144"/>
    </row>
    <row r="1034" spans="3:31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  <c r="P1034" s="144"/>
      <c r="Q1034" s="144"/>
      <c r="R1034" s="144"/>
      <c r="S1034" s="144"/>
      <c r="T1034" s="144"/>
      <c r="U1034" s="144"/>
      <c r="V1034" s="144"/>
      <c r="W1034" s="144"/>
      <c r="X1034" s="144"/>
      <c r="Y1034" s="144"/>
      <c r="Z1034" s="144"/>
      <c r="AA1034" s="144"/>
      <c r="AB1034" s="144"/>
      <c r="AC1034" s="144"/>
      <c r="AD1034" s="144"/>
      <c r="AE1034" s="144"/>
    </row>
    <row r="1035" spans="3:31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4"/>
      <c r="AA1035" s="144"/>
      <c r="AB1035" s="144"/>
      <c r="AC1035" s="144"/>
      <c r="AD1035" s="144"/>
      <c r="AE1035" s="144"/>
    </row>
    <row r="1036" spans="3:31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  <c r="P1036" s="144"/>
      <c r="Q1036" s="144"/>
      <c r="R1036" s="144"/>
      <c r="S1036" s="144"/>
      <c r="T1036" s="144"/>
      <c r="U1036" s="144"/>
      <c r="V1036" s="144"/>
      <c r="W1036" s="144"/>
      <c r="X1036" s="144"/>
      <c r="Y1036" s="144"/>
      <c r="Z1036" s="144"/>
      <c r="AA1036" s="144"/>
      <c r="AB1036" s="144"/>
      <c r="AC1036" s="144"/>
      <c r="AD1036" s="144"/>
      <c r="AE1036" s="144"/>
    </row>
    <row r="1037" spans="3:31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  <c r="P1037" s="144"/>
      <c r="Q1037" s="144"/>
      <c r="R1037" s="144"/>
      <c r="S1037" s="144"/>
      <c r="T1037" s="144"/>
      <c r="U1037" s="144"/>
      <c r="V1037" s="144"/>
      <c r="W1037" s="144"/>
      <c r="X1037" s="144"/>
      <c r="Y1037" s="144"/>
      <c r="Z1037" s="144"/>
      <c r="AA1037" s="144"/>
      <c r="AB1037" s="144"/>
      <c r="AC1037" s="144"/>
      <c r="AD1037" s="144"/>
      <c r="AE1037" s="144"/>
    </row>
    <row r="1038" spans="3:31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  <c r="P1038" s="144"/>
      <c r="Q1038" s="144"/>
      <c r="R1038" s="144"/>
      <c r="S1038" s="144"/>
      <c r="T1038" s="144"/>
      <c r="U1038" s="144"/>
      <c r="V1038" s="144"/>
      <c r="W1038" s="144"/>
      <c r="X1038" s="144"/>
      <c r="Y1038" s="144"/>
      <c r="Z1038" s="144"/>
      <c r="AA1038" s="144"/>
      <c r="AB1038" s="144"/>
      <c r="AC1038" s="144"/>
      <c r="AD1038" s="144"/>
      <c r="AE1038" s="144"/>
    </row>
    <row r="1039" spans="3:31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  <c r="P1039" s="144"/>
      <c r="Q1039" s="144"/>
      <c r="R1039" s="144"/>
      <c r="S1039" s="144"/>
      <c r="T1039" s="144"/>
      <c r="U1039" s="144"/>
      <c r="V1039" s="144"/>
      <c r="W1039" s="144"/>
      <c r="X1039" s="144"/>
      <c r="Y1039" s="144"/>
      <c r="Z1039" s="144"/>
      <c r="AA1039" s="144"/>
      <c r="AB1039" s="144"/>
      <c r="AC1039" s="144"/>
      <c r="AD1039" s="144"/>
      <c r="AE1039" s="144"/>
    </row>
    <row r="1040" spans="3:31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  <c r="P1040" s="144"/>
      <c r="Q1040" s="144"/>
      <c r="R1040" s="144"/>
      <c r="S1040" s="144"/>
      <c r="T1040" s="144"/>
      <c r="U1040" s="144"/>
      <c r="V1040" s="144"/>
      <c r="W1040" s="144"/>
      <c r="X1040" s="144"/>
      <c r="Y1040" s="144"/>
      <c r="Z1040" s="144"/>
      <c r="AA1040" s="144"/>
      <c r="AB1040" s="144"/>
      <c r="AC1040" s="144"/>
      <c r="AD1040" s="144"/>
      <c r="AE1040" s="144"/>
    </row>
    <row r="1041" spans="3:31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  <c r="P1041" s="144"/>
      <c r="Q1041" s="144"/>
      <c r="R1041" s="144"/>
      <c r="S1041" s="144"/>
      <c r="T1041" s="144"/>
      <c r="U1041" s="144"/>
      <c r="V1041" s="144"/>
      <c r="W1041" s="144"/>
      <c r="X1041" s="144"/>
      <c r="Y1041" s="144"/>
      <c r="Z1041" s="144"/>
      <c r="AA1041" s="144"/>
      <c r="AB1041" s="144"/>
      <c r="AC1041" s="144"/>
      <c r="AD1041" s="144"/>
      <c r="AE1041" s="144"/>
    </row>
    <row r="1042" spans="3:31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  <c r="P1042" s="144"/>
      <c r="Q1042" s="144"/>
      <c r="R1042" s="144"/>
      <c r="S1042" s="144"/>
      <c r="T1042" s="144"/>
      <c r="U1042" s="144"/>
      <c r="V1042" s="144"/>
      <c r="W1042" s="144"/>
      <c r="X1042" s="144"/>
      <c r="Y1042" s="144"/>
      <c r="Z1042" s="144"/>
      <c r="AA1042" s="144"/>
      <c r="AB1042" s="144"/>
      <c r="AC1042" s="144"/>
      <c r="AD1042" s="144"/>
      <c r="AE1042" s="144"/>
    </row>
    <row r="1043" spans="3:31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  <c r="P1043" s="144"/>
      <c r="Q1043" s="144"/>
      <c r="R1043" s="144"/>
      <c r="S1043" s="144"/>
      <c r="T1043" s="144"/>
      <c r="U1043" s="144"/>
      <c r="V1043" s="144"/>
      <c r="W1043" s="144"/>
      <c r="X1043" s="144"/>
      <c r="Y1043" s="144"/>
      <c r="Z1043" s="144"/>
      <c r="AA1043" s="144"/>
      <c r="AB1043" s="144"/>
      <c r="AC1043" s="144"/>
      <c r="AD1043" s="144"/>
      <c r="AE1043" s="144"/>
    </row>
    <row r="1044" spans="3:31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  <c r="P1044" s="144"/>
      <c r="Q1044" s="144"/>
      <c r="R1044" s="144"/>
      <c r="S1044" s="144"/>
      <c r="T1044" s="144"/>
      <c r="U1044" s="144"/>
      <c r="V1044" s="144"/>
      <c r="W1044" s="144"/>
      <c r="X1044" s="144"/>
      <c r="Y1044" s="144"/>
      <c r="Z1044" s="144"/>
      <c r="AA1044" s="144"/>
      <c r="AB1044" s="144"/>
      <c r="AC1044" s="144"/>
      <c r="AD1044" s="144"/>
      <c r="AE1044" s="144"/>
    </row>
    <row r="1045" spans="3:31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4"/>
      <c r="AA1045" s="144"/>
      <c r="AB1045" s="144"/>
      <c r="AC1045" s="144"/>
      <c r="AD1045" s="144"/>
      <c r="AE1045" s="144"/>
    </row>
    <row r="1046" spans="3:31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  <c r="P1046" s="144"/>
      <c r="Q1046" s="144"/>
      <c r="R1046" s="144"/>
      <c r="S1046" s="144"/>
      <c r="T1046" s="144"/>
      <c r="U1046" s="144"/>
      <c r="V1046" s="144"/>
      <c r="W1046" s="144"/>
      <c r="X1046" s="144"/>
      <c r="Y1046" s="144"/>
      <c r="Z1046" s="144"/>
      <c r="AA1046" s="144"/>
      <c r="AB1046" s="144"/>
      <c r="AC1046" s="144"/>
      <c r="AD1046" s="144"/>
      <c r="AE1046" s="144"/>
    </row>
    <row r="1047" spans="3:31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  <c r="P1047" s="144"/>
      <c r="Q1047" s="144"/>
      <c r="R1047" s="144"/>
      <c r="S1047" s="144"/>
      <c r="T1047" s="144"/>
      <c r="U1047" s="144"/>
      <c r="V1047" s="144"/>
      <c r="W1047" s="144"/>
      <c r="X1047" s="144"/>
      <c r="Y1047" s="144"/>
      <c r="Z1047" s="144"/>
      <c r="AA1047" s="144"/>
      <c r="AB1047" s="144"/>
      <c r="AC1047" s="144"/>
      <c r="AD1047" s="144"/>
      <c r="AE1047" s="144"/>
    </row>
    <row r="1048" spans="3:31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  <c r="P1048" s="144"/>
      <c r="Q1048" s="144"/>
      <c r="R1048" s="144"/>
      <c r="S1048" s="144"/>
      <c r="T1048" s="144"/>
      <c r="U1048" s="144"/>
      <c r="V1048" s="144"/>
      <c r="W1048" s="144"/>
      <c r="X1048" s="144"/>
      <c r="Y1048" s="144"/>
      <c r="Z1048" s="144"/>
      <c r="AA1048" s="144"/>
      <c r="AB1048" s="144"/>
      <c r="AC1048" s="144"/>
      <c r="AD1048" s="144"/>
      <c r="AE1048" s="144"/>
    </row>
    <row r="1049" spans="3:31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  <c r="P1049" s="144"/>
      <c r="Q1049" s="144"/>
      <c r="R1049" s="144"/>
      <c r="S1049" s="144"/>
      <c r="T1049" s="144"/>
      <c r="U1049" s="144"/>
      <c r="V1049" s="144"/>
      <c r="W1049" s="144"/>
      <c r="X1049" s="144"/>
      <c r="Y1049" s="144"/>
      <c r="Z1049" s="144"/>
      <c r="AA1049" s="144"/>
      <c r="AB1049" s="144"/>
      <c r="AC1049" s="144"/>
      <c r="AD1049" s="144"/>
      <c r="AE1049" s="144"/>
    </row>
    <row r="1050" spans="3:31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  <c r="P1050" s="144"/>
      <c r="Q1050" s="144"/>
      <c r="R1050" s="144"/>
      <c r="S1050" s="144"/>
      <c r="T1050" s="144"/>
      <c r="U1050" s="144"/>
      <c r="V1050" s="144"/>
      <c r="W1050" s="144"/>
      <c r="X1050" s="144"/>
      <c r="Y1050" s="144"/>
      <c r="Z1050" s="144"/>
      <c r="AA1050" s="144"/>
      <c r="AB1050" s="144"/>
      <c r="AC1050" s="144"/>
      <c r="AD1050" s="144"/>
      <c r="AE1050" s="144"/>
    </row>
    <row r="1051" spans="3:31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  <c r="P1051" s="144"/>
      <c r="Q1051" s="144"/>
      <c r="R1051" s="144"/>
      <c r="S1051" s="144"/>
      <c r="T1051" s="144"/>
      <c r="U1051" s="144"/>
      <c r="V1051" s="144"/>
      <c r="W1051" s="144"/>
      <c r="X1051" s="144"/>
      <c r="Y1051" s="144"/>
      <c r="Z1051" s="144"/>
      <c r="AA1051" s="144"/>
      <c r="AB1051" s="144"/>
      <c r="AC1051" s="144"/>
      <c r="AD1051" s="144"/>
      <c r="AE1051" s="144"/>
    </row>
    <row r="1052" spans="3:31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  <c r="P1052" s="144"/>
      <c r="Q1052" s="144"/>
      <c r="R1052" s="144"/>
      <c r="S1052" s="144"/>
      <c r="T1052" s="144"/>
      <c r="U1052" s="144"/>
      <c r="V1052" s="144"/>
      <c r="W1052" s="144"/>
      <c r="X1052" s="144"/>
      <c r="Y1052" s="144"/>
      <c r="Z1052" s="144"/>
      <c r="AA1052" s="144"/>
      <c r="AB1052" s="144"/>
      <c r="AC1052" s="144"/>
      <c r="AD1052" s="144"/>
      <c r="AE1052" s="144"/>
    </row>
    <row r="1053" spans="3:31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  <c r="P1053" s="144"/>
      <c r="Q1053" s="144"/>
      <c r="R1053" s="144"/>
      <c r="S1053" s="144"/>
      <c r="T1053" s="144"/>
      <c r="U1053" s="144"/>
      <c r="V1053" s="144"/>
      <c r="W1053" s="144"/>
      <c r="X1053" s="144"/>
      <c r="Y1053" s="144"/>
      <c r="Z1053" s="144"/>
      <c r="AA1053" s="144"/>
      <c r="AB1053" s="144"/>
      <c r="AC1053" s="144"/>
      <c r="AD1053" s="144"/>
      <c r="AE1053" s="144"/>
    </row>
    <row r="1054" spans="3:31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  <c r="P1054" s="144"/>
      <c r="Q1054" s="144"/>
      <c r="R1054" s="144"/>
      <c r="S1054" s="144"/>
      <c r="T1054" s="144"/>
      <c r="U1054" s="144"/>
      <c r="V1054" s="144"/>
      <c r="W1054" s="144"/>
      <c r="X1054" s="144"/>
      <c r="Y1054" s="144"/>
      <c r="Z1054" s="144"/>
      <c r="AA1054" s="144"/>
      <c r="AB1054" s="144"/>
      <c r="AC1054" s="144"/>
      <c r="AD1054" s="144"/>
      <c r="AE1054" s="144"/>
    </row>
    <row r="1055" spans="3:31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  <c r="P1055" s="144"/>
      <c r="Q1055" s="144"/>
      <c r="R1055" s="144"/>
      <c r="S1055" s="144"/>
      <c r="T1055" s="144"/>
      <c r="U1055" s="144"/>
      <c r="V1055" s="144"/>
      <c r="W1055" s="144"/>
      <c r="X1055" s="144"/>
      <c r="Y1055" s="144"/>
      <c r="Z1055" s="144"/>
      <c r="AA1055" s="144"/>
      <c r="AB1055" s="144"/>
      <c r="AC1055" s="144"/>
      <c r="AD1055" s="144"/>
      <c r="AE1055" s="144"/>
    </row>
    <row r="1056" spans="3:31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  <c r="P1056" s="144"/>
      <c r="Q1056" s="144"/>
      <c r="R1056" s="144"/>
      <c r="S1056" s="144"/>
      <c r="T1056" s="144"/>
      <c r="U1056" s="144"/>
      <c r="V1056" s="144"/>
      <c r="W1056" s="144"/>
      <c r="X1056" s="144"/>
      <c r="Y1056" s="144"/>
      <c r="Z1056" s="144"/>
      <c r="AA1056" s="144"/>
      <c r="AB1056" s="144"/>
      <c r="AC1056" s="144"/>
      <c r="AD1056" s="144"/>
      <c r="AE1056" s="144"/>
    </row>
    <row r="1057" spans="3:31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  <c r="P1057" s="144"/>
      <c r="Q1057" s="144"/>
      <c r="R1057" s="144"/>
      <c r="S1057" s="144"/>
      <c r="T1057" s="144"/>
      <c r="U1057" s="144"/>
      <c r="V1057" s="144"/>
      <c r="W1057" s="144"/>
      <c r="X1057" s="144"/>
      <c r="Y1057" s="144"/>
      <c r="Z1057" s="144"/>
      <c r="AA1057" s="144"/>
      <c r="AB1057" s="144"/>
      <c r="AC1057" s="144"/>
      <c r="AD1057" s="144"/>
      <c r="AE1057" s="144"/>
    </row>
    <row r="1058" spans="3:31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  <c r="P1058" s="144"/>
      <c r="Q1058" s="144"/>
      <c r="R1058" s="144"/>
      <c r="S1058" s="144"/>
      <c r="T1058" s="144"/>
      <c r="U1058" s="144"/>
      <c r="V1058" s="144"/>
      <c r="W1058" s="144"/>
      <c r="X1058" s="144"/>
      <c r="Y1058" s="144"/>
      <c r="Z1058" s="144"/>
      <c r="AA1058" s="144"/>
      <c r="AB1058" s="144"/>
      <c r="AC1058" s="144"/>
      <c r="AD1058" s="144"/>
      <c r="AE1058" s="144"/>
    </row>
    <row r="1059" spans="3:31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  <c r="AC1059" s="144"/>
      <c r="AD1059" s="144"/>
      <c r="AE1059" s="144"/>
    </row>
    <row r="1060" spans="3:31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  <c r="P1060" s="144"/>
      <c r="Q1060" s="144"/>
      <c r="R1060" s="144"/>
      <c r="S1060" s="144"/>
      <c r="T1060" s="144"/>
      <c r="U1060" s="144"/>
      <c r="V1060" s="144"/>
      <c r="W1060" s="144"/>
      <c r="X1060" s="144"/>
      <c r="Y1060" s="144"/>
      <c r="Z1060" s="144"/>
      <c r="AA1060" s="144"/>
      <c r="AB1060" s="144"/>
      <c r="AC1060" s="144"/>
      <c r="AD1060" s="144"/>
      <c r="AE1060" s="144"/>
    </row>
    <row r="1061" spans="3:31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  <c r="P1061" s="144"/>
      <c r="Q1061" s="144"/>
      <c r="R1061" s="144"/>
      <c r="S1061" s="144"/>
      <c r="T1061" s="144"/>
      <c r="U1061" s="144"/>
      <c r="V1061" s="144"/>
      <c r="W1061" s="144"/>
      <c r="X1061" s="144"/>
      <c r="Y1061" s="144"/>
      <c r="Z1061" s="144"/>
      <c r="AA1061" s="144"/>
      <c r="AB1061" s="144"/>
      <c r="AC1061" s="144"/>
      <c r="AD1061" s="144"/>
      <c r="AE1061" s="144"/>
    </row>
    <row r="1062" spans="3:31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  <c r="P1062" s="144"/>
      <c r="Q1062" s="144"/>
      <c r="R1062" s="144"/>
      <c r="S1062" s="144"/>
      <c r="T1062" s="144"/>
      <c r="U1062" s="144"/>
      <c r="V1062" s="144"/>
      <c r="W1062" s="144"/>
      <c r="X1062" s="144"/>
      <c r="Y1062" s="144"/>
      <c r="Z1062" s="144"/>
      <c r="AA1062" s="144"/>
      <c r="AB1062" s="144"/>
      <c r="AC1062" s="144"/>
      <c r="AD1062" s="144"/>
      <c r="AE1062" s="144"/>
    </row>
    <row r="1063" spans="3:31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  <c r="P1063" s="144"/>
      <c r="Q1063" s="144"/>
      <c r="R1063" s="144"/>
      <c r="S1063" s="144"/>
      <c r="T1063" s="144"/>
      <c r="U1063" s="144"/>
      <c r="V1063" s="144"/>
      <c r="W1063" s="144"/>
      <c r="X1063" s="144"/>
      <c r="Y1063" s="144"/>
      <c r="Z1063" s="144"/>
      <c r="AA1063" s="144"/>
      <c r="AB1063" s="144"/>
      <c r="AC1063" s="144"/>
      <c r="AD1063" s="144"/>
      <c r="AE1063" s="144"/>
    </row>
    <row r="1064" spans="3:31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  <c r="P1064" s="144"/>
      <c r="Q1064" s="144"/>
      <c r="R1064" s="144"/>
      <c r="S1064" s="144"/>
      <c r="T1064" s="144"/>
      <c r="U1064" s="144"/>
      <c r="V1064" s="144"/>
      <c r="W1064" s="144"/>
      <c r="X1064" s="144"/>
      <c r="Y1064" s="144"/>
      <c r="Z1064" s="144"/>
      <c r="AA1064" s="144"/>
      <c r="AB1064" s="144"/>
      <c r="AC1064" s="144"/>
      <c r="AD1064" s="144"/>
      <c r="AE1064" s="144"/>
    </row>
    <row r="1065" spans="3:31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  <c r="P1065" s="144"/>
      <c r="Q1065" s="144"/>
      <c r="R1065" s="144"/>
      <c r="S1065" s="144"/>
      <c r="T1065" s="144"/>
      <c r="U1065" s="144"/>
      <c r="V1065" s="144"/>
      <c r="W1065" s="144"/>
      <c r="X1065" s="144"/>
      <c r="Y1065" s="144"/>
      <c r="Z1065" s="144"/>
      <c r="AA1065" s="144"/>
      <c r="AB1065" s="144"/>
      <c r="AC1065" s="144"/>
      <c r="AD1065" s="144"/>
      <c r="AE1065" s="144"/>
    </row>
    <row r="1066" spans="3:31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  <c r="P1066" s="144"/>
      <c r="Q1066" s="144"/>
      <c r="R1066" s="144"/>
      <c r="S1066" s="144"/>
      <c r="T1066" s="144"/>
      <c r="U1066" s="144"/>
      <c r="V1066" s="144"/>
      <c r="W1066" s="144"/>
      <c r="X1066" s="144"/>
      <c r="Y1066" s="144"/>
      <c r="Z1066" s="144"/>
      <c r="AA1066" s="144"/>
      <c r="AB1066" s="144"/>
      <c r="AC1066" s="144"/>
      <c r="AD1066" s="144"/>
      <c r="AE1066" s="144"/>
    </row>
    <row r="1067" spans="3:31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  <c r="P1067" s="144"/>
      <c r="Q1067" s="144"/>
      <c r="R1067" s="144"/>
      <c r="S1067" s="144"/>
      <c r="T1067" s="144"/>
      <c r="U1067" s="144"/>
      <c r="V1067" s="144"/>
      <c r="W1067" s="144"/>
      <c r="X1067" s="144"/>
      <c r="Y1067" s="144"/>
      <c r="Z1067" s="144"/>
      <c r="AA1067" s="144"/>
      <c r="AB1067" s="144"/>
      <c r="AC1067" s="144"/>
      <c r="AD1067" s="144"/>
      <c r="AE1067" s="144"/>
    </row>
    <row r="1068" spans="3:31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  <c r="P1068" s="144"/>
      <c r="Q1068" s="144"/>
      <c r="R1068" s="144"/>
      <c r="S1068" s="144"/>
      <c r="T1068" s="144"/>
      <c r="U1068" s="144"/>
      <c r="V1068" s="144"/>
      <c r="W1068" s="144"/>
      <c r="X1068" s="144"/>
      <c r="Y1068" s="144"/>
      <c r="Z1068" s="144"/>
      <c r="AA1068" s="144"/>
      <c r="AB1068" s="144"/>
      <c r="AC1068" s="144"/>
      <c r="AD1068" s="144"/>
      <c r="AE1068" s="144"/>
    </row>
    <row r="1069" spans="3:31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  <c r="P1069" s="144"/>
      <c r="Q1069" s="144"/>
      <c r="R1069" s="144"/>
      <c r="S1069" s="144"/>
      <c r="T1069" s="144"/>
      <c r="U1069" s="144"/>
      <c r="V1069" s="144"/>
      <c r="W1069" s="144"/>
      <c r="X1069" s="144"/>
      <c r="Y1069" s="144"/>
      <c r="Z1069" s="144"/>
      <c r="AA1069" s="144"/>
      <c r="AB1069" s="144"/>
      <c r="AC1069" s="144"/>
      <c r="AD1069" s="144"/>
      <c r="AE1069" s="144"/>
    </row>
    <row r="1070" spans="3:31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  <c r="P1070" s="144"/>
      <c r="Q1070" s="144"/>
      <c r="R1070" s="144"/>
      <c r="S1070" s="144"/>
      <c r="T1070" s="144"/>
      <c r="U1070" s="144"/>
      <c r="V1070" s="144"/>
      <c r="W1070" s="144"/>
      <c r="X1070" s="144"/>
      <c r="Y1070" s="144"/>
      <c r="Z1070" s="144"/>
      <c r="AA1070" s="144"/>
      <c r="AB1070" s="144"/>
      <c r="AC1070" s="144"/>
      <c r="AD1070" s="144"/>
      <c r="AE1070" s="144"/>
    </row>
    <row r="1071" spans="3:31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  <c r="P1071" s="144"/>
      <c r="Q1071" s="144"/>
      <c r="R1071" s="144"/>
      <c r="S1071" s="144"/>
      <c r="T1071" s="144"/>
      <c r="U1071" s="144"/>
      <c r="V1071" s="144"/>
      <c r="W1071" s="144"/>
      <c r="X1071" s="144"/>
      <c r="Y1071" s="144"/>
      <c r="Z1071" s="144"/>
      <c r="AA1071" s="144"/>
      <c r="AB1071" s="144"/>
      <c r="AC1071" s="144"/>
      <c r="AD1071" s="144"/>
      <c r="AE1071" s="144"/>
    </row>
    <row r="1072" spans="3:31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  <c r="P1072" s="144"/>
      <c r="Q1072" s="144"/>
      <c r="R1072" s="144"/>
      <c r="S1072" s="144"/>
      <c r="T1072" s="144"/>
      <c r="U1072" s="144"/>
      <c r="V1072" s="144"/>
      <c r="W1072" s="144"/>
      <c r="X1072" s="144"/>
      <c r="Y1072" s="144"/>
      <c r="Z1072" s="144"/>
      <c r="AA1072" s="144"/>
      <c r="AB1072" s="144"/>
      <c r="AC1072" s="144"/>
      <c r="AD1072" s="144"/>
      <c r="AE1072" s="144"/>
    </row>
    <row r="1073" spans="3:31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  <c r="P1073" s="144"/>
      <c r="Q1073" s="144"/>
      <c r="R1073" s="144"/>
      <c r="S1073" s="144"/>
      <c r="T1073" s="144"/>
      <c r="U1073" s="144"/>
      <c r="V1073" s="144"/>
      <c r="W1073" s="144"/>
      <c r="X1073" s="144"/>
      <c r="Y1073" s="144"/>
      <c r="Z1073" s="144"/>
      <c r="AA1073" s="144"/>
      <c r="AB1073" s="144"/>
      <c r="AC1073" s="144"/>
      <c r="AD1073" s="144"/>
      <c r="AE1073" s="144"/>
    </row>
    <row r="1074" spans="3:31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  <c r="P1074" s="144"/>
      <c r="Q1074" s="144"/>
      <c r="R1074" s="144"/>
      <c r="S1074" s="144"/>
      <c r="T1074" s="144"/>
      <c r="U1074" s="144"/>
      <c r="V1074" s="144"/>
      <c r="W1074" s="144"/>
      <c r="X1074" s="144"/>
      <c r="Y1074" s="144"/>
      <c r="Z1074" s="144"/>
      <c r="AA1074" s="144"/>
      <c r="AB1074" s="144"/>
      <c r="AC1074" s="144"/>
      <c r="AD1074" s="144"/>
      <c r="AE1074" s="144"/>
    </row>
    <row r="1075" spans="3:31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  <c r="P1075" s="144"/>
      <c r="Q1075" s="144"/>
      <c r="R1075" s="144"/>
      <c r="S1075" s="144"/>
      <c r="T1075" s="144"/>
      <c r="U1075" s="144"/>
      <c r="V1075" s="144"/>
      <c r="W1075" s="144"/>
      <c r="X1075" s="144"/>
      <c r="Y1075" s="144"/>
      <c r="Z1075" s="144"/>
      <c r="AA1075" s="144"/>
      <c r="AB1075" s="144"/>
      <c r="AC1075" s="144"/>
      <c r="AD1075" s="144"/>
      <c r="AE1075" s="144"/>
    </row>
    <row r="1076" spans="3:31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  <c r="P1076" s="144"/>
      <c r="Q1076" s="144"/>
      <c r="R1076" s="144"/>
      <c r="S1076" s="144"/>
      <c r="T1076" s="144"/>
      <c r="U1076" s="144"/>
      <c r="V1076" s="144"/>
      <c r="W1076" s="144"/>
      <c r="X1076" s="144"/>
      <c r="Y1076" s="144"/>
      <c r="Z1076" s="144"/>
      <c r="AA1076" s="144"/>
      <c r="AB1076" s="144"/>
      <c r="AC1076" s="144"/>
      <c r="AD1076" s="144"/>
      <c r="AE1076" s="144"/>
    </row>
    <row r="1077" spans="3:31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  <c r="P1077" s="144"/>
      <c r="Q1077" s="144"/>
      <c r="R1077" s="144"/>
      <c r="S1077" s="144"/>
      <c r="T1077" s="144"/>
      <c r="U1077" s="144"/>
      <c r="V1077" s="144"/>
      <c r="W1077" s="144"/>
      <c r="X1077" s="144"/>
      <c r="Y1077" s="144"/>
      <c r="Z1077" s="144"/>
      <c r="AA1077" s="144"/>
      <c r="AB1077" s="144"/>
      <c r="AC1077" s="144"/>
      <c r="AD1077" s="144"/>
      <c r="AE1077" s="144"/>
    </row>
    <row r="1078" spans="3:31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  <c r="P1078" s="144"/>
      <c r="Q1078" s="144"/>
      <c r="R1078" s="144"/>
      <c r="S1078" s="144"/>
      <c r="T1078" s="144"/>
      <c r="U1078" s="144"/>
      <c r="V1078" s="144"/>
      <c r="W1078" s="144"/>
      <c r="X1078" s="144"/>
      <c r="Y1078" s="144"/>
      <c r="Z1078" s="144"/>
      <c r="AA1078" s="144"/>
      <c r="AB1078" s="144"/>
      <c r="AC1078" s="144"/>
      <c r="AD1078" s="144"/>
      <c r="AE1078" s="144"/>
    </row>
    <row r="1079" spans="3:31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  <c r="P1079" s="144"/>
      <c r="Q1079" s="144"/>
      <c r="R1079" s="144"/>
      <c r="S1079" s="144"/>
      <c r="T1079" s="144"/>
      <c r="U1079" s="144"/>
      <c r="V1079" s="144"/>
      <c r="W1079" s="144"/>
      <c r="X1079" s="144"/>
      <c r="Y1079" s="144"/>
      <c r="Z1079" s="144"/>
      <c r="AA1079" s="144"/>
      <c r="AB1079" s="144"/>
      <c r="AC1079" s="144"/>
      <c r="AD1079" s="144"/>
      <c r="AE1079" s="144"/>
    </row>
    <row r="1080" spans="3:31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  <c r="P1080" s="144"/>
      <c r="Q1080" s="144"/>
      <c r="R1080" s="144"/>
      <c r="S1080" s="144"/>
      <c r="T1080" s="144"/>
      <c r="U1080" s="144"/>
      <c r="V1080" s="144"/>
      <c r="W1080" s="144"/>
      <c r="X1080" s="144"/>
      <c r="Y1080" s="144"/>
      <c r="Z1080" s="144"/>
      <c r="AA1080" s="144"/>
      <c r="AB1080" s="144"/>
      <c r="AC1080" s="144"/>
      <c r="AD1080" s="144"/>
      <c r="AE1080" s="144"/>
    </row>
    <row r="1081" spans="3:31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  <c r="P1081" s="144"/>
      <c r="Q1081" s="144"/>
      <c r="R1081" s="144"/>
      <c r="S1081" s="144"/>
      <c r="T1081" s="144"/>
      <c r="U1081" s="144"/>
      <c r="V1081" s="144"/>
      <c r="W1081" s="144"/>
      <c r="X1081" s="144"/>
      <c r="Y1081" s="144"/>
      <c r="Z1081" s="144"/>
      <c r="AA1081" s="144"/>
      <c r="AB1081" s="144"/>
      <c r="AC1081" s="144"/>
      <c r="AD1081" s="144"/>
      <c r="AE1081" s="144"/>
    </row>
    <row r="1082" spans="3:31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  <c r="P1082" s="144"/>
      <c r="Q1082" s="144"/>
      <c r="R1082" s="144"/>
      <c r="S1082" s="144"/>
      <c r="T1082" s="144"/>
      <c r="U1082" s="144"/>
      <c r="V1082" s="144"/>
      <c r="W1082" s="144"/>
      <c r="X1082" s="144"/>
      <c r="Y1082" s="144"/>
      <c r="Z1082" s="144"/>
      <c r="AA1082" s="144"/>
      <c r="AB1082" s="144"/>
      <c r="AC1082" s="144"/>
      <c r="AD1082" s="144"/>
      <c r="AE1082" s="144"/>
    </row>
    <row r="1083" spans="3:31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  <c r="P1083" s="144"/>
      <c r="Q1083" s="144"/>
      <c r="R1083" s="144"/>
      <c r="S1083" s="144"/>
      <c r="T1083" s="144"/>
      <c r="U1083" s="144"/>
      <c r="V1083" s="144"/>
      <c r="W1083" s="144"/>
      <c r="X1083" s="144"/>
      <c r="Y1083" s="144"/>
      <c r="Z1083" s="144"/>
      <c r="AA1083" s="144"/>
      <c r="AB1083" s="144"/>
      <c r="AC1083" s="144"/>
      <c r="AD1083" s="144"/>
      <c r="AE1083" s="144"/>
    </row>
    <row r="1084" spans="3:31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  <c r="P1084" s="144"/>
      <c r="Q1084" s="144"/>
      <c r="R1084" s="144"/>
      <c r="S1084" s="144"/>
      <c r="T1084" s="144"/>
      <c r="U1084" s="144"/>
      <c r="V1084" s="144"/>
      <c r="W1084" s="144"/>
      <c r="X1084" s="144"/>
      <c r="Y1084" s="144"/>
      <c r="Z1084" s="144"/>
      <c r="AA1084" s="144"/>
      <c r="AB1084" s="144"/>
      <c r="AC1084" s="144"/>
      <c r="AD1084" s="144"/>
      <c r="AE1084" s="144"/>
    </row>
    <row r="1085" spans="3:31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  <c r="P1085" s="144"/>
      <c r="Q1085" s="144"/>
      <c r="R1085" s="144"/>
      <c r="S1085" s="144"/>
      <c r="T1085" s="144"/>
      <c r="U1085" s="144"/>
      <c r="V1085" s="144"/>
      <c r="W1085" s="144"/>
      <c r="X1085" s="144"/>
      <c r="Y1085" s="144"/>
      <c r="Z1085" s="144"/>
      <c r="AA1085" s="144"/>
      <c r="AB1085" s="144"/>
      <c r="AC1085" s="144"/>
      <c r="AD1085" s="144"/>
      <c r="AE1085" s="144"/>
    </row>
    <row r="1086" spans="3:31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  <c r="P1086" s="144"/>
      <c r="Q1086" s="144"/>
      <c r="R1086" s="144"/>
      <c r="S1086" s="144"/>
      <c r="T1086" s="144"/>
      <c r="U1086" s="144"/>
      <c r="V1086" s="144"/>
      <c r="W1086" s="144"/>
      <c r="X1086" s="144"/>
      <c r="Y1086" s="144"/>
      <c r="Z1086" s="144"/>
      <c r="AA1086" s="144"/>
      <c r="AB1086" s="144"/>
      <c r="AC1086" s="144"/>
      <c r="AD1086" s="144"/>
      <c r="AE1086" s="144"/>
    </row>
    <row r="1087" spans="3:31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  <c r="P1087" s="144"/>
      <c r="Q1087" s="144"/>
      <c r="R1087" s="144"/>
      <c r="S1087" s="144"/>
      <c r="T1087" s="144"/>
      <c r="U1087" s="144"/>
      <c r="V1087" s="144"/>
      <c r="W1087" s="144"/>
      <c r="X1087" s="144"/>
      <c r="Y1087" s="144"/>
      <c r="Z1087" s="144"/>
      <c r="AA1087" s="144"/>
      <c r="AB1087" s="144"/>
      <c r="AC1087" s="144"/>
      <c r="AD1087" s="144"/>
      <c r="AE1087" s="144"/>
    </row>
    <row r="1088" spans="3:31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  <c r="P1088" s="144"/>
      <c r="Q1088" s="144"/>
      <c r="R1088" s="144"/>
      <c r="S1088" s="144"/>
      <c r="T1088" s="144"/>
      <c r="U1088" s="144"/>
      <c r="V1088" s="144"/>
      <c r="W1088" s="144"/>
      <c r="X1088" s="144"/>
      <c r="Y1088" s="144"/>
      <c r="Z1088" s="144"/>
      <c r="AA1088" s="144"/>
      <c r="AB1088" s="144"/>
      <c r="AC1088" s="144"/>
      <c r="AD1088" s="144"/>
      <c r="AE1088" s="144"/>
    </row>
    <row r="1089" spans="3:31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  <c r="P1089" s="144"/>
      <c r="Q1089" s="144"/>
      <c r="R1089" s="144"/>
      <c r="S1089" s="144"/>
      <c r="T1089" s="144"/>
      <c r="U1089" s="144"/>
      <c r="V1089" s="144"/>
      <c r="W1089" s="144"/>
      <c r="X1089" s="144"/>
      <c r="Y1089" s="144"/>
      <c r="Z1089" s="144"/>
      <c r="AA1089" s="144"/>
      <c r="AB1089" s="144"/>
      <c r="AC1089" s="144"/>
      <c r="AD1089" s="144"/>
      <c r="AE1089" s="144"/>
    </row>
    <row r="1090" spans="3:31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  <c r="P1090" s="144"/>
      <c r="Q1090" s="144"/>
      <c r="R1090" s="144"/>
      <c r="S1090" s="144"/>
      <c r="T1090" s="144"/>
      <c r="U1090" s="144"/>
      <c r="V1090" s="144"/>
      <c r="W1090" s="144"/>
      <c r="X1090" s="144"/>
      <c r="Y1090" s="144"/>
      <c r="Z1090" s="144"/>
      <c r="AA1090" s="144"/>
      <c r="AB1090" s="144"/>
      <c r="AC1090" s="144"/>
      <c r="AD1090" s="144"/>
      <c r="AE1090" s="144"/>
    </row>
    <row r="1091" spans="3:31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  <c r="P1091" s="144"/>
      <c r="Q1091" s="144"/>
      <c r="R1091" s="144"/>
      <c r="S1091" s="144"/>
      <c r="T1091" s="144"/>
      <c r="U1091" s="144"/>
      <c r="V1091" s="144"/>
      <c r="W1091" s="144"/>
      <c r="X1091" s="144"/>
      <c r="Y1091" s="144"/>
      <c r="Z1091" s="144"/>
      <c r="AA1091" s="144"/>
      <c r="AB1091" s="144"/>
      <c r="AC1091" s="144"/>
      <c r="AD1091" s="144"/>
      <c r="AE1091" s="144"/>
    </row>
    <row r="1092" spans="3:31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  <c r="AC1092" s="144"/>
      <c r="AD1092" s="144"/>
      <c r="AE1092" s="144"/>
    </row>
    <row r="1093" spans="3:31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  <c r="P1093" s="144"/>
      <c r="Q1093" s="144"/>
      <c r="R1093" s="144"/>
      <c r="S1093" s="144"/>
      <c r="T1093" s="144"/>
      <c r="U1093" s="144"/>
      <c r="V1093" s="144"/>
      <c r="W1093" s="144"/>
      <c r="X1093" s="144"/>
      <c r="Y1093" s="144"/>
      <c r="Z1093" s="144"/>
      <c r="AA1093" s="144"/>
      <c r="AB1093" s="144"/>
      <c r="AC1093" s="144"/>
      <c r="AD1093" s="144"/>
      <c r="AE1093" s="144"/>
    </row>
    <row r="1094" spans="3:31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  <c r="P1094" s="144"/>
      <c r="Q1094" s="144"/>
      <c r="R1094" s="144"/>
      <c r="S1094" s="144"/>
      <c r="T1094" s="144"/>
      <c r="U1094" s="144"/>
      <c r="V1094" s="144"/>
      <c r="W1094" s="144"/>
      <c r="X1094" s="144"/>
      <c r="Y1094" s="144"/>
      <c r="Z1094" s="144"/>
      <c r="AA1094" s="144"/>
      <c r="AB1094" s="144"/>
      <c r="AC1094" s="144"/>
      <c r="AD1094" s="144"/>
      <c r="AE1094" s="144"/>
    </row>
    <row r="1095" spans="3:31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  <c r="P1095" s="144"/>
      <c r="Q1095" s="144"/>
      <c r="R1095" s="144"/>
      <c r="S1095" s="144"/>
      <c r="T1095" s="144"/>
      <c r="U1095" s="144"/>
      <c r="V1095" s="144"/>
      <c r="W1095" s="144"/>
      <c r="X1095" s="144"/>
      <c r="Y1095" s="144"/>
      <c r="Z1095" s="144"/>
      <c r="AA1095" s="144"/>
      <c r="AB1095" s="144"/>
      <c r="AC1095" s="144"/>
      <c r="AD1095" s="144"/>
      <c r="AE1095" s="144"/>
    </row>
    <row r="1096" spans="3:31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  <c r="P1096" s="144"/>
      <c r="Q1096" s="144"/>
      <c r="R1096" s="144"/>
      <c r="S1096" s="144"/>
      <c r="T1096" s="144"/>
      <c r="U1096" s="144"/>
      <c r="V1096" s="144"/>
      <c r="W1096" s="144"/>
      <c r="X1096" s="144"/>
      <c r="Y1096" s="144"/>
      <c r="Z1096" s="144"/>
      <c r="AA1096" s="144"/>
      <c r="AB1096" s="144"/>
      <c r="AC1096" s="144"/>
      <c r="AD1096" s="144"/>
      <c r="AE1096" s="144"/>
    </row>
    <row r="1097" spans="3:31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  <c r="P1097" s="144"/>
      <c r="Q1097" s="144"/>
      <c r="R1097" s="144"/>
      <c r="S1097" s="144"/>
      <c r="T1097" s="144"/>
      <c r="U1097" s="144"/>
      <c r="V1097" s="144"/>
      <c r="W1097" s="144"/>
      <c r="X1097" s="144"/>
      <c r="Y1097" s="144"/>
      <c r="Z1097" s="144"/>
      <c r="AA1097" s="144"/>
      <c r="AB1097" s="144"/>
      <c r="AC1097" s="144"/>
      <c r="AD1097" s="144"/>
      <c r="AE1097" s="144"/>
    </row>
    <row r="1098" spans="3:31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  <c r="P1098" s="144"/>
      <c r="Q1098" s="144"/>
      <c r="R1098" s="144"/>
      <c r="S1098" s="144"/>
      <c r="T1098" s="144"/>
      <c r="U1098" s="144"/>
      <c r="V1098" s="144"/>
      <c r="W1098" s="144"/>
      <c r="X1098" s="144"/>
      <c r="Y1098" s="144"/>
      <c r="Z1098" s="144"/>
      <c r="AA1098" s="144"/>
      <c r="AB1098" s="144"/>
      <c r="AC1098" s="144"/>
      <c r="AD1098" s="144"/>
      <c r="AE1098" s="144"/>
    </row>
    <row r="1099" spans="3:31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  <c r="P1099" s="144"/>
      <c r="Q1099" s="144"/>
      <c r="R1099" s="144"/>
      <c r="S1099" s="144"/>
      <c r="T1099" s="144"/>
      <c r="U1099" s="144"/>
      <c r="V1099" s="144"/>
      <c r="W1099" s="144"/>
      <c r="X1099" s="144"/>
      <c r="Y1099" s="144"/>
      <c r="Z1099" s="144"/>
      <c r="AA1099" s="144"/>
      <c r="AB1099" s="144"/>
      <c r="AC1099" s="144"/>
      <c r="AD1099" s="144"/>
      <c r="AE1099" s="144"/>
    </row>
    <row r="1100" spans="3:31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  <c r="P1100" s="144"/>
      <c r="Q1100" s="144"/>
      <c r="R1100" s="144"/>
      <c r="S1100" s="144"/>
      <c r="T1100" s="144"/>
      <c r="U1100" s="144"/>
      <c r="V1100" s="144"/>
      <c r="W1100" s="144"/>
      <c r="X1100" s="144"/>
      <c r="Y1100" s="144"/>
      <c r="Z1100" s="144"/>
      <c r="AA1100" s="144"/>
      <c r="AB1100" s="144"/>
      <c r="AC1100" s="144"/>
      <c r="AD1100" s="144"/>
      <c r="AE1100" s="144"/>
    </row>
    <row r="1101" spans="3:31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  <c r="P1101" s="144"/>
      <c r="Q1101" s="144"/>
      <c r="R1101" s="144"/>
      <c r="S1101" s="144"/>
      <c r="T1101" s="144"/>
      <c r="U1101" s="144"/>
      <c r="V1101" s="144"/>
      <c r="W1101" s="144"/>
      <c r="X1101" s="144"/>
      <c r="Y1101" s="144"/>
      <c r="Z1101" s="144"/>
      <c r="AA1101" s="144"/>
      <c r="AB1101" s="144"/>
      <c r="AC1101" s="144"/>
      <c r="AD1101" s="144"/>
      <c r="AE1101" s="144"/>
    </row>
    <row r="1102" spans="3:31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  <c r="P1102" s="144"/>
      <c r="Q1102" s="144"/>
      <c r="R1102" s="144"/>
      <c r="S1102" s="144"/>
      <c r="T1102" s="144"/>
      <c r="U1102" s="144"/>
      <c r="V1102" s="144"/>
      <c r="W1102" s="144"/>
      <c r="X1102" s="144"/>
      <c r="Y1102" s="144"/>
      <c r="Z1102" s="144"/>
      <c r="AA1102" s="144"/>
      <c r="AB1102" s="144"/>
      <c r="AC1102" s="144"/>
      <c r="AD1102" s="144"/>
      <c r="AE1102" s="144"/>
    </row>
    <row r="1103" spans="3:31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  <c r="P1103" s="144"/>
      <c r="Q1103" s="144"/>
      <c r="R1103" s="144"/>
      <c r="S1103" s="144"/>
      <c r="T1103" s="144"/>
      <c r="U1103" s="144"/>
      <c r="V1103" s="144"/>
      <c r="W1103" s="144"/>
      <c r="X1103" s="144"/>
      <c r="Y1103" s="144"/>
      <c r="Z1103" s="144"/>
      <c r="AA1103" s="144"/>
      <c r="AB1103" s="144"/>
      <c r="AC1103" s="144"/>
      <c r="AD1103" s="144"/>
      <c r="AE1103" s="144"/>
    </row>
    <row r="1104" spans="3:31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  <c r="P1104" s="144"/>
      <c r="Q1104" s="144"/>
      <c r="R1104" s="144"/>
      <c r="S1104" s="144"/>
      <c r="T1104" s="144"/>
      <c r="U1104" s="144"/>
      <c r="V1104" s="144"/>
      <c r="W1104" s="144"/>
      <c r="X1104" s="144"/>
      <c r="Y1104" s="144"/>
      <c r="Z1104" s="144"/>
      <c r="AA1104" s="144"/>
      <c r="AB1104" s="144"/>
      <c r="AC1104" s="144"/>
      <c r="AD1104" s="144"/>
      <c r="AE1104" s="144"/>
    </row>
    <row r="1105" spans="3:31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  <c r="P1105" s="144"/>
      <c r="Q1105" s="144"/>
      <c r="R1105" s="144"/>
      <c r="S1105" s="144"/>
      <c r="T1105" s="144"/>
      <c r="U1105" s="144"/>
      <c r="V1105" s="144"/>
      <c r="W1105" s="144"/>
      <c r="X1105" s="144"/>
      <c r="Y1105" s="144"/>
      <c r="Z1105" s="144"/>
      <c r="AA1105" s="144"/>
      <c r="AB1105" s="144"/>
      <c r="AC1105" s="144"/>
      <c r="AD1105" s="144"/>
      <c r="AE1105" s="144"/>
    </row>
    <row r="1106" spans="3:31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  <c r="P1106" s="144"/>
      <c r="Q1106" s="144"/>
      <c r="R1106" s="144"/>
      <c r="S1106" s="144"/>
      <c r="T1106" s="144"/>
      <c r="U1106" s="144"/>
      <c r="V1106" s="144"/>
      <c r="W1106" s="144"/>
      <c r="X1106" s="144"/>
      <c r="Y1106" s="144"/>
      <c r="Z1106" s="144"/>
      <c r="AA1106" s="144"/>
      <c r="AB1106" s="144"/>
      <c r="AC1106" s="144"/>
      <c r="AD1106" s="144"/>
      <c r="AE1106" s="144"/>
    </row>
    <row r="1107" spans="3:31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  <c r="P1107" s="144"/>
      <c r="Q1107" s="144"/>
      <c r="R1107" s="144"/>
      <c r="S1107" s="144"/>
      <c r="T1107" s="144"/>
      <c r="U1107" s="144"/>
      <c r="V1107" s="144"/>
      <c r="W1107" s="144"/>
      <c r="X1107" s="144"/>
      <c r="Y1107" s="144"/>
      <c r="Z1107" s="144"/>
      <c r="AA1107" s="144"/>
      <c r="AB1107" s="144"/>
      <c r="AC1107" s="144"/>
      <c r="AD1107" s="144"/>
      <c r="AE1107" s="144"/>
    </row>
    <row r="1108" spans="3:31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  <c r="P1108" s="144"/>
      <c r="Q1108" s="144"/>
      <c r="R1108" s="144"/>
      <c r="S1108" s="144"/>
      <c r="T1108" s="144"/>
      <c r="U1108" s="144"/>
      <c r="V1108" s="144"/>
      <c r="W1108" s="144"/>
      <c r="X1108" s="144"/>
      <c r="Y1108" s="144"/>
      <c r="Z1108" s="144"/>
      <c r="AA1108" s="144"/>
      <c r="AB1108" s="144"/>
      <c r="AC1108" s="144"/>
      <c r="AD1108" s="144"/>
      <c r="AE1108" s="144"/>
    </row>
    <row r="1109" spans="3:31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  <c r="P1109" s="144"/>
      <c r="Q1109" s="144"/>
      <c r="R1109" s="144"/>
      <c r="S1109" s="144"/>
      <c r="T1109" s="144"/>
      <c r="U1109" s="144"/>
      <c r="V1109" s="144"/>
      <c r="W1109" s="144"/>
      <c r="X1109" s="144"/>
      <c r="Y1109" s="144"/>
      <c r="Z1109" s="144"/>
      <c r="AA1109" s="144"/>
      <c r="AB1109" s="144"/>
      <c r="AC1109" s="144"/>
      <c r="AD1109" s="144"/>
      <c r="AE1109" s="144"/>
    </row>
    <row r="1110" spans="3:31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  <c r="P1110" s="144"/>
      <c r="Q1110" s="144"/>
      <c r="R1110" s="144"/>
      <c r="S1110" s="144"/>
      <c r="T1110" s="144"/>
      <c r="U1110" s="144"/>
      <c r="V1110" s="144"/>
      <c r="W1110" s="144"/>
      <c r="X1110" s="144"/>
      <c r="Y1110" s="144"/>
      <c r="Z1110" s="144"/>
      <c r="AA1110" s="144"/>
      <c r="AB1110" s="144"/>
      <c r="AC1110" s="144"/>
      <c r="AD1110" s="144"/>
      <c r="AE1110" s="144"/>
    </row>
    <row r="1111" spans="3:31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  <c r="P1111" s="144"/>
      <c r="Q1111" s="144"/>
      <c r="R1111" s="144"/>
      <c r="S1111" s="144"/>
      <c r="T1111" s="144"/>
      <c r="U1111" s="144"/>
      <c r="V1111" s="144"/>
      <c r="W1111" s="144"/>
      <c r="X1111" s="144"/>
      <c r="Y1111" s="144"/>
      <c r="Z1111" s="144"/>
      <c r="AA1111" s="144"/>
      <c r="AB1111" s="144"/>
      <c r="AC1111" s="144"/>
      <c r="AD1111" s="144"/>
      <c r="AE1111" s="144"/>
    </row>
    <row r="1112" spans="3:31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  <c r="P1112" s="144"/>
      <c r="Q1112" s="144"/>
      <c r="R1112" s="144"/>
      <c r="S1112" s="144"/>
      <c r="T1112" s="144"/>
      <c r="U1112" s="144"/>
      <c r="V1112" s="144"/>
      <c r="W1112" s="144"/>
      <c r="X1112" s="144"/>
      <c r="Y1112" s="144"/>
      <c r="Z1112" s="144"/>
      <c r="AA1112" s="144"/>
      <c r="AB1112" s="144"/>
      <c r="AC1112" s="144"/>
      <c r="AD1112" s="144"/>
      <c r="AE1112" s="144"/>
    </row>
    <row r="1113" spans="3:31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  <c r="P1113" s="144"/>
      <c r="Q1113" s="144"/>
      <c r="R1113" s="144"/>
      <c r="S1113" s="144"/>
      <c r="T1113" s="144"/>
      <c r="U1113" s="144"/>
      <c r="V1113" s="144"/>
      <c r="W1113" s="144"/>
      <c r="X1113" s="144"/>
      <c r="Y1113" s="144"/>
      <c r="Z1113" s="144"/>
      <c r="AA1113" s="144"/>
      <c r="AB1113" s="144"/>
      <c r="AC1113" s="144"/>
      <c r="AD1113" s="144"/>
      <c r="AE1113" s="144"/>
    </row>
    <row r="1114" spans="3:31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  <c r="P1114" s="144"/>
      <c r="Q1114" s="144"/>
      <c r="R1114" s="144"/>
      <c r="S1114" s="144"/>
      <c r="T1114" s="144"/>
      <c r="U1114" s="144"/>
      <c r="V1114" s="144"/>
      <c r="W1114" s="144"/>
      <c r="X1114" s="144"/>
      <c r="Y1114" s="144"/>
      <c r="Z1114" s="144"/>
      <c r="AA1114" s="144"/>
      <c r="AB1114" s="144"/>
      <c r="AC1114" s="144"/>
      <c r="AD1114" s="144"/>
      <c r="AE1114" s="144"/>
    </row>
    <row r="1115" spans="3:31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  <c r="P1115" s="144"/>
      <c r="Q1115" s="144"/>
      <c r="R1115" s="144"/>
      <c r="S1115" s="144"/>
      <c r="T1115" s="144"/>
      <c r="U1115" s="144"/>
      <c r="V1115" s="144"/>
      <c r="W1115" s="144"/>
      <c r="X1115" s="144"/>
      <c r="Y1115" s="144"/>
      <c r="Z1115" s="144"/>
      <c r="AA1115" s="144"/>
      <c r="AB1115" s="144"/>
      <c r="AC1115" s="144"/>
      <c r="AD1115" s="144"/>
      <c r="AE1115" s="144"/>
    </row>
    <row r="1116" spans="3:31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  <c r="P1116" s="144"/>
      <c r="Q1116" s="144"/>
      <c r="R1116" s="144"/>
      <c r="S1116" s="144"/>
      <c r="T1116" s="144"/>
      <c r="U1116" s="144"/>
      <c r="V1116" s="144"/>
      <c r="W1116" s="144"/>
      <c r="X1116" s="144"/>
      <c r="Y1116" s="144"/>
      <c r="Z1116" s="144"/>
      <c r="AA1116" s="144"/>
      <c r="AB1116" s="144"/>
      <c r="AC1116" s="144"/>
      <c r="AD1116" s="144"/>
      <c r="AE1116" s="144"/>
    </row>
    <row r="1117" spans="3:31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  <c r="P1117" s="144"/>
      <c r="Q1117" s="144"/>
      <c r="R1117" s="144"/>
      <c r="S1117" s="144"/>
      <c r="T1117" s="144"/>
      <c r="U1117" s="144"/>
      <c r="V1117" s="144"/>
      <c r="W1117" s="144"/>
      <c r="X1117" s="144"/>
      <c r="Y1117" s="144"/>
      <c r="Z1117" s="144"/>
      <c r="AA1117" s="144"/>
      <c r="AB1117" s="144"/>
      <c r="AC1117" s="144"/>
      <c r="AD1117" s="144"/>
      <c r="AE1117" s="144"/>
    </row>
    <row r="1118" spans="3:31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  <c r="P1118" s="144"/>
      <c r="Q1118" s="144"/>
      <c r="R1118" s="144"/>
      <c r="S1118" s="144"/>
      <c r="T1118" s="144"/>
      <c r="U1118" s="144"/>
      <c r="V1118" s="144"/>
      <c r="W1118" s="144"/>
      <c r="X1118" s="144"/>
      <c r="Y1118" s="144"/>
      <c r="Z1118" s="144"/>
      <c r="AA1118" s="144"/>
      <c r="AB1118" s="144"/>
      <c r="AC1118" s="144"/>
      <c r="AD1118" s="144"/>
      <c r="AE1118" s="144"/>
    </row>
    <row r="1119" spans="3:31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  <c r="P1119" s="144"/>
      <c r="Q1119" s="144"/>
      <c r="R1119" s="144"/>
      <c r="S1119" s="144"/>
      <c r="T1119" s="144"/>
      <c r="U1119" s="144"/>
      <c r="V1119" s="144"/>
      <c r="W1119" s="144"/>
      <c r="X1119" s="144"/>
      <c r="Y1119" s="144"/>
      <c r="Z1119" s="144"/>
      <c r="AA1119" s="144"/>
      <c r="AB1119" s="144"/>
      <c r="AC1119" s="144"/>
      <c r="AD1119" s="144"/>
      <c r="AE1119" s="144"/>
    </row>
    <row r="1120" spans="3:31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  <c r="P1120" s="144"/>
      <c r="Q1120" s="144"/>
      <c r="R1120" s="144"/>
      <c r="S1120" s="144"/>
      <c r="T1120" s="144"/>
      <c r="U1120" s="144"/>
      <c r="V1120" s="144"/>
      <c r="W1120" s="144"/>
      <c r="X1120" s="144"/>
      <c r="Y1120" s="144"/>
      <c r="Z1120" s="144"/>
      <c r="AA1120" s="144"/>
      <c r="AB1120" s="144"/>
      <c r="AC1120" s="144"/>
      <c r="AD1120" s="144"/>
      <c r="AE1120" s="144"/>
    </row>
    <row r="1121" spans="3:31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  <c r="P1121" s="144"/>
      <c r="Q1121" s="144"/>
      <c r="R1121" s="144"/>
      <c r="S1121" s="144"/>
      <c r="T1121" s="144"/>
      <c r="U1121" s="144"/>
      <c r="V1121" s="144"/>
      <c r="W1121" s="144"/>
      <c r="X1121" s="144"/>
      <c r="Y1121" s="144"/>
      <c r="Z1121" s="144"/>
      <c r="AA1121" s="144"/>
      <c r="AB1121" s="144"/>
      <c r="AC1121" s="144"/>
      <c r="AD1121" s="144"/>
      <c r="AE1121" s="144"/>
    </row>
    <row r="1122" spans="3:31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  <c r="P1122" s="144"/>
      <c r="Q1122" s="144"/>
      <c r="R1122" s="144"/>
      <c r="S1122" s="144"/>
      <c r="T1122" s="144"/>
      <c r="U1122" s="144"/>
      <c r="V1122" s="144"/>
      <c r="W1122" s="144"/>
      <c r="X1122" s="144"/>
      <c r="Y1122" s="144"/>
      <c r="Z1122" s="144"/>
      <c r="AA1122" s="144"/>
      <c r="AB1122" s="144"/>
      <c r="AC1122" s="144"/>
      <c r="AD1122" s="144"/>
      <c r="AE1122" s="144"/>
    </row>
    <row r="1123" spans="3:31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  <c r="P1123" s="144"/>
      <c r="Q1123" s="144"/>
      <c r="R1123" s="144"/>
      <c r="S1123" s="144"/>
      <c r="T1123" s="144"/>
      <c r="U1123" s="144"/>
      <c r="V1123" s="144"/>
      <c r="W1123" s="144"/>
      <c r="X1123" s="144"/>
      <c r="Y1123" s="144"/>
      <c r="Z1123" s="144"/>
      <c r="AA1123" s="144"/>
      <c r="AB1123" s="144"/>
      <c r="AC1123" s="144"/>
      <c r="AD1123" s="144"/>
      <c r="AE1123" s="144"/>
    </row>
    <row r="1124" spans="3:31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  <c r="P1124" s="144"/>
      <c r="Q1124" s="144"/>
      <c r="R1124" s="144"/>
      <c r="S1124" s="144"/>
      <c r="T1124" s="144"/>
      <c r="U1124" s="144"/>
      <c r="V1124" s="144"/>
      <c r="W1124" s="144"/>
      <c r="X1124" s="144"/>
      <c r="Y1124" s="144"/>
      <c r="Z1124" s="144"/>
      <c r="AA1124" s="144"/>
      <c r="AB1124" s="144"/>
      <c r="AC1124" s="144"/>
      <c r="AD1124" s="144"/>
      <c r="AE1124" s="144"/>
    </row>
    <row r="1125" spans="3:31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  <c r="P1125" s="144"/>
      <c r="Q1125" s="144"/>
      <c r="R1125" s="144"/>
      <c r="S1125" s="144"/>
      <c r="T1125" s="144"/>
      <c r="U1125" s="144"/>
      <c r="V1125" s="144"/>
      <c r="W1125" s="144"/>
      <c r="X1125" s="144"/>
      <c r="Y1125" s="144"/>
      <c r="Z1125" s="144"/>
      <c r="AA1125" s="144"/>
      <c r="AB1125" s="144"/>
      <c r="AC1125" s="144"/>
      <c r="AD1125" s="144"/>
      <c r="AE1125" s="144"/>
    </row>
    <row r="1126" spans="3:31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  <c r="P1126" s="144"/>
      <c r="Q1126" s="144"/>
      <c r="R1126" s="144"/>
      <c r="S1126" s="144"/>
      <c r="T1126" s="144"/>
      <c r="U1126" s="144"/>
      <c r="V1126" s="144"/>
      <c r="W1126" s="144"/>
      <c r="X1126" s="144"/>
      <c r="Y1126" s="144"/>
      <c r="Z1126" s="144"/>
      <c r="AA1126" s="144"/>
      <c r="AB1126" s="144"/>
      <c r="AC1126" s="144"/>
      <c r="AD1126" s="144"/>
      <c r="AE1126" s="144"/>
    </row>
    <row r="1127" spans="3:31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  <c r="P1127" s="144"/>
      <c r="Q1127" s="144"/>
      <c r="R1127" s="144"/>
      <c r="S1127" s="144"/>
      <c r="T1127" s="144"/>
      <c r="U1127" s="144"/>
      <c r="V1127" s="144"/>
      <c r="W1127" s="144"/>
      <c r="X1127" s="144"/>
      <c r="Y1127" s="144"/>
      <c r="Z1127" s="144"/>
      <c r="AA1127" s="144"/>
      <c r="AB1127" s="144"/>
      <c r="AC1127" s="144"/>
      <c r="AD1127" s="144"/>
      <c r="AE1127" s="144"/>
    </row>
    <row r="1128" spans="3:31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  <c r="P1128" s="144"/>
      <c r="Q1128" s="144"/>
      <c r="R1128" s="144"/>
      <c r="S1128" s="144"/>
      <c r="T1128" s="144"/>
      <c r="U1128" s="144"/>
      <c r="V1128" s="144"/>
      <c r="W1128" s="144"/>
      <c r="X1128" s="144"/>
      <c r="Y1128" s="144"/>
      <c r="Z1128" s="144"/>
      <c r="AA1128" s="144"/>
      <c r="AB1128" s="144"/>
      <c r="AC1128" s="144"/>
      <c r="AD1128" s="144"/>
      <c r="AE1128" s="144"/>
    </row>
    <row r="1129" spans="3:31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4"/>
      <c r="AA1129" s="144"/>
      <c r="AB1129" s="144"/>
      <c r="AC1129" s="144"/>
      <c r="AD1129" s="144"/>
      <c r="AE1129" s="144"/>
    </row>
    <row r="1130" spans="3:31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  <c r="P1130" s="144"/>
      <c r="Q1130" s="144"/>
      <c r="R1130" s="144"/>
      <c r="S1130" s="144"/>
      <c r="T1130" s="144"/>
      <c r="U1130" s="144"/>
      <c r="V1130" s="144"/>
      <c r="W1130" s="144"/>
      <c r="X1130" s="144"/>
      <c r="Y1130" s="144"/>
      <c r="Z1130" s="144"/>
      <c r="AA1130" s="144"/>
      <c r="AB1130" s="144"/>
      <c r="AC1130" s="144"/>
      <c r="AD1130" s="144"/>
      <c r="AE1130" s="144"/>
    </row>
    <row r="1131" spans="3:31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  <c r="P1131" s="144"/>
      <c r="Q1131" s="144"/>
      <c r="R1131" s="144"/>
      <c r="S1131" s="144"/>
      <c r="T1131" s="144"/>
      <c r="U1131" s="144"/>
      <c r="V1131" s="144"/>
      <c r="W1131" s="144"/>
      <c r="X1131" s="144"/>
      <c r="Y1131" s="144"/>
      <c r="Z1131" s="144"/>
      <c r="AA1131" s="144"/>
      <c r="AB1131" s="144"/>
      <c r="AC1131" s="144"/>
      <c r="AD1131" s="144"/>
      <c r="AE1131" s="144"/>
    </row>
    <row r="1132" spans="3:31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  <c r="P1132" s="144"/>
      <c r="Q1132" s="144"/>
      <c r="R1132" s="144"/>
      <c r="S1132" s="144"/>
      <c r="T1132" s="144"/>
      <c r="U1132" s="144"/>
      <c r="V1132" s="144"/>
      <c r="W1132" s="144"/>
      <c r="X1132" s="144"/>
      <c r="Y1132" s="144"/>
      <c r="Z1132" s="144"/>
      <c r="AA1132" s="144"/>
      <c r="AB1132" s="144"/>
      <c r="AC1132" s="144"/>
      <c r="AD1132" s="144"/>
      <c r="AE1132" s="144"/>
    </row>
    <row r="1133" spans="3:31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  <c r="P1133" s="144"/>
      <c r="Q1133" s="144"/>
      <c r="R1133" s="144"/>
      <c r="S1133" s="144"/>
      <c r="T1133" s="144"/>
      <c r="U1133" s="144"/>
      <c r="V1133" s="144"/>
      <c r="W1133" s="144"/>
      <c r="X1133" s="144"/>
      <c r="Y1133" s="144"/>
      <c r="Z1133" s="144"/>
      <c r="AA1133" s="144"/>
      <c r="AB1133" s="144"/>
      <c r="AC1133" s="144"/>
      <c r="AD1133" s="144"/>
      <c r="AE1133" s="144"/>
    </row>
    <row r="1134" spans="3:31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  <c r="P1134" s="144"/>
      <c r="Q1134" s="144"/>
      <c r="R1134" s="144"/>
      <c r="S1134" s="144"/>
      <c r="T1134" s="144"/>
      <c r="U1134" s="144"/>
      <c r="V1134" s="144"/>
      <c r="W1134" s="144"/>
      <c r="X1134" s="144"/>
      <c r="Y1134" s="144"/>
      <c r="Z1134" s="144"/>
      <c r="AA1134" s="144"/>
      <c r="AB1134" s="144"/>
      <c r="AC1134" s="144"/>
      <c r="AD1134" s="144"/>
      <c r="AE1134" s="144"/>
    </row>
    <row r="1135" spans="3:31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  <c r="P1135" s="144"/>
      <c r="Q1135" s="144"/>
      <c r="R1135" s="144"/>
      <c r="S1135" s="144"/>
      <c r="T1135" s="144"/>
      <c r="U1135" s="144"/>
      <c r="V1135" s="144"/>
      <c r="W1135" s="144"/>
      <c r="X1135" s="144"/>
      <c r="Y1135" s="144"/>
      <c r="Z1135" s="144"/>
      <c r="AA1135" s="144"/>
      <c r="AB1135" s="144"/>
      <c r="AC1135" s="144"/>
      <c r="AD1135" s="144"/>
      <c r="AE1135" s="144"/>
    </row>
    <row r="1136" spans="3:31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  <c r="P1136" s="144"/>
      <c r="Q1136" s="144"/>
      <c r="R1136" s="144"/>
      <c r="S1136" s="144"/>
      <c r="T1136" s="144"/>
      <c r="U1136" s="144"/>
      <c r="V1136" s="144"/>
      <c r="W1136" s="144"/>
      <c r="X1136" s="144"/>
      <c r="Y1136" s="144"/>
      <c r="Z1136" s="144"/>
      <c r="AA1136" s="144"/>
      <c r="AB1136" s="144"/>
      <c r="AC1136" s="144"/>
      <c r="AD1136" s="144"/>
      <c r="AE1136" s="144"/>
    </row>
    <row r="1137" spans="3:31" x14ac:dyDescent="0.25">
      <c r="C1137" s="180"/>
      <c r="D1137" s="180"/>
      <c r="H1137" s="144"/>
      <c r="I1137" s="144"/>
      <c r="J1137" s="144"/>
      <c r="K1137" s="144"/>
      <c r="L1137" s="144"/>
      <c r="M1137" s="144"/>
      <c r="N1137" s="144"/>
      <c r="O1137" s="144"/>
      <c r="P1137" s="144"/>
      <c r="Q1137" s="144"/>
      <c r="R1137" s="144"/>
      <c r="S1137" s="144"/>
      <c r="T1137" s="144"/>
      <c r="U1137" s="144"/>
      <c r="V1137" s="144"/>
      <c r="W1137" s="144"/>
      <c r="X1137" s="144"/>
      <c r="Y1137" s="144"/>
      <c r="Z1137" s="144"/>
      <c r="AA1137" s="144"/>
      <c r="AB1137" s="144"/>
      <c r="AC1137" s="144"/>
      <c r="AD1137" s="144"/>
      <c r="AE1137" s="144"/>
    </row>
    <row r="1138" spans="3:31" x14ac:dyDescent="0.25">
      <c r="C1138" s="180"/>
      <c r="D1138" s="180"/>
      <c r="H1138" s="144"/>
      <c r="I1138" s="144"/>
      <c r="J1138" s="144"/>
      <c r="K1138" s="144"/>
      <c r="L1138" s="144"/>
      <c r="M1138" s="144"/>
      <c r="N1138" s="144"/>
      <c r="O1138" s="144"/>
      <c r="P1138" s="144"/>
      <c r="Q1138" s="144"/>
      <c r="R1138" s="144"/>
      <c r="S1138" s="144"/>
      <c r="T1138" s="144"/>
      <c r="U1138" s="144"/>
      <c r="V1138" s="144"/>
      <c r="W1138" s="144"/>
      <c r="X1138" s="144"/>
      <c r="Y1138" s="144"/>
      <c r="Z1138" s="144"/>
      <c r="AA1138" s="144"/>
      <c r="AB1138" s="144"/>
      <c r="AC1138" s="144"/>
      <c r="AD1138" s="144"/>
      <c r="AE1138" s="144"/>
    </row>
    <row r="1139" spans="3:31" x14ac:dyDescent="0.25">
      <c r="C1139" s="180"/>
      <c r="D1139" s="180"/>
      <c r="H1139" s="144"/>
      <c r="I1139" s="144"/>
      <c r="J1139" s="144"/>
      <c r="K1139" s="144"/>
      <c r="L1139" s="144"/>
      <c r="M1139" s="144"/>
      <c r="N1139" s="144"/>
      <c r="O1139" s="144"/>
      <c r="P1139" s="144"/>
      <c r="Q1139" s="144"/>
      <c r="R1139" s="144"/>
      <c r="S1139" s="144"/>
      <c r="T1139" s="144"/>
      <c r="U1139" s="144"/>
      <c r="V1139" s="144"/>
      <c r="W1139" s="144"/>
      <c r="X1139" s="144"/>
      <c r="Y1139" s="144"/>
      <c r="Z1139" s="144"/>
      <c r="AA1139" s="144"/>
      <c r="AB1139" s="144"/>
      <c r="AC1139" s="144"/>
      <c r="AD1139" s="144"/>
      <c r="AE1139" s="144"/>
    </row>
    <row r="1140" spans="3:31" x14ac:dyDescent="0.25">
      <c r="C1140" s="180"/>
      <c r="D1140" s="180"/>
      <c r="H1140" s="144"/>
      <c r="I1140" s="144"/>
      <c r="J1140" s="144"/>
      <c r="K1140" s="144"/>
      <c r="L1140" s="144"/>
      <c r="M1140" s="144"/>
      <c r="N1140" s="144"/>
      <c r="O1140" s="144"/>
      <c r="P1140" s="144"/>
      <c r="Q1140" s="144"/>
      <c r="R1140" s="144"/>
      <c r="S1140" s="144"/>
      <c r="T1140" s="144"/>
      <c r="U1140" s="144"/>
      <c r="V1140" s="144"/>
      <c r="W1140" s="144"/>
      <c r="X1140" s="144"/>
      <c r="Y1140" s="144"/>
      <c r="Z1140" s="144"/>
      <c r="AA1140" s="144"/>
      <c r="AB1140" s="144"/>
      <c r="AC1140" s="144"/>
      <c r="AD1140" s="144"/>
      <c r="AE1140" s="144"/>
    </row>
    <row r="1141" spans="3:31" x14ac:dyDescent="0.25">
      <c r="C1141" s="180"/>
      <c r="D1141" s="180"/>
      <c r="H1141" s="144"/>
      <c r="I1141" s="144"/>
      <c r="J1141" s="144"/>
      <c r="K1141" s="144"/>
      <c r="L1141" s="144"/>
      <c r="M1141" s="144"/>
      <c r="N1141" s="144"/>
      <c r="O1141" s="144"/>
      <c r="P1141" s="144"/>
      <c r="Q1141" s="144"/>
      <c r="R1141" s="144"/>
      <c r="S1141" s="144"/>
      <c r="T1141" s="144"/>
      <c r="U1141" s="144"/>
      <c r="V1141" s="144"/>
      <c r="W1141" s="144"/>
      <c r="X1141" s="144"/>
      <c r="Y1141" s="144"/>
      <c r="Z1141" s="144"/>
      <c r="AA1141" s="144"/>
      <c r="AB1141" s="144"/>
      <c r="AC1141" s="144"/>
      <c r="AD1141" s="144"/>
      <c r="AE1141" s="144"/>
    </row>
    <row r="1142" spans="3:31" x14ac:dyDescent="0.25">
      <c r="C1142" s="180"/>
      <c r="D1142" s="180"/>
      <c r="H1142" s="144"/>
      <c r="I1142" s="144"/>
      <c r="J1142" s="144"/>
      <c r="K1142" s="144"/>
      <c r="L1142" s="144"/>
      <c r="M1142" s="144"/>
      <c r="N1142" s="144"/>
      <c r="O1142" s="144"/>
      <c r="P1142" s="144"/>
      <c r="Q1142" s="144"/>
      <c r="R1142" s="144"/>
      <c r="S1142" s="144"/>
      <c r="T1142" s="144"/>
      <c r="U1142" s="144"/>
      <c r="V1142" s="144"/>
      <c r="W1142" s="144"/>
      <c r="X1142" s="144"/>
      <c r="Y1142" s="144"/>
      <c r="Z1142" s="144"/>
      <c r="AA1142" s="144"/>
      <c r="AB1142" s="144"/>
      <c r="AC1142" s="144"/>
      <c r="AD1142" s="144"/>
      <c r="AE1142" s="144"/>
    </row>
    <row r="1143" spans="3:31" x14ac:dyDescent="0.25">
      <c r="C1143" s="180"/>
      <c r="D1143" s="180"/>
      <c r="H1143" s="144"/>
      <c r="I1143" s="144"/>
      <c r="J1143" s="144"/>
      <c r="K1143" s="144"/>
      <c r="L1143" s="144"/>
      <c r="M1143" s="144"/>
      <c r="N1143" s="144"/>
      <c r="O1143" s="144"/>
      <c r="P1143" s="144"/>
      <c r="Q1143" s="144"/>
      <c r="R1143" s="144"/>
      <c r="S1143" s="144"/>
      <c r="T1143" s="144"/>
      <c r="U1143" s="144"/>
      <c r="V1143" s="144"/>
      <c r="W1143" s="144"/>
      <c r="X1143" s="144"/>
      <c r="Y1143" s="144"/>
      <c r="Z1143" s="144"/>
      <c r="AA1143" s="144"/>
      <c r="AB1143" s="144"/>
      <c r="AC1143" s="144"/>
      <c r="AD1143" s="144"/>
      <c r="AE1143" s="144"/>
    </row>
    <row r="1144" spans="3:31" x14ac:dyDescent="0.25">
      <c r="C1144" s="180"/>
      <c r="D1144" s="180"/>
      <c r="H1144" s="144"/>
      <c r="I1144" s="144"/>
      <c r="J1144" s="144"/>
      <c r="K1144" s="144"/>
      <c r="L1144" s="144"/>
      <c r="M1144" s="144"/>
      <c r="N1144" s="144"/>
      <c r="O1144" s="144"/>
      <c r="P1144" s="144"/>
      <c r="Q1144" s="144"/>
      <c r="R1144" s="144"/>
      <c r="S1144" s="144"/>
      <c r="T1144" s="144"/>
      <c r="U1144" s="144"/>
      <c r="V1144" s="144"/>
      <c r="W1144" s="144"/>
      <c r="X1144" s="144"/>
      <c r="Y1144" s="144"/>
      <c r="Z1144" s="144"/>
      <c r="AA1144" s="144"/>
      <c r="AB1144" s="144"/>
      <c r="AC1144" s="144"/>
      <c r="AD1144" s="144"/>
      <c r="AE1144" s="144"/>
    </row>
    <row r="1145" spans="3:31" x14ac:dyDescent="0.25">
      <c r="C1145" s="180"/>
      <c r="D1145" s="180"/>
      <c r="H1145" s="144"/>
      <c r="I1145" s="144"/>
      <c r="J1145" s="144"/>
      <c r="K1145" s="144"/>
      <c r="L1145" s="144"/>
      <c r="M1145" s="144"/>
      <c r="N1145" s="144"/>
      <c r="O1145" s="144"/>
      <c r="P1145" s="144"/>
      <c r="Q1145" s="144"/>
      <c r="R1145" s="144"/>
      <c r="S1145" s="144"/>
      <c r="T1145" s="144"/>
      <c r="U1145" s="144"/>
      <c r="V1145" s="144"/>
      <c r="W1145" s="144"/>
      <c r="X1145" s="144"/>
      <c r="Y1145" s="144"/>
      <c r="Z1145" s="144"/>
      <c r="AA1145" s="144"/>
      <c r="AB1145" s="144"/>
      <c r="AC1145" s="144"/>
      <c r="AD1145" s="144"/>
      <c r="AE1145" s="144"/>
    </row>
    <row r="1146" spans="3:31" x14ac:dyDescent="0.25">
      <c r="C1146" s="180"/>
      <c r="D1146" s="180"/>
      <c r="H1146" s="144"/>
      <c r="I1146" s="144"/>
      <c r="J1146" s="144"/>
      <c r="K1146" s="144"/>
      <c r="L1146" s="144"/>
      <c r="M1146" s="144"/>
      <c r="N1146" s="144"/>
      <c r="O1146" s="144"/>
      <c r="P1146" s="144"/>
      <c r="Q1146" s="144"/>
      <c r="R1146" s="144"/>
      <c r="S1146" s="144"/>
      <c r="T1146" s="144"/>
      <c r="U1146" s="144"/>
      <c r="V1146" s="144"/>
      <c r="W1146" s="144"/>
      <c r="X1146" s="144"/>
      <c r="Y1146" s="144"/>
      <c r="Z1146" s="144"/>
      <c r="AA1146" s="144"/>
      <c r="AB1146" s="144"/>
      <c r="AC1146" s="144"/>
      <c r="AD1146" s="144"/>
      <c r="AE1146" s="144"/>
    </row>
    <row r="1147" spans="3:31" x14ac:dyDescent="0.25">
      <c r="C1147" s="180"/>
      <c r="D1147" s="180"/>
      <c r="H1147" s="144"/>
      <c r="I1147" s="144"/>
      <c r="J1147" s="144"/>
      <c r="K1147" s="144"/>
      <c r="L1147" s="144"/>
      <c r="M1147" s="144"/>
      <c r="N1147" s="144"/>
      <c r="O1147" s="144"/>
      <c r="P1147" s="144"/>
      <c r="Q1147" s="144"/>
      <c r="R1147" s="144"/>
      <c r="S1147" s="144"/>
      <c r="T1147" s="144"/>
      <c r="U1147" s="144"/>
      <c r="V1147" s="144"/>
      <c r="W1147" s="144"/>
      <c r="X1147" s="144"/>
      <c r="Y1147" s="144"/>
      <c r="Z1147" s="144"/>
      <c r="AA1147" s="144"/>
      <c r="AB1147" s="144"/>
      <c r="AC1147" s="144"/>
      <c r="AD1147" s="144"/>
      <c r="AE1147" s="144"/>
    </row>
    <row r="1148" spans="3:31" x14ac:dyDescent="0.25">
      <c r="C1148" s="180"/>
      <c r="D1148" s="180"/>
      <c r="H1148" s="144"/>
      <c r="I1148" s="144"/>
      <c r="J1148" s="144"/>
      <c r="K1148" s="144"/>
      <c r="L1148" s="144"/>
      <c r="M1148" s="144"/>
      <c r="N1148" s="144"/>
      <c r="O1148" s="144"/>
      <c r="P1148" s="144"/>
      <c r="Q1148" s="144"/>
      <c r="R1148" s="144"/>
      <c r="S1148" s="144"/>
      <c r="T1148" s="144"/>
      <c r="U1148" s="144"/>
      <c r="V1148" s="144"/>
      <c r="W1148" s="144"/>
      <c r="X1148" s="144"/>
      <c r="Y1148" s="144"/>
      <c r="Z1148" s="144"/>
      <c r="AA1148" s="144"/>
      <c r="AB1148" s="144"/>
      <c r="AC1148" s="144"/>
      <c r="AD1148" s="144"/>
      <c r="AE1148" s="144"/>
    </row>
    <row r="1149" spans="3:31" x14ac:dyDescent="0.25">
      <c r="C1149" s="180"/>
      <c r="D1149" s="180"/>
      <c r="H1149" s="144"/>
      <c r="I1149" s="144"/>
      <c r="J1149" s="144"/>
      <c r="K1149" s="144"/>
      <c r="L1149" s="144"/>
      <c r="M1149" s="144"/>
      <c r="N1149" s="144"/>
      <c r="O1149" s="144"/>
      <c r="P1149" s="144"/>
      <c r="Q1149" s="144"/>
      <c r="R1149" s="144"/>
      <c r="S1149" s="144"/>
      <c r="T1149" s="144"/>
      <c r="U1149" s="144"/>
      <c r="V1149" s="144"/>
      <c r="W1149" s="144"/>
      <c r="X1149" s="144"/>
      <c r="Y1149" s="144"/>
      <c r="Z1149" s="144"/>
      <c r="AA1149" s="144"/>
      <c r="AB1149" s="144"/>
      <c r="AC1149" s="144"/>
      <c r="AD1149" s="144"/>
      <c r="AE1149" s="144"/>
    </row>
    <row r="1150" spans="3:31" x14ac:dyDescent="0.25">
      <c r="C1150" s="180"/>
      <c r="D1150" s="180"/>
      <c r="H1150" s="144"/>
      <c r="I1150" s="144"/>
      <c r="J1150" s="144"/>
      <c r="K1150" s="144"/>
      <c r="L1150" s="144"/>
      <c r="M1150" s="144"/>
      <c r="N1150" s="144"/>
      <c r="O1150" s="144"/>
      <c r="P1150" s="144"/>
      <c r="Q1150" s="144"/>
      <c r="R1150" s="144"/>
      <c r="S1150" s="144"/>
      <c r="T1150" s="144"/>
      <c r="U1150" s="144"/>
      <c r="V1150" s="144"/>
      <c r="W1150" s="144"/>
      <c r="X1150" s="144"/>
      <c r="Y1150" s="144"/>
      <c r="Z1150" s="144"/>
      <c r="AA1150" s="144"/>
      <c r="AB1150" s="144"/>
      <c r="AC1150" s="144"/>
      <c r="AD1150" s="144"/>
      <c r="AE1150" s="144"/>
    </row>
    <row r="1151" spans="3:31" x14ac:dyDescent="0.25">
      <c r="C1151" s="180"/>
      <c r="D1151" s="180"/>
      <c r="H1151" s="144"/>
      <c r="I1151" s="144"/>
      <c r="J1151" s="144"/>
      <c r="K1151" s="144"/>
      <c r="L1151" s="144"/>
      <c r="M1151" s="144"/>
      <c r="N1151" s="144"/>
      <c r="O1151" s="144"/>
      <c r="P1151" s="144"/>
      <c r="Q1151" s="144"/>
      <c r="R1151" s="144"/>
      <c r="S1151" s="144"/>
      <c r="T1151" s="144"/>
      <c r="U1151" s="144"/>
      <c r="V1151" s="144"/>
      <c r="W1151" s="144"/>
      <c r="X1151" s="144"/>
      <c r="Y1151" s="144"/>
      <c r="Z1151" s="144"/>
      <c r="AA1151" s="144"/>
      <c r="AB1151" s="144"/>
      <c r="AC1151" s="144"/>
      <c r="AD1151" s="144"/>
      <c r="AE1151" s="144"/>
    </row>
    <row r="1152" spans="3:31" x14ac:dyDescent="0.25">
      <c r="C1152" s="180"/>
      <c r="D1152" s="180"/>
      <c r="H1152" s="144"/>
      <c r="I1152" s="144"/>
      <c r="J1152" s="144"/>
      <c r="K1152" s="144"/>
      <c r="L1152" s="144"/>
      <c r="M1152" s="144"/>
      <c r="N1152" s="144"/>
      <c r="O1152" s="144"/>
      <c r="P1152" s="144"/>
      <c r="Q1152" s="144"/>
      <c r="R1152" s="144"/>
      <c r="S1152" s="144"/>
      <c r="T1152" s="144"/>
      <c r="U1152" s="144"/>
      <c r="V1152" s="144"/>
      <c r="W1152" s="144"/>
      <c r="X1152" s="144"/>
      <c r="Y1152" s="144"/>
      <c r="Z1152" s="144"/>
      <c r="AA1152" s="144"/>
      <c r="AB1152" s="144"/>
      <c r="AC1152" s="144"/>
      <c r="AD1152" s="144"/>
      <c r="AE1152" s="144"/>
    </row>
    <row r="1153" spans="3:31" x14ac:dyDescent="0.25">
      <c r="C1153" s="180"/>
      <c r="D1153" s="180"/>
      <c r="H1153" s="144"/>
      <c r="I1153" s="144"/>
      <c r="J1153" s="144"/>
      <c r="K1153" s="144"/>
      <c r="L1153" s="144"/>
      <c r="M1153" s="144"/>
      <c r="N1153" s="144"/>
      <c r="O1153" s="144"/>
      <c r="P1153" s="144"/>
      <c r="Q1153" s="144"/>
      <c r="R1153" s="144"/>
      <c r="S1153" s="144"/>
      <c r="T1153" s="144"/>
      <c r="U1153" s="144"/>
      <c r="V1153" s="144"/>
      <c r="W1153" s="144"/>
      <c r="X1153" s="144"/>
      <c r="Y1153" s="144"/>
      <c r="Z1153" s="144"/>
      <c r="AA1153" s="144"/>
      <c r="AB1153" s="144"/>
      <c r="AC1153" s="144"/>
      <c r="AD1153" s="144"/>
      <c r="AE1153" s="144"/>
    </row>
    <row r="1154" spans="3:31" x14ac:dyDescent="0.25">
      <c r="C1154" s="180"/>
      <c r="D1154" s="180"/>
      <c r="H1154" s="144"/>
      <c r="I1154" s="144"/>
      <c r="J1154" s="144"/>
      <c r="K1154" s="144"/>
      <c r="L1154" s="144"/>
      <c r="M1154" s="144"/>
      <c r="N1154" s="144"/>
      <c r="O1154" s="144"/>
      <c r="P1154" s="144"/>
      <c r="Q1154" s="144"/>
      <c r="R1154" s="144"/>
      <c r="S1154" s="144"/>
      <c r="T1154" s="144"/>
      <c r="U1154" s="144"/>
      <c r="V1154" s="144"/>
      <c r="W1154" s="144"/>
      <c r="X1154" s="144"/>
      <c r="Y1154" s="144"/>
      <c r="Z1154" s="144"/>
      <c r="AA1154" s="144"/>
      <c r="AB1154" s="144"/>
      <c r="AC1154" s="144"/>
      <c r="AD1154" s="144"/>
      <c r="AE1154" s="144"/>
    </row>
    <row r="1155" spans="3:31" x14ac:dyDescent="0.25">
      <c r="C1155" s="180"/>
      <c r="D1155" s="180"/>
      <c r="H1155" s="144"/>
      <c r="I1155" s="144"/>
      <c r="J1155" s="144"/>
      <c r="K1155" s="144"/>
      <c r="L1155" s="144"/>
      <c r="M1155" s="144"/>
      <c r="N1155" s="144"/>
      <c r="O1155" s="144"/>
      <c r="P1155" s="144"/>
      <c r="Q1155" s="144"/>
      <c r="R1155" s="144"/>
      <c r="S1155" s="144"/>
      <c r="T1155" s="144"/>
      <c r="U1155" s="144"/>
      <c r="V1155" s="144"/>
      <c r="W1155" s="144"/>
      <c r="X1155" s="144"/>
      <c r="Y1155" s="144"/>
      <c r="Z1155" s="144"/>
      <c r="AA1155" s="144"/>
      <c r="AB1155" s="144"/>
      <c r="AC1155" s="144"/>
      <c r="AD1155" s="144"/>
      <c r="AE1155" s="144"/>
    </row>
    <row r="1156" spans="3:31" x14ac:dyDescent="0.25">
      <c r="C1156" s="180"/>
      <c r="D1156" s="180"/>
      <c r="H1156" s="144"/>
      <c r="I1156" s="144"/>
      <c r="J1156" s="144"/>
      <c r="K1156" s="144"/>
      <c r="L1156" s="144"/>
      <c r="M1156" s="144"/>
      <c r="N1156" s="144"/>
      <c r="O1156" s="144"/>
      <c r="P1156" s="144"/>
      <c r="Q1156" s="144"/>
      <c r="R1156" s="144"/>
      <c r="S1156" s="144"/>
      <c r="T1156" s="144"/>
      <c r="U1156" s="144"/>
      <c r="V1156" s="144"/>
      <c r="W1156" s="144"/>
      <c r="X1156" s="144"/>
      <c r="Y1156" s="144"/>
      <c r="Z1156" s="144"/>
      <c r="AA1156" s="144"/>
      <c r="AB1156" s="144"/>
      <c r="AC1156" s="144"/>
      <c r="AD1156" s="144"/>
      <c r="AE1156" s="144"/>
    </row>
    <row r="1157" spans="3:31" x14ac:dyDescent="0.25">
      <c r="C1157" s="180"/>
      <c r="D1157" s="180"/>
      <c r="H1157" s="144"/>
      <c r="I1157" s="144"/>
      <c r="J1157" s="144"/>
      <c r="K1157" s="144"/>
      <c r="L1157" s="144"/>
      <c r="M1157" s="144"/>
      <c r="N1157" s="144"/>
      <c r="O1157" s="144"/>
      <c r="P1157" s="144"/>
      <c r="Q1157" s="144"/>
      <c r="R1157" s="144"/>
      <c r="S1157" s="144"/>
      <c r="T1157" s="144"/>
      <c r="U1157" s="144"/>
      <c r="V1157" s="144"/>
      <c r="W1157" s="144"/>
      <c r="X1157" s="144"/>
      <c r="Y1157" s="144"/>
      <c r="Z1157" s="144"/>
      <c r="AA1157" s="144"/>
      <c r="AB1157" s="144"/>
      <c r="AC1157" s="144"/>
      <c r="AD1157" s="144"/>
      <c r="AE1157" s="144"/>
    </row>
    <row r="1158" spans="3:31" x14ac:dyDescent="0.25">
      <c r="C1158" s="180"/>
      <c r="D1158" s="180"/>
      <c r="H1158" s="144"/>
      <c r="I1158" s="144"/>
      <c r="J1158" s="144"/>
      <c r="K1158" s="144"/>
      <c r="L1158" s="144"/>
      <c r="M1158" s="144"/>
      <c r="N1158" s="144"/>
      <c r="O1158" s="144"/>
      <c r="P1158" s="144"/>
      <c r="Q1158" s="144"/>
      <c r="R1158" s="144"/>
      <c r="S1158" s="144"/>
      <c r="T1158" s="144"/>
      <c r="U1158" s="144"/>
      <c r="V1158" s="144"/>
      <c r="W1158" s="144"/>
      <c r="X1158" s="144"/>
      <c r="Y1158" s="144"/>
      <c r="Z1158" s="144"/>
      <c r="AA1158" s="144"/>
      <c r="AB1158" s="144"/>
      <c r="AC1158" s="144"/>
      <c r="AD1158" s="144"/>
      <c r="AE1158" s="144"/>
    </row>
    <row r="1159" spans="3:31" x14ac:dyDescent="0.25">
      <c r="C1159" s="180"/>
      <c r="D1159" s="180"/>
      <c r="H1159" s="144"/>
      <c r="I1159" s="144"/>
      <c r="J1159" s="144"/>
      <c r="K1159" s="144"/>
      <c r="L1159" s="144"/>
      <c r="M1159" s="144"/>
      <c r="N1159" s="144"/>
      <c r="O1159" s="144"/>
      <c r="P1159" s="144"/>
      <c r="Q1159" s="144"/>
      <c r="R1159" s="144"/>
      <c r="S1159" s="144"/>
      <c r="T1159" s="144"/>
      <c r="U1159" s="144"/>
      <c r="V1159" s="144"/>
      <c r="W1159" s="144"/>
      <c r="X1159" s="144"/>
      <c r="Y1159" s="144"/>
      <c r="Z1159" s="144"/>
      <c r="AA1159" s="144"/>
      <c r="AB1159" s="144"/>
      <c r="AC1159" s="144"/>
      <c r="AD1159" s="144"/>
      <c r="AE1159" s="144"/>
    </row>
    <row r="1160" spans="3:31" x14ac:dyDescent="0.25">
      <c r="C1160" s="180"/>
      <c r="D1160" s="180"/>
      <c r="H1160" s="144"/>
      <c r="I1160" s="144"/>
      <c r="J1160" s="144"/>
      <c r="K1160" s="144"/>
      <c r="L1160" s="144"/>
      <c r="M1160" s="144"/>
      <c r="N1160" s="144"/>
      <c r="O1160" s="144"/>
      <c r="P1160" s="144"/>
      <c r="Q1160" s="144"/>
      <c r="R1160" s="144"/>
      <c r="S1160" s="144"/>
      <c r="T1160" s="144"/>
      <c r="U1160" s="144"/>
      <c r="V1160" s="144"/>
      <c r="W1160" s="144"/>
      <c r="X1160" s="144"/>
      <c r="Y1160" s="144"/>
      <c r="Z1160" s="144"/>
      <c r="AA1160" s="144"/>
      <c r="AB1160" s="144"/>
      <c r="AC1160" s="144"/>
      <c r="AD1160" s="144"/>
      <c r="AE1160" s="144"/>
    </row>
    <row r="1161" spans="3:31" x14ac:dyDescent="0.25">
      <c r="C1161" s="180"/>
      <c r="D1161" s="180"/>
      <c r="H1161" s="144"/>
      <c r="I1161" s="144"/>
      <c r="J1161" s="144"/>
      <c r="K1161" s="144"/>
      <c r="L1161" s="144"/>
      <c r="M1161" s="144"/>
      <c r="N1161" s="144"/>
      <c r="O1161" s="144"/>
      <c r="P1161" s="144"/>
      <c r="Q1161" s="144"/>
      <c r="R1161" s="144"/>
      <c r="S1161" s="144"/>
      <c r="T1161" s="144"/>
      <c r="U1161" s="144"/>
      <c r="V1161" s="144"/>
      <c r="W1161" s="144"/>
      <c r="X1161" s="144"/>
      <c r="Y1161" s="144"/>
      <c r="Z1161" s="144"/>
      <c r="AA1161" s="144"/>
      <c r="AB1161" s="144"/>
      <c r="AC1161" s="144"/>
      <c r="AD1161" s="144"/>
      <c r="AE1161" s="144"/>
    </row>
    <row r="1162" spans="3:31" x14ac:dyDescent="0.25">
      <c r="H1162" s="144"/>
      <c r="I1162" s="144"/>
      <c r="J1162" s="144"/>
      <c r="K1162" s="144"/>
      <c r="L1162" s="144"/>
      <c r="M1162" s="144"/>
      <c r="N1162" s="144"/>
      <c r="O1162" s="144"/>
      <c r="P1162" s="144"/>
      <c r="Q1162" s="144"/>
      <c r="R1162" s="144"/>
      <c r="S1162" s="144"/>
      <c r="T1162" s="144"/>
      <c r="U1162" s="144"/>
      <c r="V1162" s="144"/>
      <c r="W1162" s="144"/>
      <c r="X1162" s="144"/>
      <c r="Y1162" s="144"/>
      <c r="Z1162" s="144"/>
      <c r="AA1162" s="144"/>
      <c r="AB1162" s="144"/>
      <c r="AC1162" s="144"/>
      <c r="AD1162" s="144"/>
      <c r="AE1162" s="144"/>
    </row>
    <row r="1163" spans="3:31" x14ac:dyDescent="0.25">
      <c r="H1163" s="144"/>
      <c r="I1163" s="144"/>
      <c r="J1163" s="144"/>
      <c r="K1163" s="144"/>
      <c r="L1163" s="144"/>
      <c r="M1163" s="144"/>
      <c r="N1163" s="144"/>
      <c r="O1163" s="144"/>
      <c r="P1163" s="144"/>
      <c r="Q1163" s="144"/>
      <c r="R1163" s="144"/>
      <c r="S1163" s="144"/>
      <c r="T1163" s="144"/>
      <c r="U1163" s="144"/>
      <c r="V1163" s="144"/>
      <c r="W1163" s="144"/>
      <c r="X1163" s="144"/>
      <c r="Y1163" s="144"/>
      <c r="Z1163" s="144"/>
      <c r="AA1163" s="144"/>
      <c r="AB1163" s="144"/>
      <c r="AC1163" s="144"/>
      <c r="AD1163" s="144"/>
      <c r="AE1163" s="144"/>
    </row>
    <row r="1164" spans="3:31" x14ac:dyDescent="0.25">
      <c r="H1164" s="144"/>
      <c r="I1164" s="144"/>
      <c r="J1164" s="144"/>
      <c r="K1164" s="144"/>
      <c r="L1164" s="144"/>
      <c r="M1164" s="144"/>
      <c r="N1164" s="144"/>
      <c r="O1164" s="144"/>
      <c r="P1164" s="144"/>
      <c r="Q1164" s="144"/>
      <c r="R1164" s="144"/>
      <c r="S1164" s="144"/>
      <c r="T1164" s="144"/>
      <c r="U1164" s="144"/>
      <c r="V1164" s="144"/>
      <c r="W1164" s="144"/>
      <c r="X1164" s="144"/>
      <c r="Y1164" s="144"/>
      <c r="Z1164" s="144"/>
      <c r="AA1164" s="144"/>
      <c r="AB1164" s="144"/>
      <c r="AC1164" s="144"/>
      <c r="AD1164" s="144"/>
      <c r="AE1164" s="144"/>
    </row>
    <row r="1165" spans="3:31" x14ac:dyDescent="0.25">
      <c r="H1165" s="144"/>
      <c r="I1165" s="144"/>
      <c r="J1165" s="144"/>
      <c r="K1165" s="144"/>
      <c r="L1165" s="144"/>
      <c r="M1165" s="144"/>
      <c r="N1165" s="144"/>
      <c r="O1165" s="144"/>
      <c r="P1165" s="144"/>
      <c r="Q1165" s="144"/>
      <c r="R1165" s="144"/>
      <c r="S1165" s="144"/>
      <c r="T1165" s="144"/>
      <c r="U1165" s="144"/>
      <c r="V1165" s="144"/>
      <c r="W1165" s="144"/>
      <c r="X1165" s="144"/>
      <c r="Y1165" s="144"/>
      <c r="Z1165" s="144"/>
      <c r="AA1165" s="144"/>
      <c r="AB1165" s="144"/>
      <c r="AC1165" s="144"/>
      <c r="AD1165" s="144"/>
      <c r="AE1165" s="144"/>
    </row>
    <row r="1166" spans="3:31" x14ac:dyDescent="0.25">
      <c r="H1166" s="144"/>
      <c r="I1166" s="144"/>
      <c r="J1166" s="144"/>
      <c r="K1166" s="144"/>
      <c r="L1166" s="144"/>
      <c r="M1166" s="144"/>
      <c r="N1166" s="144"/>
      <c r="O1166" s="144"/>
      <c r="P1166" s="144"/>
      <c r="Q1166" s="144"/>
      <c r="R1166" s="144"/>
      <c r="S1166" s="144"/>
      <c r="T1166" s="144"/>
      <c r="U1166" s="144"/>
      <c r="V1166" s="144"/>
      <c r="W1166" s="144"/>
      <c r="X1166" s="144"/>
      <c r="Y1166" s="144"/>
      <c r="Z1166" s="144"/>
      <c r="AA1166" s="144"/>
      <c r="AB1166" s="144"/>
      <c r="AC1166" s="144"/>
      <c r="AD1166" s="144"/>
      <c r="AE1166" s="144"/>
    </row>
    <row r="1167" spans="3:31" x14ac:dyDescent="0.25">
      <c r="H1167" s="144"/>
      <c r="I1167" s="144"/>
      <c r="J1167" s="144"/>
      <c r="K1167" s="144"/>
      <c r="L1167" s="144"/>
      <c r="M1167" s="144"/>
      <c r="N1167" s="144"/>
      <c r="O1167" s="144"/>
      <c r="P1167" s="144"/>
      <c r="Q1167" s="144"/>
      <c r="R1167" s="144"/>
      <c r="S1167" s="144"/>
      <c r="T1167" s="144"/>
      <c r="U1167" s="144"/>
      <c r="V1167" s="144"/>
      <c r="W1167" s="144"/>
      <c r="X1167" s="144"/>
      <c r="Y1167" s="144"/>
      <c r="Z1167" s="144"/>
      <c r="AA1167" s="144"/>
      <c r="AB1167" s="144"/>
      <c r="AC1167" s="144"/>
      <c r="AD1167" s="144"/>
      <c r="AE1167" s="144"/>
    </row>
    <row r="1168" spans="3:31" x14ac:dyDescent="0.25">
      <c r="H1168" s="144"/>
      <c r="I1168" s="144"/>
      <c r="J1168" s="144"/>
      <c r="K1168" s="144"/>
      <c r="L1168" s="144"/>
      <c r="M1168" s="144"/>
      <c r="N1168" s="144"/>
      <c r="O1168" s="144"/>
      <c r="P1168" s="144"/>
      <c r="Q1168" s="144"/>
      <c r="R1168" s="144"/>
      <c r="S1168" s="144"/>
      <c r="T1168" s="144"/>
      <c r="U1168" s="144"/>
      <c r="V1168" s="144"/>
      <c r="W1168" s="144"/>
      <c r="X1168" s="144"/>
      <c r="Y1168" s="144"/>
      <c r="Z1168" s="144"/>
      <c r="AA1168" s="144"/>
      <c r="AB1168" s="144"/>
      <c r="AC1168" s="144"/>
      <c r="AD1168" s="144"/>
      <c r="AE1168" s="144"/>
    </row>
    <row r="1169" spans="8:31" x14ac:dyDescent="0.25">
      <c r="H1169" s="144"/>
      <c r="I1169" s="144"/>
      <c r="J1169" s="144"/>
      <c r="K1169" s="144"/>
      <c r="L1169" s="144"/>
      <c r="M1169" s="144"/>
      <c r="N1169" s="144"/>
      <c r="O1169" s="144"/>
      <c r="P1169" s="144"/>
      <c r="Q1169" s="144"/>
      <c r="R1169" s="144"/>
      <c r="S1169" s="144"/>
      <c r="T1169" s="144"/>
      <c r="U1169" s="144"/>
      <c r="V1169" s="144"/>
      <c r="W1169" s="144"/>
      <c r="X1169" s="144"/>
      <c r="Y1169" s="144"/>
      <c r="Z1169" s="144"/>
      <c r="AA1169" s="144"/>
      <c r="AB1169" s="144"/>
      <c r="AC1169" s="144"/>
      <c r="AD1169" s="144"/>
      <c r="AE1169" s="144"/>
    </row>
    <row r="1170" spans="8:31" x14ac:dyDescent="0.25">
      <c r="H1170" s="144"/>
      <c r="I1170" s="144"/>
      <c r="J1170" s="144"/>
      <c r="K1170" s="144"/>
      <c r="L1170" s="144"/>
      <c r="M1170" s="144"/>
      <c r="N1170" s="144"/>
      <c r="O1170" s="144"/>
      <c r="P1170" s="144"/>
      <c r="Q1170" s="144"/>
      <c r="R1170" s="144"/>
      <c r="S1170" s="144"/>
      <c r="T1170" s="144"/>
      <c r="U1170" s="144"/>
      <c r="V1170" s="144"/>
      <c r="W1170" s="144"/>
      <c r="X1170" s="144"/>
      <c r="Y1170" s="144"/>
      <c r="Z1170" s="144"/>
      <c r="AA1170" s="144"/>
      <c r="AB1170" s="144"/>
      <c r="AC1170" s="144"/>
      <c r="AD1170" s="144"/>
      <c r="AE1170" s="144"/>
    </row>
    <row r="1171" spans="8:31" x14ac:dyDescent="0.25">
      <c r="H1171" s="144"/>
      <c r="I1171" s="144"/>
      <c r="J1171" s="144"/>
      <c r="K1171" s="144"/>
      <c r="L1171" s="144"/>
      <c r="M1171" s="144"/>
      <c r="N1171" s="144"/>
      <c r="O1171" s="144"/>
      <c r="P1171" s="144"/>
      <c r="Q1171" s="144"/>
      <c r="R1171" s="144"/>
      <c r="S1171" s="144"/>
      <c r="T1171" s="144"/>
      <c r="U1171" s="144"/>
      <c r="V1171" s="144"/>
      <c r="W1171" s="144"/>
      <c r="X1171" s="144"/>
      <c r="Y1171" s="144"/>
      <c r="Z1171" s="144"/>
      <c r="AA1171" s="144"/>
      <c r="AB1171" s="144"/>
      <c r="AC1171" s="144"/>
      <c r="AD1171" s="144"/>
      <c r="AE1171" s="144"/>
    </row>
    <row r="1172" spans="8:31" x14ac:dyDescent="0.25">
      <c r="H1172" s="144"/>
      <c r="I1172" s="144"/>
      <c r="J1172" s="144"/>
      <c r="K1172" s="144"/>
      <c r="L1172" s="144"/>
      <c r="M1172" s="144"/>
      <c r="N1172" s="144"/>
      <c r="O1172" s="144"/>
      <c r="P1172" s="144"/>
      <c r="Q1172" s="144"/>
      <c r="R1172" s="144"/>
      <c r="S1172" s="144"/>
      <c r="T1172" s="144"/>
      <c r="U1172" s="144"/>
      <c r="V1172" s="144"/>
      <c r="W1172" s="144"/>
      <c r="X1172" s="144"/>
      <c r="Y1172" s="144"/>
      <c r="Z1172" s="144"/>
      <c r="AA1172" s="144"/>
      <c r="AB1172" s="144"/>
      <c r="AC1172" s="144"/>
      <c r="AD1172" s="144"/>
      <c r="AE1172" s="144"/>
    </row>
    <row r="1173" spans="8:31" x14ac:dyDescent="0.25">
      <c r="H1173" s="144"/>
      <c r="I1173" s="144"/>
      <c r="J1173" s="144"/>
      <c r="K1173" s="144"/>
      <c r="L1173" s="144"/>
      <c r="M1173" s="144"/>
      <c r="N1173" s="144"/>
      <c r="O1173" s="144"/>
      <c r="P1173" s="144"/>
      <c r="Q1173" s="144"/>
      <c r="R1173" s="144"/>
      <c r="S1173" s="144"/>
      <c r="T1173" s="144"/>
      <c r="U1173" s="144"/>
      <c r="V1173" s="144"/>
      <c r="W1173" s="144"/>
      <c r="X1173" s="144"/>
      <c r="Y1173" s="144"/>
      <c r="Z1173" s="144"/>
      <c r="AA1173" s="144"/>
      <c r="AB1173" s="144"/>
      <c r="AC1173" s="144"/>
      <c r="AD1173" s="144"/>
      <c r="AE1173" s="144"/>
    </row>
    <row r="1174" spans="8:31" x14ac:dyDescent="0.25">
      <c r="H1174" s="144"/>
      <c r="I1174" s="144"/>
      <c r="J1174" s="144"/>
      <c r="K1174" s="144"/>
      <c r="L1174" s="144"/>
      <c r="M1174" s="144"/>
      <c r="N1174" s="144"/>
      <c r="O1174" s="144"/>
      <c r="P1174" s="144"/>
      <c r="Q1174" s="144"/>
      <c r="R1174" s="144"/>
      <c r="S1174" s="144"/>
      <c r="T1174" s="144"/>
      <c r="U1174" s="144"/>
      <c r="V1174" s="144"/>
      <c r="W1174" s="144"/>
      <c r="X1174" s="144"/>
      <c r="Y1174" s="144"/>
      <c r="Z1174" s="144"/>
      <c r="AA1174" s="144"/>
      <c r="AB1174" s="144"/>
      <c r="AC1174" s="144"/>
      <c r="AD1174" s="144"/>
      <c r="AE1174" s="144"/>
    </row>
    <row r="1175" spans="8:31" x14ac:dyDescent="0.25">
      <c r="H1175" s="144"/>
      <c r="I1175" s="144"/>
      <c r="J1175" s="144"/>
      <c r="K1175" s="144"/>
      <c r="L1175" s="144"/>
      <c r="M1175" s="144"/>
      <c r="N1175" s="144"/>
      <c r="O1175" s="144"/>
      <c r="P1175" s="144"/>
      <c r="Q1175" s="144"/>
      <c r="R1175" s="144"/>
      <c r="S1175" s="144"/>
      <c r="T1175" s="144"/>
      <c r="U1175" s="144"/>
      <c r="V1175" s="144"/>
      <c r="W1175" s="144"/>
      <c r="X1175" s="144"/>
      <c r="Y1175" s="144"/>
      <c r="Z1175" s="144"/>
      <c r="AA1175" s="144"/>
      <c r="AB1175" s="144"/>
      <c r="AC1175" s="144"/>
      <c r="AD1175" s="144"/>
      <c r="AE1175" s="144"/>
    </row>
    <row r="1176" spans="8:31" x14ac:dyDescent="0.25">
      <c r="H1176" s="144"/>
      <c r="I1176" s="144"/>
      <c r="J1176" s="144"/>
      <c r="K1176" s="144"/>
      <c r="L1176" s="144"/>
      <c r="M1176" s="144"/>
      <c r="N1176" s="144"/>
      <c r="O1176" s="144"/>
      <c r="P1176" s="144"/>
      <c r="Q1176" s="144"/>
      <c r="R1176" s="144"/>
      <c r="S1176" s="144"/>
      <c r="T1176" s="144"/>
      <c r="U1176" s="144"/>
      <c r="V1176" s="144"/>
      <c r="W1176" s="144"/>
      <c r="X1176" s="144"/>
      <c r="Y1176" s="144"/>
      <c r="Z1176" s="144"/>
      <c r="AA1176" s="144"/>
      <c r="AB1176" s="144"/>
      <c r="AC1176" s="144"/>
      <c r="AD1176" s="144"/>
      <c r="AE1176" s="144"/>
    </row>
    <row r="1177" spans="8:31" x14ac:dyDescent="0.25">
      <c r="H1177" s="144"/>
      <c r="I1177" s="144"/>
      <c r="J1177" s="144"/>
      <c r="K1177" s="144"/>
      <c r="L1177" s="144"/>
      <c r="M1177" s="144"/>
      <c r="N1177" s="144"/>
      <c r="O1177" s="144"/>
      <c r="P1177" s="144"/>
      <c r="Q1177" s="144"/>
      <c r="R1177" s="144"/>
      <c r="S1177" s="144"/>
      <c r="T1177" s="144"/>
      <c r="U1177" s="144"/>
      <c r="V1177" s="144"/>
      <c r="W1177" s="144"/>
      <c r="X1177" s="144"/>
      <c r="Y1177" s="144"/>
      <c r="Z1177" s="144"/>
      <c r="AA1177" s="144"/>
      <c r="AB1177" s="144"/>
      <c r="AC1177" s="144"/>
      <c r="AD1177" s="144"/>
      <c r="AE1177" s="144"/>
    </row>
    <row r="1178" spans="8:31" x14ac:dyDescent="0.25">
      <c r="H1178" s="144"/>
      <c r="I1178" s="144"/>
      <c r="J1178" s="144"/>
      <c r="K1178" s="144"/>
      <c r="L1178" s="144"/>
      <c r="M1178" s="144"/>
      <c r="N1178" s="144"/>
      <c r="O1178" s="144"/>
      <c r="P1178" s="144"/>
      <c r="Q1178" s="144"/>
      <c r="R1178" s="144"/>
      <c r="S1178" s="144"/>
      <c r="T1178" s="144"/>
      <c r="U1178" s="144"/>
      <c r="V1178" s="144"/>
      <c r="W1178" s="144"/>
      <c r="X1178" s="144"/>
      <c r="Y1178" s="144"/>
      <c r="Z1178" s="144"/>
      <c r="AA1178" s="144"/>
      <c r="AB1178" s="144"/>
      <c r="AC1178" s="144"/>
      <c r="AD1178" s="144"/>
      <c r="AE1178" s="144"/>
    </row>
    <row r="1179" spans="8:31" x14ac:dyDescent="0.25">
      <c r="H1179" s="144"/>
      <c r="I1179" s="144"/>
      <c r="J1179" s="144"/>
      <c r="K1179" s="144"/>
      <c r="L1179" s="144"/>
      <c r="M1179" s="144"/>
      <c r="N1179" s="144"/>
      <c r="O1179" s="144"/>
      <c r="P1179" s="144"/>
      <c r="Q1179" s="144"/>
      <c r="R1179" s="144"/>
      <c r="S1179" s="144"/>
      <c r="T1179" s="144"/>
      <c r="U1179" s="144"/>
      <c r="V1179" s="144"/>
      <c r="W1179" s="144"/>
      <c r="X1179" s="144"/>
      <c r="Y1179" s="144"/>
      <c r="Z1179" s="144"/>
      <c r="AA1179" s="144"/>
      <c r="AB1179" s="144"/>
      <c r="AC1179" s="144"/>
      <c r="AD1179" s="144"/>
      <c r="AE1179" s="144"/>
    </row>
    <row r="1180" spans="8:31" x14ac:dyDescent="0.25">
      <c r="H1180" s="144"/>
      <c r="I1180" s="144"/>
      <c r="J1180" s="144"/>
      <c r="K1180" s="144"/>
      <c r="L1180" s="144"/>
      <c r="M1180" s="144"/>
      <c r="N1180" s="144"/>
      <c r="O1180" s="144"/>
      <c r="P1180" s="144"/>
      <c r="Q1180" s="144"/>
      <c r="R1180" s="144"/>
      <c r="S1180" s="144"/>
      <c r="T1180" s="144"/>
      <c r="U1180" s="144"/>
      <c r="V1180" s="144"/>
      <c r="W1180" s="144"/>
      <c r="X1180" s="144"/>
      <c r="Y1180" s="144"/>
      <c r="Z1180" s="144"/>
      <c r="AA1180" s="144"/>
      <c r="AB1180" s="144"/>
      <c r="AC1180" s="144"/>
      <c r="AD1180" s="144"/>
      <c r="AE1180" s="144"/>
    </row>
    <row r="1181" spans="8:31" x14ac:dyDescent="0.25">
      <c r="H1181" s="144"/>
      <c r="I1181" s="144"/>
      <c r="J1181" s="144"/>
      <c r="K1181" s="144"/>
      <c r="L1181" s="144"/>
      <c r="M1181" s="144"/>
      <c r="N1181" s="144"/>
      <c r="O1181" s="144"/>
      <c r="P1181" s="144"/>
      <c r="Q1181" s="144"/>
      <c r="R1181" s="144"/>
      <c r="S1181" s="144"/>
      <c r="T1181" s="144"/>
      <c r="U1181" s="144"/>
      <c r="V1181" s="144"/>
      <c r="W1181" s="144"/>
      <c r="X1181" s="144"/>
      <c r="Y1181" s="144"/>
      <c r="Z1181" s="144"/>
      <c r="AA1181" s="144"/>
      <c r="AB1181" s="144"/>
      <c r="AC1181" s="144"/>
      <c r="AD1181" s="144"/>
      <c r="AE1181" s="144"/>
    </row>
    <row r="1182" spans="8:31" x14ac:dyDescent="0.25">
      <c r="H1182" s="144"/>
      <c r="I1182" s="144"/>
      <c r="J1182" s="144"/>
      <c r="K1182" s="144"/>
      <c r="L1182" s="144"/>
      <c r="M1182" s="144"/>
      <c r="N1182" s="144"/>
      <c r="O1182" s="144"/>
      <c r="P1182" s="144"/>
      <c r="Q1182" s="144"/>
      <c r="R1182" s="144"/>
      <c r="S1182" s="144"/>
      <c r="T1182" s="144"/>
      <c r="U1182" s="144"/>
      <c r="V1182" s="144"/>
      <c r="W1182" s="144"/>
      <c r="X1182" s="144"/>
      <c r="Y1182" s="144"/>
      <c r="Z1182" s="144"/>
      <c r="AA1182" s="144"/>
      <c r="AB1182" s="144"/>
      <c r="AC1182" s="144"/>
      <c r="AD1182" s="144"/>
      <c r="AE1182" s="144"/>
    </row>
    <row r="1183" spans="8:31" x14ac:dyDescent="0.25">
      <c r="H1183" s="144"/>
      <c r="I1183" s="144"/>
      <c r="J1183" s="144"/>
      <c r="K1183" s="144"/>
      <c r="L1183" s="144"/>
      <c r="M1183" s="144"/>
      <c r="N1183" s="144"/>
      <c r="O1183" s="144"/>
      <c r="P1183" s="144"/>
      <c r="Q1183" s="144"/>
      <c r="R1183" s="144"/>
      <c r="S1183" s="144"/>
      <c r="T1183" s="144"/>
      <c r="U1183" s="144"/>
      <c r="V1183" s="144"/>
      <c r="W1183" s="144"/>
      <c r="X1183" s="144"/>
      <c r="Y1183" s="144"/>
      <c r="Z1183" s="144"/>
      <c r="AA1183" s="144"/>
      <c r="AB1183" s="144"/>
      <c r="AC1183" s="144"/>
      <c r="AD1183" s="144"/>
      <c r="AE1183" s="144"/>
    </row>
    <row r="1184" spans="8:31" x14ac:dyDescent="0.25">
      <c r="H1184" s="144"/>
      <c r="I1184" s="144"/>
      <c r="J1184" s="144"/>
      <c r="K1184" s="144"/>
      <c r="L1184" s="144"/>
      <c r="M1184" s="144"/>
      <c r="N1184" s="144"/>
      <c r="O1184" s="144"/>
      <c r="P1184" s="144"/>
      <c r="Q1184" s="144"/>
      <c r="R1184" s="144"/>
      <c r="S1184" s="144"/>
      <c r="T1184" s="144"/>
      <c r="U1184" s="144"/>
      <c r="V1184" s="144"/>
      <c r="W1184" s="144"/>
      <c r="X1184" s="144"/>
      <c r="Y1184" s="144"/>
      <c r="Z1184" s="144"/>
      <c r="AA1184" s="144"/>
      <c r="AB1184" s="144"/>
      <c r="AC1184" s="144"/>
      <c r="AD1184" s="144"/>
      <c r="AE1184" s="144"/>
    </row>
    <row r="1185" spans="8:31" x14ac:dyDescent="0.25">
      <c r="H1185" s="144"/>
      <c r="I1185" s="144"/>
      <c r="J1185" s="144"/>
      <c r="K1185" s="144"/>
      <c r="L1185" s="144"/>
      <c r="M1185" s="144"/>
      <c r="N1185" s="144"/>
      <c r="O1185" s="144"/>
      <c r="P1185" s="144"/>
      <c r="Q1185" s="144"/>
      <c r="R1185" s="144"/>
      <c r="S1185" s="144"/>
      <c r="T1185" s="144"/>
      <c r="U1185" s="144"/>
      <c r="V1185" s="144"/>
      <c r="W1185" s="144"/>
      <c r="X1185" s="144"/>
      <c r="Y1185" s="144"/>
      <c r="Z1185" s="144"/>
      <c r="AA1185" s="144"/>
      <c r="AB1185" s="144"/>
      <c r="AC1185" s="144"/>
      <c r="AD1185" s="144"/>
      <c r="AE1185" s="144"/>
    </row>
    <row r="1186" spans="8:31" x14ac:dyDescent="0.25">
      <c r="H1186" s="144"/>
      <c r="I1186" s="144"/>
      <c r="J1186" s="144"/>
      <c r="K1186" s="144"/>
      <c r="L1186" s="144"/>
      <c r="M1186" s="144"/>
      <c r="N1186" s="144"/>
      <c r="O1186" s="144"/>
      <c r="P1186" s="144"/>
      <c r="Q1186" s="144"/>
      <c r="R1186" s="144"/>
      <c r="S1186" s="144"/>
      <c r="T1186" s="144"/>
      <c r="U1186" s="144"/>
      <c r="V1186" s="144"/>
      <c r="W1186" s="144"/>
      <c r="X1186" s="144"/>
      <c r="Y1186" s="144"/>
      <c r="Z1186" s="144"/>
      <c r="AA1186" s="144"/>
      <c r="AB1186" s="144"/>
      <c r="AC1186" s="144"/>
      <c r="AD1186" s="144"/>
      <c r="AE1186" s="144"/>
    </row>
    <row r="1187" spans="8:31" x14ac:dyDescent="0.25">
      <c r="H1187" s="144"/>
      <c r="I1187" s="144"/>
      <c r="J1187" s="144"/>
      <c r="K1187" s="144"/>
      <c r="L1187" s="144"/>
      <c r="M1187" s="144"/>
      <c r="N1187" s="144"/>
      <c r="O1187" s="144"/>
      <c r="P1187" s="144"/>
      <c r="Q1187" s="144"/>
      <c r="R1187" s="144"/>
      <c r="S1187" s="144"/>
      <c r="T1187" s="144"/>
      <c r="U1187" s="144"/>
      <c r="V1187" s="144"/>
      <c r="W1187" s="144"/>
      <c r="X1187" s="144"/>
      <c r="Y1187" s="144"/>
      <c r="Z1187" s="144"/>
      <c r="AA1187" s="144"/>
      <c r="AB1187" s="144"/>
      <c r="AC1187" s="144"/>
      <c r="AD1187" s="144"/>
      <c r="AE1187" s="144"/>
    </row>
    <row r="1188" spans="8:31" x14ac:dyDescent="0.25">
      <c r="H1188" s="144"/>
      <c r="I1188" s="144"/>
      <c r="J1188" s="144"/>
      <c r="K1188" s="144"/>
      <c r="L1188" s="144"/>
      <c r="M1188" s="144"/>
      <c r="N1188" s="144"/>
      <c r="O1188" s="144"/>
      <c r="P1188" s="144"/>
      <c r="Q1188" s="144"/>
      <c r="R1188" s="144"/>
      <c r="S1188" s="144"/>
      <c r="T1188" s="144"/>
      <c r="U1188" s="144"/>
      <c r="V1188" s="144"/>
      <c r="W1188" s="144"/>
      <c r="X1188" s="144"/>
      <c r="Y1188" s="144"/>
      <c r="Z1188" s="144"/>
      <c r="AA1188" s="144"/>
      <c r="AB1188" s="144"/>
      <c r="AC1188" s="144"/>
      <c r="AD1188" s="144"/>
      <c r="AE1188" s="144"/>
    </row>
    <row r="1189" spans="8:31" x14ac:dyDescent="0.25">
      <c r="H1189" s="144"/>
      <c r="I1189" s="144"/>
      <c r="J1189" s="144"/>
      <c r="K1189" s="144"/>
      <c r="L1189" s="144"/>
      <c r="M1189" s="144"/>
      <c r="N1189" s="144"/>
      <c r="O1189" s="144"/>
      <c r="P1189" s="144"/>
      <c r="Q1189" s="144"/>
      <c r="R1189" s="144"/>
      <c r="S1189" s="144"/>
      <c r="T1189" s="144"/>
      <c r="U1189" s="144"/>
      <c r="V1189" s="144"/>
      <c r="W1189" s="144"/>
      <c r="X1189" s="144"/>
      <c r="Y1189" s="144"/>
      <c r="Z1189" s="144"/>
      <c r="AA1189" s="144"/>
      <c r="AB1189" s="144"/>
      <c r="AC1189" s="144"/>
      <c r="AD1189" s="144"/>
      <c r="AE1189" s="144"/>
    </row>
    <row r="1190" spans="8:31" x14ac:dyDescent="0.25">
      <c r="H1190" s="144"/>
      <c r="I1190" s="144"/>
      <c r="J1190" s="144"/>
      <c r="K1190" s="144"/>
      <c r="L1190" s="144"/>
      <c r="M1190" s="144"/>
      <c r="N1190" s="144"/>
      <c r="O1190" s="144"/>
      <c r="P1190" s="144"/>
      <c r="Q1190" s="144"/>
      <c r="R1190" s="144"/>
      <c r="S1190" s="144"/>
      <c r="T1190" s="144"/>
      <c r="U1190" s="144"/>
      <c r="V1190" s="144"/>
      <c r="W1190" s="144"/>
      <c r="X1190" s="144"/>
      <c r="Y1190" s="144"/>
      <c r="Z1190" s="144"/>
      <c r="AA1190" s="144"/>
      <c r="AB1190" s="144"/>
      <c r="AC1190" s="144"/>
      <c r="AD1190" s="144"/>
      <c r="AE1190" s="144"/>
    </row>
    <row r="1191" spans="8:31" x14ac:dyDescent="0.25">
      <c r="H1191" s="144"/>
      <c r="I1191" s="144"/>
      <c r="J1191" s="144"/>
      <c r="K1191" s="144"/>
      <c r="L1191" s="144"/>
      <c r="M1191" s="144"/>
      <c r="N1191" s="144"/>
      <c r="O1191" s="144"/>
      <c r="P1191" s="144"/>
      <c r="Q1191" s="144"/>
      <c r="R1191" s="144"/>
      <c r="S1191" s="144"/>
      <c r="T1191" s="144"/>
      <c r="U1191" s="144"/>
      <c r="V1191" s="144"/>
      <c r="W1191" s="144"/>
      <c r="X1191" s="144"/>
      <c r="Y1191" s="144"/>
      <c r="Z1191" s="144"/>
      <c r="AA1191" s="144"/>
      <c r="AB1191" s="144"/>
      <c r="AC1191" s="144"/>
      <c r="AD1191" s="144"/>
      <c r="AE1191" s="144"/>
    </row>
    <row r="1192" spans="8:31" x14ac:dyDescent="0.25">
      <c r="H1192" s="144"/>
      <c r="I1192" s="144"/>
      <c r="J1192" s="144"/>
      <c r="K1192" s="144"/>
      <c r="L1192" s="144"/>
      <c r="M1192" s="144"/>
      <c r="N1192" s="144"/>
      <c r="O1192" s="144"/>
      <c r="P1192" s="144"/>
      <c r="Q1192" s="144"/>
      <c r="R1192" s="144"/>
      <c r="S1192" s="144"/>
      <c r="T1192" s="144"/>
      <c r="U1192" s="144"/>
      <c r="V1192" s="144"/>
      <c r="W1192" s="144"/>
      <c r="X1192" s="144"/>
      <c r="Y1192" s="144"/>
      <c r="Z1192" s="144"/>
      <c r="AA1192" s="144"/>
      <c r="AB1192" s="144"/>
      <c r="AC1192" s="144"/>
      <c r="AD1192" s="144"/>
      <c r="AE1192" s="144"/>
    </row>
    <row r="1193" spans="8:31" x14ac:dyDescent="0.25">
      <c r="H1193" s="144"/>
      <c r="I1193" s="144"/>
      <c r="J1193" s="144"/>
      <c r="K1193" s="144"/>
      <c r="L1193" s="144"/>
      <c r="M1193" s="144"/>
      <c r="N1193" s="144"/>
      <c r="O1193" s="144"/>
      <c r="P1193" s="144"/>
      <c r="Q1193" s="144"/>
      <c r="R1193" s="144"/>
      <c r="S1193" s="144"/>
      <c r="T1193" s="144"/>
      <c r="U1193" s="144"/>
      <c r="V1193" s="144"/>
      <c r="W1193" s="144"/>
      <c r="X1193" s="144"/>
      <c r="Y1193" s="144"/>
      <c r="Z1193" s="144"/>
      <c r="AA1193" s="144"/>
      <c r="AB1193" s="144"/>
      <c r="AC1193" s="144"/>
      <c r="AD1193" s="144"/>
      <c r="AE1193" s="144"/>
    </row>
    <row r="1194" spans="8:31" x14ac:dyDescent="0.25">
      <c r="H1194" s="144"/>
      <c r="I1194" s="144"/>
      <c r="J1194" s="144"/>
      <c r="K1194" s="144"/>
      <c r="L1194" s="144"/>
      <c r="M1194" s="144"/>
      <c r="N1194" s="144"/>
      <c r="O1194" s="144"/>
      <c r="P1194" s="144"/>
      <c r="Q1194" s="144"/>
      <c r="R1194" s="144"/>
      <c r="S1194" s="144"/>
      <c r="T1194" s="144"/>
      <c r="U1194" s="144"/>
      <c r="V1194" s="144"/>
      <c r="W1194" s="144"/>
      <c r="X1194" s="144"/>
      <c r="Y1194" s="144"/>
      <c r="Z1194" s="144"/>
      <c r="AA1194" s="144"/>
      <c r="AB1194" s="144"/>
      <c r="AC1194" s="144"/>
      <c r="AD1194" s="144"/>
      <c r="AE1194" s="144"/>
    </row>
    <row r="1195" spans="8:31" x14ac:dyDescent="0.25">
      <c r="H1195" s="144"/>
      <c r="I1195" s="144"/>
      <c r="J1195" s="144"/>
      <c r="K1195" s="144"/>
      <c r="L1195" s="144"/>
      <c r="M1195" s="144"/>
      <c r="N1195" s="144"/>
      <c r="O1195" s="144"/>
      <c r="P1195" s="144"/>
      <c r="Q1195" s="144"/>
      <c r="R1195" s="144"/>
      <c r="S1195" s="144"/>
      <c r="T1195" s="144"/>
      <c r="U1195" s="144"/>
      <c r="V1195" s="144"/>
      <c r="W1195" s="144"/>
      <c r="X1195" s="144"/>
      <c r="Y1195" s="144"/>
      <c r="Z1195" s="144"/>
      <c r="AA1195" s="144"/>
      <c r="AB1195" s="144"/>
      <c r="AC1195" s="144"/>
      <c r="AD1195" s="144"/>
      <c r="AE1195" s="144"/>
    </row>
    <row r="1196" spans="8:31" x14ac:dyDescent="0.25">
      <c r="H1196" s="144"/>
      <c r="I1196" s="144"/>
      <c r="J1196" s="144"/>
      <c r="K1196" s="144"/>
      <c r="L1196" s="144"/>
      <c r="M1196" s="144"/>
      <c r="N1196" s="144"/>
      <c r="O1196" s="144"/>
      <c r="P1196" s="144"/>
      <c r="Q1196" s="144"/>
      <c r="R1196" s="144"/>
      <c r="S1196" s="144"/>
      <c r="T1196" s="144"/>
      <c r="U1196" s="144"/>
      <c r="V1196" s="144"/>
      <c r="W1196" s="144"/>
      <c r="X1196" s="144"/>
      <c r="Y1196" s="144"/>
      <c r="Z1196" s="144"/>
      <c r="AA1196" s="144"/>
      <c r="AB1196" s="144"/>
      <c r="AC1196" s="144"/>
      <c r="AD1196" s="144"/>
      <c r="AE1196" s="144"/>
    </row>
    <row r="1197" spans="8:31" x14ac:dyDescent="0.25">
      <c r="H1197" s="144"/>
      <c r="I1197" s="144"/>
      <c r="J1197" s="144"/>
      <c r="K1197" s="144"/>
      <c r="L1197" s="144"/>
      <c r="M1197" s="144"/>
      <c r="N1197" s="144"/>
      <c r="O1197" s="144"/>
      <c r="P1197" s="144"/>
      <c r="Q1197" s="144"/>
      <c r="R1197" s="144"/>
      <c r="S1197" s="144"/>
      <c r="T1197" s="144"/>
      <c r="U1197" s="144"/>
      <c r="V1197" s="144"/>
      <c r="W1197" s="144"/>
      <c r="X1197" s="144"/>
      <c r="Y1197" s="144"/>
      <c r="Z1197" s="144"/>
      <c r="AA1197" s="144"/>
      <c r="AB1197" s="144"/>
      <c r="AC1197" s="144"/>
      <c r="AD1197" s="144"/>
      <c r="AE1197" s="144"/>
    </row>
    <row r="1198" spans="8:31" x14ac:dyDescent="0.25">
      <c r="H1198" s="144"/>
      <c r="I1198" s="144"/>
      <c r="J1198" s="144"/>
      <c r="K1198" s="144"/>
      <c r="L1198" s="144"/>
      <c r="M1198" s="144"/>
      <c r="N1198" s="144"/>
      <c r="O1198" s="144"/>
      <c r="P1198" s="144"/>
      <c r="Q1198" s="144"/>
      <c r="R1198" s="144"/>
      <c r="S1198" s="144"/>
      <c r="T1198" s="144"/>
      <c r="U1198" s="144"/>
      <c r="V1198" s="144"/>
      <c r="W1198" s="144"/>
      <c r="X1198" s="144"/>
      <c r="Y1198" s="144"/>
      <c r="Z1198" s="144"/>
      <c r="AA1198" s="144"/>
      <c r="AB1198" s="144"/>
      <c r="AC1198" s="144"/>
      <c r="AD1198" s="144"/>
      <c r="AE1198" s="144"/>
    </row>
    <row r="1199" spans="8:31" x14ac:dyDescent="0.25">
      <c r="H1199" s="144"/>
      <c r="I1199" s="144"/>
      <c r="J1199" s="144"/>
      <c r="K1199" s="144"/>
      <c r="L1199" s="144"/>
      <c r="M1199" s="144"/>
      <c r="N1199" s="144"/>
      <c r="O1199" s="144"/>
      <c r="P1199" s="144"/>
      <c r="Q1199" s="144"/>
      <c r="R1199" s="144"/>
      <c r="S1199" s="144"/>
      <c r="T1199" s="144"/>
      <c r="U1199" s="144"/>
      <c r="V1199" s="144"/>
      <c r="W1199" s="144"/>
      <c r="X1199" s="144"/>
      <c r="Y1199" s="144"/>
      <c r="Z1199" s="144"/>
      <c r="AA1199" s="144"/>
      <c r="AB1199" s="144"/>
      <c r="AC1199" s="144"/>
      <c r="AD1199" s="144"/>
      <c r="AE1199" s="144"/>
    </row>
    <row r="1200" spans="8:31" x14ac:dyDescent="0.25">
      <c r="H1200" s="144"/>
      <c r="I1200" s="144"/>
      <c r="J1200" s="144"/>
      <c r="K1200" s="144"/>
      <c r="L1200" s="144"/>
      <c r="M1200" s="144"/>
      <c r="N1200" s="144"/>
      <c r="O1200" s="144"/>
      <c r="P1200" s="144"/>
      <c r="Q1200" s="144"/>
      <c r="R1200" s="144"/>
      <c r="S1200" s="144"/>
      <c r="T1200" s="144"/>
      <c r="U1200" s="144"/>
      <c r="V1200" s="144"/>
      <c r="W1200" s="144"/>
      <c r="X1200" s="144"/>
      <c r="Y1200" s="144"/>
      <c r="Z1200" s="144"/>
      <c r="AA1200" s="144"/>
      <c r="AB1200" s="144"/>
      <c r="AC1200" s="144"/>
      <c r="AD1200" s="144"/>
      <c r="AE1200" s="144"/>
    </row>
    <row r="1201" spans="8:31" x14ac:dyDescent="0.25">
      <c r="H1201" s="144"/>
      <c r="I1201" s="144"/>
      <c r="J1201" s="144"/>
      <c r="K1201" s="144"/>
      <c r="L1201" s="144"/>
      <c r="M1201" s="144"/>
      <c r="N1201" s="144"/>
      <c r="O1201" s="144"/>
      <c r="P1201" s="144"/>
      <c r="Q1201" s="144"/>
      <c r="R1201" s="144"/>
      <c r="S1201" s="144"/>
      <c r="T1201" s="144"/>
      <c r="U1201" s="144"/>
      <c r="V1201" s="144"/>
      <c r="W1201" s="144"/>
      <c r="X1201" s="144"/>
      <c r="Y1201" s="144"/>
      <c r="Z1201" s="144"/>
      <c r="AA1201" s="144"/>
      <c r="AB1201" s="144"/>
      <c r="AC1201" s="144"/>
      <c r="AD1201" s="144"/>
      <c r="AE1201" s="144"/>
    </row>
    <row r="1202" spans="8:31" x14ac:dyDescent="0.25">
      <c r="H1202" s="144"/>
      <c r="I1202" s="144"/>
      <c r="J1202" s="144"/>
      <c r="K1202" s="144"/>
      <c r="L1202" s="144"/>
      <c r="M1202" s="144"/>
      <c r="N1202" s="144"/>
      <c r="O1202" s="144"/>
      <c r="P1202" s="144"/>
      <c r="Q1202" s="144"/>
      <c r="R1202" s="144"/>
      <c r="S1202" s="144"/>
      <c r="T1202" s="144"/>
      <c r="U1202" s="144"/>
      <c r="V1202" s="144"/>
      <c r="W1202" s="144"/>
      <c r="X1202" s="144"/>
      <c r="Y1202" s="144"/>
      <c r="Z1202" s="144"/>
      <c r="AA1202" s="144"/>
      <c r="AB1202" s="144"/>
      <c r="AC1202" s="144"/>
      <c r="AD1202" s="144"/>
      <c r="AE1202" s="144"/>
    </row>
    <row r="1203" spans="8:31" x14ac:dyDescent="0.25">
      <c r="H1203" s="144"/>
      <c r="I1203" s="144"/>
      <c r="J1203" s="144"/>
      <c r="K1203" s="144"/>
      <c r="L1203" s="144"/>
      <c r="M1203" s="144"/>
      <c r="N1203" s="144"/>
      <c r="O1203" s="144"/>
      <c r="P1203" s="144"/>
      <c r="Q1203" s="144"/>
      <c r="R1203" s="144"/>
      <c r="S1203" s="144"/>
      <c r="T1203" s="144"/>
      <c r="U1203" s="144"/>
      <c r="V1203" s="144"/>
      <c r="W1203" s="144"/>
      <c r="X1203" s="144"/>
      <c r="Y1203" s="144"/>
      <c r="Z1203" s="144"/>
      <c r="AA1203" s="144"/>
      <c r="AB1203" s="144"/>
      <c r="AC1203" s="144"/>
      <c r="AD1203" s="144"/>
      <c r="AE1203" s="144"/>
    </row>
    <row r="1204" spans="8:31" x14ac:dyDescent="0.25">
      <c r="H1204" s="144"/>
      <c r="I1204" s="144"/>
      <c r="J1204" s="144"/>
      <c r="K1204" s="144"/>
      <c r="L1204" s="144"/>
      <c r="M1204" s="144"/>
      <c r="N1204" s="144"/>
      <c r="O1204" s="144"/>
      <c r="P1204" s="144"/>
      <c r="Q1204" s="144"/>
      <c r="R1204" s="144"/>
      <c r="S1204" s="144"/>
      <c r="T1204" s="144"/>
      <c r="U1204" s="144"/>
      <c r="V1204" s="144"/>
      <c r="W1204" s="144"/>
      <c r="X1204" s="144"/>
      <c r="Y1204" s="144"/>
      <c r="Z1204" s="144"/>
      <c r="AA1204" s="144"/>
      <c r="AB1204" s="144"/>
      <c r="AC1204" s="144"/>
      <c r="AD1204" s="144"/>
      <c r="AE1204" s="144"/>
    </row>
    <row r="1205" spans="8:31" x14ac:dyDescent="0.25">
      <c r="H1205" s="144"/>
      <c r="I1205" s="144"/>
      <c r="J1205" s="144"/>
      <c r="K1205" s="144"/>
      <c r="L1205" s="144"/>
      <c r="M1205" s="144"/>
      <c r="N1205" s="144"/>
      <c r="O1205" s="144"/>
      <c r="P1205" s="144"/>
      <c r="Q1205" s="144"/>
      <c r="R1205" s="144"/>
      <c r="S1205" s="144"/>
      <c r="T1205" s="144"/>
      <c r="U1205" s="144"/>
      <c r="V1205" s="144"/>
      <c r="W1205" s="144"/>
      <c r="X1205" s="144"/>
      <c r="Y1205" s="144"/>
      <c r="Z1205" s="144"/>
      <c r="AA1205" s="144"/>
      <c r="AB1205" s="144"/>
      <c r="AC1205" s="144"/>
      <c r="AD1205" s="144"/>
      <c r="AE1205" s="144"/>
    </row>
    <row r="1206" spans="8:31" x14ac:dyDescent="0.25">
      <c r="H1206" s="144"/>
      <c r="I1206" s="144"/>
      <c r="J1206" s="144"/>
      <c r="K1206" s="144"/>
      <c r="L1206" s="144"/>
      <c r="M1206" s="144"/>
      <c r="N1206" s="144"/>
      <c r="O1206" s="144"/>
      <c r="P1206" s="144"/>
      <c r="Q1206" s="144"/>
      <c r="R1206" s="144"/>
      <c r="S1206" s="144"/>
      <c r="T1206" s="144"/>
      <c r="U1206" s="144"/>
      <c r="V1206" s="144"/>
      <c r="W1206" s="144"/>
      <c r="X1206" s="144"/>
      <c r="Y1206" s="144"/>
      <c r="Z1206" s="144"/>
      <c r="AA1206" s="144"/>
      <c r="AB1206" s="144"/>
      <c r="AC1206" s="144"/>
      <c r="AD1206" s="144"/>
      <c r="AE1206" s="144"/>
    </row>
    <row r="1207" spans="8:31" x14ac:dyDescent="0.25">
      <c r="H1207" s="144"/>
      <c r="I1207" s="144"/>
      <c r="J1207" s="144"/>
      <c r="K1207" s="144"/>
      <c r="L1207" s="144"/>
      <c r="M1207" s="144"/>
      <c r="N1207" s="144"/>
      <c r="O1207" s="144"/>
      <c r="P1207" s="144"/>
      <c r="Q1207" s="144"/>
      <c r="R1207" s="144"/>
      <c r="S1207" s="144"/>
      <c r="T1207" s="144"/>
      <c r="U1207" s="144"/>
      <c r="V1207" s="144"/>
      <c r="W1207" s="144"/>
      <c r="X1207" s="144"/>
      <c r="Y1207" s="144"/>
      <c r="Z1207" s="144"/>
      <c r="AA1207" s="144"/>
      <c r="AB1207" s="144"/>
      <c r="AC1207" s="144"/>
      <c r="AD1207" s="144"/>
      <c r="AE1207" s="144"/>
    </row>
    <row r="1208" spans="8:31" x14ac:dyDescent="0.25">
      <c r="H1208" s="144"/>
      <c r="I1208" s="144"/>
      <c r="J1208" s="144"/>
      <c r="K1208" s="144"/>
      <c r="L1208" s="144"/>
      <c r="M1208" s="144"/>
      <c r="N1208" s="144"/>
      <c r="O1208" s="144"/>
      <c r="P1208" s="144"/>
      <c r="Q1208" s="144"/>
      <c r="R1208" s="144"/>
      <c r="S1208" s="144"/>
      <c r="T1208" s="144"/>
      <c r="U1208" s="144"/>
      <c r="V1208" s="144"/>
      <c r="W1208" s="144"/>
      <c r="X1208" s="144"/>
      <c r="Y1208" s="144"/>
      <c r="Z1208" s="144"/>
      <c r="AA1208" s="144"/>
      <c r="AB1208" s="144"/>
      <c r="AC1208" s="144"/>
      <c r="AD1208" s="144"/>
      <c r="AE1208" s="144"/>
    </row>
    <row r="1209" spans="8:31" x14ac:dyDescent="0.25">
      <c r="H1209" s="144"/>
      <c r="I1209" s="144"/>
      <c r="J1209" s="144"/>
      <c r="K1209" s="144"/>
      <c r="L1209" s="144"/>
      <c r="M1209" s="144"/>
      <c r="N1209" s="144"/>
      <c r="O1209" s="144"/>
      <c r="P1209" s="144"/>
      <c r="Q1209" s="144"/>
      <c r="R1209" s="144"/>
      <c r="S1209" s="144"/>
      <c r="T1209" s="144"/>
      <c r="U1209" s="144"/>
      <c r="V1209" s="144"/>
      <c r="W1209" s="144"/>
      <c r="X1209" s="144"/>
      <c r="Y1209" s="144"/>
      <c r="Z1209" s="144"/>
      <c r="AA1209" s="144"/>
      <c r="AB1209" s="144"/>
      <c r="AC1209" s="144"/>
      <c r="AD1209" s="144"/>
      <c r="AE1209" s="144"/>
    </row>
    <row r="1210" spans="8:31" x14ac:dyDescent="0.25">
      <c r="H1210" s="144"/>
      <c r="I1210" s="144"/>
      <c r="J1210" s="144"/>
      <c r="K1210" s="144"/>
      <c r="L1210" s="144"/>
      <c r="M1210" s="144"/>
      <c r="N1210" s="144"/>
      <c r="O1210" s="144"/>
      <c r="P1210" s="144"/>
      <c r="Q1210" s="144"/>
      <c r="R1210" s="144"/>
      <c r="S1210" s="144"/>
      <c r="T1210" s="144"/>
      <c r="U1210" s="144"/>
      <c r="V1210" s="144"/>
      <c r="W1210" s="144"/>
      <c r="X1210" s="144"/>
      <c r="Y1210" s="144"/>
      <c r="Z1210" s="144"/>
      <c r="AA1210" s="144"/>
      <c r="AB1210" s="144"/>
      <c r="AC1210" s="144"/>
      <c r="AD1210" s="144"/>
      <c r="AE1210" s="144"/>
    </row>
    <row r="1211" spans="8:31" x14ac:dyDescent="0.25">
      <c r="H1211" s="144"/>
      <c r="I1211" s="144"/>
      <c r="J1211" s="144"/>
      <c r="K1211" s="144"/>
      <c r="L1211" s="144"/>
      <c r="M1211" s="144"/>
      <c r="N1211" s="144"/>
      <c r="O1211" s="144"/>
      <c r="P1211" s="144"/>
      <c r="Q1211" s="144"/>
      <c r="R1211" s="144"/>
      <c r="S1211" s="144"/>
      <c r="T1211" s="144"/>
      <c r="U1211" s="144"/>
      <c r="V1211" s="144"/>
      <c r="W1211" s="144"/>
      <c r="X1211" s="144"/>
      <c r="Y1211" s="144"/>
      <c r="Z1211" s="144"/>
      <c r="AA1211" s="144"/>
      <c r="AB1211" s="144"/>
      <c r="AC1211" s="144"/>
      <c r="AD1211" s="144"/>
      <c r="AE1211" s="144"/>
    </row>
    <row r="1212" spans="8:31" x14ac:dyDescent="0.25">
      <c r="H1212" s="144"/>
      <c r="I1212" s="144"/>
      <c r="J1212" s="144"/>
      <c r="K1212" s="144"/>
      <c r="L1212" s="144"/>
      <c r="M1212" s="144"/>
      <c r="N1212" s="144"/>
      <c r="O1212" s="144"/>
      <c r="P1212" s="144"/>
      <c r="Q1212" s="144"/>
      <c r="R1212" s="144"/>
      <c r="S1212" s="144"/>
      <c r="T1212" s="144"/>
      <c r="U1212" s="144"/>
      <c r="V1212" s="144"/>
      <c r="W1212" s="144"/>
      <c r="X1212" s="144"/>
      <c r="Y1212" s="144"/>
      <c r="Z1212" s="144"/>
      <c r="AA1212" s="144"/>
      <c r="AB1212" s="144"/>
      <c r="AC1212" s="144"/>
      <c r="AD1212" s="144"/>
      <c r="AE1212" s="144"/>
    </row>
    <row r="1213" spans="8:31" x14ac:dyDescent="0.25">
      <c r="H1213" s="144"/>
      <c r="I1213" s="144"/>
      <c r="J1213" s="144"/>
      <c r="K1213" s="144"/>
      <c r="L1213" s="144"/>
      <c r="M1213" s="144"/>
      <c r="N1213" s="144"/>
      <c r="O1213" s="144"/>
      <c r="P1213" s="144"/>
      <c r="Q1213" s="144"/>
      <c r="R1213" s="144"/>
      <c r="S1213" s="144"/>
      <c r="T1213" s="144"/>
      <c r="U1213" s="144"/>
      <c r="V1213" s="144"/>
      <c r="W1213" s="144"/>
      <c r="X1213" s="144"/>
      <c r="Y1213" s="144"/>
      <c r="Z1213" s="144"/>
      <c r="AA1213" s="144"/>
      <c r="AB1213" s="144"/>
      <c r="AC1213" s="144"/>
      <c r="AD1213" s="144"/>
      <c r="AE1213" s="144"/>
    </row>
    <row r="1214" spans="8:31" x14ac:dyDescent="0.25">
      <c r="H1214" s="144"/>
      <c r="I1214" s="144"/>
      <c r="J1214" s="144"/>
      <c r="K1214" s="144"/>
      <c r="L1214" s="144"/>
      <c r="M1214" s="144"/>
      <c r="N1214" s="144"/>
      <c r="O1214" s="144"/>
      <c r="P1214" s="144"/>
      <c r="Q1214" s="144"/>
      <c r="R1214" s="144"/>
      <c r="S1214" s="144"/>
      <c r="T1214" s="144"/>
      <c r="U1214" s="144"/>
      <c r="V1214" s="144"/>
      <c r="W1214" s="144"/>
      <c r="X1214" s="144"/>
      <c r="Y1214" s="144"/>
      <c r="Z1214" s="144"/>
      <c r="AA1214" s="144"/>
      <c r="AB1214" s="144"/>
      <c r="AC1214" s="144"/>
      <c r="AD1214" s="144"/>
      <c r="AE1214" s="144"/>
    </row>
    <row r="1215" spans="8:31" x14ac:dyDescent="0.25">
      <c r="H1215" s="144"/>
      <c r="I1215" s="144"/>
      <c r="J1215" s="144"/>
      <c r="K1215" s="144"/>
      <c r="L1215" s="144"/>
      <c r="M1215" s="144"/>
      <c r="N1215" s="144"/>
      <c r="O1215" s="144"/>
      <c r="P1215" s="144"/>
      <c r="Q1215" s="144"/>
      <c r="R1215" s="144"/>
      <c r="S1215" s="144"/>
      <c r="T1215" s="144"/>
      <c r="U1215" s="144"/>
      <c r="V1215" s="144"/>
      <c r="W1215" s="144"/>
      <c r="X1215" s="144"/>
      <c r="Y1215" s="144"/>
      <c r="Z1215" s="144"/>
      <c r="AA1215" s="144"/>
      <c r="AB1215" s="144"/>
      <c r="AC1215" s="144"/>
      <c r="AD1215" s="144"/>
      <c r="AE1215" s="144"/>
    </row>
    <row r="1216" spans="8:31" x14ac:dyDescent="0.25">
      <c r="H1216" s="144"/>
      <c r="I1216" s="144"/>
      <c r="J1216" s="144"/>
      <c r="K1216" s="144"/>
      <c r="L1216" s="144"/>
      <c r="M1216" s="144"/>
      <c r="N1216" s="144"/>
      <c r="O1216" s="144"/>
      <c r="P1216" s="144"/>
      <c r="Q1216" s="144"/>
      <c r="R1216" s="144"/>
      <c r="S1216" s="144"/>
      <c r="T1216" s="144"/>
      <c r="U1216" s="144"/>
      <c r="V1216" s="144"/>
      <c r="W1216" s="144"/>
      <c r="X1216" s="144"/>
      <c r="Y1216" s="144"/>
      <c r="Z1216" s="144"/>
      <c r="AA1216" s="144"/>
      <c r="AB1216" s="144"/>
      <c r="AC1216" s="144"/>
      <c r="AD1216" s="144"/>
      <c r="AE1216" s="144"/>
    </row>
    <row r="1217" spans="8:31" x14ac:dyDescent="0.25">
      <c r="H1217" s="144"/>
      <c r="I1217" s="144"/>
      <c r="J1217" s="144"/>
      <c r="K1217" s="144"/>
      <c r="L1217" s="144"/>
      <c r="M1217" s="144"/>
      <c r="N1217" s="144"/>
      <c r="O1217" s="144"/>
      <c r="P1217" s="144"/>
      <c r="Q1217" s="144"/>
      <c r="R1217" s="144"/>
      <c r="S1217" s="144"/>
      <c r="T1217" s="144"/>
      <c r="U1217" s="144"/>
      <c r="V1217" s="144"/>
      <c r="W1217" s="144"/>
      <c r="X1217" s="144"/>
      <c r="Y1217" s="144"/>
      <c r="Z1217" s="144"/>
      <c r="AA1217" s="144"/>
      <c r="AB1217" s="144"/>
      <c r="AC1217" s="144"/>
      <c r="AD1217" s="144"/>
      <c r="AE1217" s="144"/>
    </row>
    <row r="1218" spans="8:31" x14ac:dyDescent="0.25">
      <c r="H1218" s="144"/>
      <c r="I1218" s="144"/>
      <c r="J1218" s="144"/>
      <c r="K1218" s="144"/>
      <c r="L1218" s="144"/>
      <c r="M1218" s="144"/>
      <c r="N1218" s="144"/>
      <c r="O1218" s="144"/>
      <c r="P1218" s="144"/>
      <c r="Q1218" s="144"/>
      <c r="R1218" s="144"/>
      <c r="S1218" s="144"/>
      <c r="T1218" s="144"/>
      <c r="U1218" s="144"/>
      <c r="V1218" s="144"/>
      <c r="W1218" s="144"/>
      <c r="X1218" s="144"/>
      <c r="Y1218" s="144"/>
      <c r="Z1218" s="144"/>
      <c r="AA1218" s="144"/>
      <c r="AB1218" s="144"/>
      <c r="AC1218" s="144"/>
      <c r="AD1218" s="144"/>
      <c r="AE1218" s="144"/>
    </row>
    <row r="1219" spans="8:31" x14ac:dyDescent="0.25">
      <c r="H1219" s="144"/>
      <c r="I1219" s="144"/>
      <c r="J1219" s="144"/>
      <c r="K1219" s="144"/>
      <c r="L1219" s="144"/>
      <c r="M1219" s="144"/>
      <c r="N1219" s="144"/>
      <c r="O1219" s="144"/>
      <c r="P1219" s="144"/>
      <c r="Q1219" s="144"/>
      <c r="R1219" s="144"/>
      <c r="S1219" s="144"/>
      <c r="T1219" s="144"/>
      <c r="U1219" s="144"/>
      <c r="V1219" s="144"/>
      <c r="W1219" s="144"/>
      <c r="X1219" s="144"/>
      <c r="Y1219" s="144"/>
      <c r="Z1219" s="144"/>
      <c r="AA1219" s="144"/>
      <c r="AB1219" s="144"/>
      <c r="AC1219" s="144"/>
      <c r="AD1219" s="144"/>
      <c r="AE1219" s="144"/>
    </row>
    <row r="1220" spans="8:31" x14ac:dyDescent="0.25">
      <c r="H1220" s="144"/>
      <c r="I1220" s="144"/>
      <c r="J1220" s="144"/>
      <c r="K1220" s="144"/>
      <c r="L1220" s="144"/>
      <c r="M1220" s="144"/>
      <c r="N1220" s="144"/>
      <c r="O1220" s="144"/>
      <c r="P1220" s="144"/>
      <c r="Q1220" s="144"/>
      <c r="R1220" s="144"/>
      <c r="S1220" s="144"/>
      <c r="T1220" s="144"/>
      <c r="U1220" s="144"/>
      <c r="V1220" s="144"/>
      <c r="W1220" s="144"/>
      <c r="X1220" s="144"/>
      <c r="Y1220" s="144"/>
      <c r="Z1220" s="144"/>
      <c r="AA1220" s="144"/>
      <c r="AB1220" s="144"/>
      <c r="AC1220" s="144"/>
      <c r="AD1220" s="144"/>
      <c r="AE1220" s="144"/>
    </row>
    <row r="1221" spans="8:31" x14ac:dyDescent="0.25">
      <c r="H1221" s="144"/>
      <c r="I1221" s="144"/>
      <c r="J1221" s="144"/>
      <c r="K1221" s="144"/>
      <c r="L1221" s="144"/>
      <c r="M1221" s="144"/>
      <c r="N1221" s="144"/>
      <c r="O1221" s="144"/>
      <c r="P1221" s="144"/>
      <c r="Q1221" s="144"/>
      <c r="R1221" s="144"/>
      <c r="S1221" s="144"/>
      <c r="T1221" s="144"/>
      <c r="U1221" s="144"/>
      <c r="V1221" s="144"/>
      <c r="W1221" s="144"/>
      <c r="X1221" s="144"/>
      <c r="Y1221" s="144"/>
      <c r="Z1221" s="144"/>
      <c r="AA1221" s="144"/>
      <c r="AB1221" s="144"/>
      <c r="AC1221" s="144"/>
      <c r="AD1221" s="144"/>
      <c r="AE1221" s="144"/>
    </row>
    <row r="1222" spans="8:31" x14ac:dyDescent="0.25">
      <c r="H1222" s="144"/>
      <c r="I1222" s="144"/>
      <c r="J1222" s="144"/>
      <c r="K1222" s="144"/>
      <c r="L1222" s="144"/>
      <c r="M1222" s="144"/>
      <c r="N1222" s="144"/>
      <c r="O1222" s="144"/>
      <c r="P1222" s="144"/>
      <c r="Q1222" s="144"/>
      <c r="R1222" s="144"/>
      <c r="S1222" s="144"/>
      <c r="T1222" s="144"/>
      <c r="U1222" s="144"/>
      <c r="V1222" s="144"/>
      <c r="W1222" s="144"/>
      <c r="X1222" s="144"/>
      <c r="Y1222" s="144"/>
      <c r="Z1222" s="144"/>
      <c r="AA1222" s="144"/>
      <c r="AB1222" s="144"/>
      <c r="AC1222" s="144"/>
      <c r="AD1222" s="144"/>
      <c r="AE1222" s="144"/>
    </row>
    <row r="1223" spans="8:31" x14ac:dyDescent="0.25">
      <c r="H1223" s="144"/>
      <c r="I1223" s="144"/>
      <c r="J1223" s="144"/>
      <c r="K1223" s="144"/>
      <c r="L1223" s="144"/>
      <c r="M1223" s="144"/>
      <c r="N1223" s="144"/>
      <c r="O1223" s="144"/>
      <c r="P1223" s="144"/>
      <c r="Q1223" s="144"/>
      <c r="R1223" s="144"/>
      <c r="S1223" s="144"/>
      <c r="T1223" s="144"/>
      <c r="U1223" s="144"/>
      <c r="V1223" s="144"/>
      <c r="W1223" s="144"/>
      <c r="X1223" s="144"/>
      <c r="Y1223" s="144"/>
      <c r="Z1223" s="144"/>
      <c r="AA1223" s="144"/>
      <c r="AB1223" s="144"/>
      <c r="AC1223" s="144"/>
      <c r="AD1223" s="144"/>
      <c r="AE1223" s="144"/>
    </row>
    <row r="1224" spans="8:31" x14ac:dyDescent="0.25">
      <c r="H1224" s="144"/>
      <c r="I1224" s="144"/>
      <c r="J1224" s="144"/>
      <c r="K1224" s="144"/>
      <c r="L1224" s="144"/>
      <c r="M1224" s="144"/>
      <c r="N1224" s="144"/>
      <c r="O1224" s="144"/>
      <c r="P1224" s="144"/>
      <c r="Q1224" s="144"/>
      <c r="R1224" s="144"/>
      <c r="S1224" s="144"/>
      <c r="T1224" s="144"/>
      <c r="U1224" s="144"/>
      <c r="V1224" s="144"/>
      <c r="W1224" s="144"/>
      <c r="X1224" s="144"/>
      <c r="Y1224" s="144"/>
      <c r="Z1224" s="144"/>
      <c r="AA1224" s="144"/>
      <c r="AB1224" s="144"/>
      <c r="AC1224" s="144"/>
      <c r="AD1224" s="144"/>
      <c r="AE1224" s="144"/>
    </row>
    <row r="1225" spans="8:31" x14ac:dyDescent="0.25">
      <c r="H1225" s="144"/>
      <c r="I1225" s="144"/>
      <c r="J1225" s="144"/>
      <c r="K1225" s="144"/>
      <c r="L1225" s="144"/>
      <c r="M1225" s="144"/>
      <c r="N1225" s="144"/>
      <c r="O1225" s="144"/>
      <c r="P1225" s="144"/>
      <c r="Q1225" s="144"/>
      <c r="R1225" s="144"/>
      <c r="S1225" s="144"/>
      <c r="T1225" s="144"/>
      <c r="U1225" s="144"/>
      <c r="V1225" s="144"/>
      <c r="W1225" s="144"/>
      <c r="X1225" s="144"/>
      <c r="Y1225" s="144"/>
      <c r="Z1225" s="144"/>
      <c r="AA1225" s="144"/>
      <c r="AB1225" s="144"/>
      <c r="AC1225" s="144"/>
      <c r="AD1225" s="144"/>
      <c r="AE1225" s="144"/>
    </row>
    <row r="1226" spans="8:31" x14ac:dyDescent="0.25">
      <c r="H1226" s="144"/>
      <c r="I1226" s="144"/>
      <c r="J1226" s="144"/>
      <c r="K1226" s="144"/>
      <c r="L1226" s="144"/>
      <c r="M1226" s="144"/>
      <c r="N1226" s="144"/>
      <c r="O1226" s="144"/>
      <c r="P1226" s="144"/>
      <c r="Q1226" s="144"/>
      <c r="R1226" s="144"/>
      <c r="S1226" s="144"/>
      <c r="T1226" s="144"/>
      <c r="U1226" s="144"/>
      <c r="V1226" s="144"/>
      <c r="W1226" s="144"/>
      <c r="X1226" s="144"/>
      <c r="Y1226" s="144"/>
      <c r="Z1226" s="144"/>
      <c r="AA1226" s="144"/>
      <c r="AB1226" s="144"/>
      <c r="AC1226" s="144"/>
      <c r="AD1226" s="144"/>
      <c r="AE1226" s="144"/>
    </row>
    <row r="1227" spans="8:31" x14ac:dyDescent="0.25">
      <c r="H1227" s="144"/>
      <c r="I1227" s="144"/>
      <c r="J1227" s="144"/>
      <c r="K1227" s="144"/>
      <c r="L1227" s="144"/>
      <c r="M1227" s="144"/>
      <c r="N1227" s="144"/>
      <c r="O1227" s="144"/>
      <c r="P1227" s="144"/>
      <c r="Q1227" s="144"/>
      <c r="R1227" s="144"/>
      <c r="S1227" s="144"/>
      <c r="T1227" s="144"/>
      <c r="U1227" s="144"/>
      <c r="V1227" s="144"/>
      <c r="W1227" s="144"/>
      <c r="X1227" s="144"/>
      <c r="Y1227" s="144"/>
      <c r="Z1227" s="144"/>
      <c r="AA1227" s="144"/>
      <c r="AB1227" s="144"/>
      <c r="AC1227" s="144"/>
      <c r="AD1227" s="144"/>
      <c r="AE1227" s="144"/>
    </row>
    <row r="1228" spans="8:31" x14ac:dyDescent="0.25">
      <c r="H1228" s="144"/>
      <c r="I1228" s="144"/>
      <c r="J1228" s="144"/>
      <c r="K1228" s="144"/>
      <c r="L1228" s="144"/>
      <c r="M1228" s="144"/>
      <c r="N1228" s="144"/>
      <c r="O1228" s="144"/>
      <c r="P1228" s="144"/>
      <c r="Q1228" s="144"/>
      <c r="R1228" s="144"/>
      <c r="S1228" s="144"/>
      <c r="T1228" s="144"/>
      <c r="U1228" s="144"/>
      <c r="V1228" s="144"/>
      <c r="W1228" s="144"/>
      <c r="X1228" s="144"/>
      <c r="Y1228" s="144"/>
      <c r="Z1228" s="144"/>
      <c r="AA1228" s="144"/>
      <c r="AB1228" s="144"/>
      <c r="AC1228" s="144"/>
      <c r="AD1228" s="144"/>
      <c r="AE1228" s="144"/>
    </row>
    <row r="1229" spans="8:31" x14ac:dyDescent="0.25">
      <c r="H1229" s="144"/>
      <c r="I1229" s="144"/>
      <c r="J1229" s="144"/>
      <c r="K1229" s="144"/>
      <c r="L1229" s="144"/>
      <c r="M1229" s="144"/>
      <c r="N1229" s="144"/>
      <c r="O1229" s="144"/>
      <c r="P1229" s="144"/>
      <c r="Q1229" s="144"/>
      <c r="R1229" s="144"/>
      <c r="S1229" s="144"/>
      <c r="T1229" s="144"/>
      <c r="U1229" s="144"/>
      <c r="V1229" s="144"/>
      <c r="W1229" s="144"/>
      <c r="X1229" s="144"/>
      <c r="Y1229" s="144"/>
      <c r="Z1229" s="144"/>
      <c r="AA1229" s="144"/>
      <c r="AB1229" s="144"/>
      <c r="AC1229" s="144"/>
      <c r="AD1229" s="144"/>
      <c r="AE1229" s="144"/>
    </row>
    <row r="1230" spans="8:31" x14ac:dyDescent="0.25">
      <c r="H1230" s="144"/>
      <c r="I1230" s="144"/>
      <c r="J1230" s="144"/>
      <c r="K1230" s="144"/>
      <c r="L1230" s="144"/>
      <c r="M1230" s="144"/>
      <c r="N1230" s="144"/>
      <c r="O1230" s="144"/>
      <c r="P1230" s="144"/>
      <c r="Q1230" s="144"/>
      <c r="R1230" s="144"/>
      <c r="S1230" s="144"/>
      <c r="T1230" s="144"/>
      <c r="U1230" s="144"/>
      <c r="V1230" s="144"/>
      <c r="W1230" s="144"/>
      <c r="X1230" s="144"/>
      <c r="Y1230" s="144"/>
      <c r="Z1230" s="144"/>
      <c r="AA1230" s="144"/>
      <c r="AB1230" s="144"/>
      <c r="AC1230" s="144"/>
      <c r="AD1230" s="144"/>
      <c r="AE1230" s="144"/>
    </row>
    <row r="1231" spans="8:31" x14ac:dyDescent="0.25">
      <c r="H1231" s="144"/>
      <c r="I1231" s="144"/>
      <c r="J1231" s="144"/>
      <c r="K1231" s="144"/>
      <c r="L1231" s="144"/>
      <c r="M1231" s="144"/>
      <c r="N1231" s="144"/>
      <c r="O1231" s="144"/>
      <c r="P1231" s="144"/>
      <c r="Q1231" s="144"/>
      <c r="R1231" s="144"/>
      <c r="S1231" s="144"/>
      <c r="T1231" s="144"/>
      <c r="U1231" s="144"/>
      <c r="V1231" s="144"/>
      <c r="W1231" s="144"/>
      <c r="X1231" s="144"/>
      <c r="Y1231" s="144"/>
      <c r="Z1231" s="144"/>
      <c r="AA1231" s="144"/>
      <c r="AB1231" s="144"/>
      <c r="AC1231" s="144"/>
      <c r="AD1231" s="144"/>
      <c r="AE1231" s="144"/>
    </row>
    <row r="1232" spans="8:31" x14ac:dyDescent="0.25">
      <c r="H1232" s="144"/>
      <c r="I1232" s="144"/>
      <c r="J1232" s="144"/>
      <c r="K1232" s="144"/>
      <c r="L1232" s="144"/>
      <c r="M1232" s="144"/>
      <c r="N1232" s="144"/>
      <c r="O1232" s="144"/>
      <c r="P1232" s="144"/>
      <c r="Q1232" s="144"/>
      <c r="R1232" s="144"/>
      <c r="S1232" s="144"/>
      <c r="T1232" s="144"/>
      <c r="U1232" s="144"/>
      <c r="V1232" s="144"/>
      <c r="W1232" s="144"/>
      <c r="X1232" s="144"/>
      <c r="Y1232" s="144"/>
      <c r="Z1232" s="144"/>
      <c r="AA1232" s="144"/>
      <c r="AB1232" s="144"/>
      <c r="AC1232" s="144"/>
      <c r="AD1232" s="144"/>
      <c r="AE1232" s="144"/>
    </row>
    <row r="1233" spans="8:31" x14ac:dyDescent="0.25">
      <c r="H1233" s="144"/>
      <c r="I1233" s="144"/>
      <c r="J1233" s="144"/>
      <c r="K1233" s="144"/>
      <c r="L1233" s="144"/>
      <c r="M1233" s="144"/>
      <c r="N1233" s="144"/>
      <c r="O1233" s="144"/>
      <c r="P1233" s="144"/>
      <c r="Q1233" s="144"/>
      <c r="R1233" s="144"/>
      <c r="S1233" s="144"/>
      <c r="T1233" s="144"/>
      <c r="U1233" s="144"/>
      <c r="V1233" s="144"/>
      <c r="W1233" s="144"/>
      <c r="X1233" s="144"/>
      <c r="Y1233" s="144"/>
      <c r="Z1233" s="144"/>
      <c r="AA1233" s="144"/>
      <c r="AB1233" s="144"/>
      <c r="AC1233" s="144"/>
      <c r="AD1233" s="144"/>
      <c r="AE1233" s="144"/>
    </row>
    <row r="1234" spans="8:31" x14ac:dyDescent="0.25">
      <c r="H1234" s="144"/>
      <c r="I1234" s="144"/>
      <c r="J1234" s="144"/>
      <c r="K1234" s="144"/>
      <c r="L1234" s="144"/>
      <c r="M1234" s="144"/>
      <c r="N1234" s="144"/>
      <c r="O1234" s="144"/>
      <c r="P1234" s="144"/>
      <c r="Q1234" s="144"/>
      <c r="R1234" s="144"/>
      <c r="S1234" s="144"/>
      <c r="T1234" s="144"/>
      <c r="U1234" s="144"/>
      <c r="V1234" s="144"/>
      <c r="W1234" s="144"/>
      <c r="X1234" s="144"/>
      <c r="Y1234" s="144"/>
      <c r="Z1234" s="144"/>
      <c r="AA1234" s="144"/>
      <c r="AB1234" s="144"/>
      <c r="AC1234" s="144"/>
      <c r="AD1234" s="144"/>
      <c r="AE1234" s="144"/>
    </row>
    <row r="1235" spans="8:31" x14ac:dyDescent="0.25">
      <c r="H1235" s="144"/>
      <c r="I1235" s="144"/>
      <c r="J1235" s="144"/>
      <c r="K1235" s="144"/>
      <c r="L1235" s="144"/>
      <c r="M1235" s="144"/>
      <c r="N1235" s="144"/>
      <c r="O1235" s="144"/>
      <c r="P1235" s="144"/>
      <c r="Q1235" s="144"/>
      <c r="R1235" s="144"/>
      <c r="S1235" s="144"/>
      <c r="T1235" s="144"/>
      <c r="U1235" s="144"/>
      <c r="V1235" s="144"/>
      <c r="W1235" s="144"/>
      <c r="X1235" s="144"/>
      <c r="Y1235" s="144"/>
      <c r="Z1235" s="144"/>
      <c r="AA1235" s="144"/>
      <c r="AB1235" s="144"/>
      <c r="AC1235" s="144"/>
      <c r="AD1235" s="144"/>
      <c r="AE1235" s="144"/>
    </row>
    <row r="1236" spans="8:31" x14ac:dyDescent="0.25">
      <c r="H1236" s="144"/>
      <c r="I1236" s="144"/>
      <c r="J1236" s="144"/>
      <c r="K1236" s="144"/>
      <c r="L1236" s="144"/>
      <c r="M1236" s="144"/>
      <c r="N1236" s="144"/>
      <c r="O1236" s="144"/>
      <c r="P1236" s="144"/>
      <c r="Q1236" s="144"/>
      <c r="R1236" s="144"/>
      <c r="S1236" s="144"/>
      <c r="T1236" s="144"/>
      <c r="U1236" s="144"/>
      <c r="V1236" s="144"/>
      <c r="W1236" s="144"/>
      <c r="X1236" s="144"/>
      <c r="Y1236" s="144"/>
      <c r="Z1236" s="144"/>
      <c r="AA1236" s="144"/>
      <c r="AB1236" s="144"/>
      <c r="AC1236" s="144"/>
      <c r="AD1236" s="144"/>
      <c r="AE1236" s="144"/>
    </row>
    <row r="1237" spans="8:31" x14ac:dyDescent="0.25">
      <c r="H1237" s="144"/>
      <c r="I1237" s="144"/>
      <c r="J1237" s="144"/>
      <c r="K1237" s="144"/>
      <c r="L1237" s="144"/>
      <c r="M1237" s="144"/>
      <c r="N1237" s="144"/>
      <c r="O1237" s="144"/>
      <c r="P1237" s="144"/>
      <c r="Q1237" s="144"/>
      <c r="R1237" s="144"/>
      <c r="S1237" s="144"/>
      <c r="T1237" s="144"/>
      <c r="U1237" s="144"/>
      <c r="V1237" s="144"/>
      <c r="W1237" s="144"/>
      <c r="X1237" s="144"/>
      <c r="Y1237" s="144"/>
      <c r="Z1237" s="144"/>
      <c r="AA1237" s="144"/>
      <c r="AB1237" s="144"/>
      <c r="AC1237" s="144"/>
      <c r="AD1237" s="144"/>
      <c r="AE1237" s="144"/>
    </row>
    <row r="1238" spans="8:31" x14ac:dyDescent="0.25">
      <c r="H1238" s="144"/>
      <c r="I1238" s="144"/>
      <c r="J1238" s="144"/>
      <c r="K1238" s="144"/>
      <c r="L1238" s="144"/>
      <c r="M1238" s="144"/>
      <c r="N1238" s="144"/>
      <c r="O1238" s="144"/>
      <c r="P1238" s="144"/>
      <c r="Q1238" s="144"/>
      <c r="R1238" s="144"/>
      <c r="S1238" s="144"/>
      <c r="T1238" s="144"/>
      <c r="U1238" s="144"/>
      <c r="V1238" s="144"/>
      <c r="W1238" s="144"/>
      <c r="X1238" s="144"/>
      <c r="Y1238" s="144"/>
      <c r="Z1238" s="144"/>
      <c r="AA1238" s="144"/>
      <c r="AB1238" s="144"/>
      <c r="AC1238" s="144"/>
      <c r="AD1238" s="144"/>
      <c r="AE1238" s="144"/>
    </row>
    <row r="1239" spans="8:31" x14ac:dyDescent="0.25">
      <c r="H1239" s="144"/>
      <c r="I1239" s="144"/>
      <c r="J1239" s="144"/>
      <c r="K1239" s="144"/>
      <c r="L1239" s="144"/>
      <c r="M1239" s="144"/>
      <c r="N1239" s="144"/>
      <c r="O1239" s="144"/>
      <c r="P1239" s="144"/>
      <c r="Q1239" s="144"/>
      <c r="R1239" s="144"/>
      <c r="S1239" s="144"/>
      <c r="T1239" s="144"/>
      <c r="U1239" s="144"/>
      <c r="V1239" s="144"/>
      <c r="W1239" s="144"/>
      <c r="X1239" s="144"/>
      <c r="Y1239" s="144"/>
      <c r="Z1239" s="144"/>
      <c r="AA1239" s="144"/>
      <c r="AB1239" s="144"/>
      <c r="AC1239" s="144"/>
      <c r="AD1239" s="144"/>
      <c r="AE1239" s="144"/>
    </row>
    <row r="1240" spans="8:31" x14ac:dyDescent="0.25">
      <c r="H1240" s="144"/>
      <c r="I1240" s="144"/>
      <c r="J1240" s="144"/>
      <c r="K1240" s="144"/>
      <c r="L1240" s="144"/>
      <c r="M1240" s="144"/>
      <c r="N1240" s="144"/>
      <c r="O1240" s="144"/>
      <c r="P1240" s="144"/>
      <c r="Q1240" s="144"/>
      <c r="R1240" s="144"/>
      <c r="S1240" s="144"/>
      <c r="T1240" s="144"/>
      <c r="U1240" s="144"/>
      <c r="V1240" s="144"/>
      <c r="W1240" s="144"/>
      <c r="X1240" s="144"/>
      <c r="Y1240" s="144"/>
      <c r="Z1240" s="144"/>
      <c r="AA1240" s="144"/>
      <c r="AB1240" s="144"/>
      <c r="AC1240" s="144"/>
      <c r="AD1240" s="144"/>
      <c r="AE1240" s="144"/>
    </row>
    <row r="1241" spans="8:31" x14ac:dyDescent="0.25">
      <c r="H1241" s="144"/>
      <c r="I1241" s="144"/>
      <c r="J1241" s="144"/>
      <c r="K1241" s="144"/>
      <c r="L1241" s="144"/>
      <c r="M1241" s="144"/>
      <c r="N1241" s="144"/>
      <c r="O1241" s="144"/>
      <c r="P1241" s="144"/>
      <c r="Q1241" s="144"/>
      <c r="R1241" s="144"/>
      <c r="S1241" s="144"/>
      <c r="T1241" s="144"/>
      <c r="U1241" s="144"/>
      <c r="V1241" s="144"/>
      <c r="W1241" s="144"/>
      <c r="X1241" s="144"/>
      <c r="Y1241" s="144"/>
      <c r="Z1241" s="144"/>
      <c r="AA1241" s="144"/>
      <c r="AB1241" s="144"/>
      <c r="AC1241" s="144"/>
      <c r="AD1241" s="144"/>
      <c r="AE1241" s="144"/>
    </row>
    <row r="1242" spans="8:31" x14ac:dyDescent="0.25">
      <c r="H1242" s="144"/>
      <c r="I1242" s="144"/>
      <c r="J1242" s="144"/>
      <c r="K1242" s="144"/>
      <c r="L1242" s="144"/>
      <c r="M1242" s="144"/>
      <c r="N1242" s="144"/>
      <c r="O1242" s="144"/>
      <c r="P1242" s="144"/>
      <c r="Q1242" s="144"/>
      <c r="R1242" s="144"/>
      <c r="S1242" s="144"/>
      <c r="T1242" s="144"/>
      <c r="U1242" s="144"/>
      <c r="V1242" s="144"/>
      <c r="W1242" s="144"/>
      <c r="X1242" s="144"/>
      <c r="Y1242" s="144"/>
      <c r="Z1242" s="144"/>
      <c r="AA1242" s="144"/>
      <c r="AB1242" s="144"/>
      <c r="AC1242" s="144"/>
      <c r="AD1242" s="144"/>
      <c r="AE1242" s="144"/>
    </row>
    <row r="1243" spans="8:31" x14ac:dyDescent="0.25">
      <c r="H1243" s="144"/>
      <c r="I1243" s="144"/>
      <c r="J1243" s="144"/>
      <c r="K1243" s="144"/>
      <c r="L1243" s="144"/>
      <c r="M1243" s="144"/>
      <c r="N1243" s="144"/>
      <c r="O1243" s="144"/>
      <c r="P1243" s="144"/>
      <c r="Q1243" s="144"/>
      <c r="R1243" s="144"/>
      <c r="S1243" s="144"/>
      <c r="T1243" s="144"/>
      <c r="U1243" s="144"/>
      <c r="V1243" s="144"/>
      <c r="W1243" s="144"/>
      <c r="X1243" s="144"/>
      <c r="Y1243" s="144"/>
      <c r="Z1243" s="144"/>
      <c r="AA1243" s="144"/>
      <c r="AB1243" s="144"/>
      <c r="AC1243" s="144"/>
      <c r="AD1243" s="144"/>
      <c r="AE1243" s="144"/>
    </row>
    <row r="1244" spans="8:31" x14ac:dyDescent="0.25">
      <c r="H1244" s="144"/>
      <c r="I1244" s="144"/>
      <c r="J1244" s="144"/>
      <c r="K1244" s="144"/>
      <c r="L1244" s="144"/>
      <c r="M1244" s="144"/>
      <c r="N1244" s="144"/>
      <c r="O1244" s="144"/>
      <c r="P1244" s="144"/>
      <c r="Q1244" s="144"/>
      <c r="R1244" s="144"/>
      <c r="S1244" s="144"/>
      <c r="T1244" s="144"/>
      <c r="U1244" s="144"/>
      <c r="V1244" s="144"/>
      <c r="W1244" s="144"/>
      <c r="X1244" s="144"/>
      <c r="Y1244" s="144"/>
      <c r="Z1244" s="144"/>
      <c r="AA1244" s="144"/>
      <c r="AB1244" s="144"/>
      <c r="AC1244" s="144"/>
      <c r="AD1244" s="144"/>
      <c r="AE1244" s="144"/>
    </row>
    <row r="1245" spans="8:31" x14ac:dyDescent="0.25">
      <c r="H1245" s="144"/>
      <c r="I1245" s="144"/>
      <c r="J1245" s="144"/>
      <c r="K1245" s="144"/>
      <c r="L1245" s="144"/>
      <c r="M1245" s="144"/>
      <c r="N1245" s="144"/>
      <c r="O1245" s="144"/>
      <c r="P1245" s="144"/>
      <c r="Q1245" s="144"/>
      <c r="R1245" s="144"/>
      <c r="S1245" s="144"/>
      <c r="T1245" s="144"/>
      <c r="U1245" s="144"/>
      <c r="V1245" s="144"/>
      <c r="W1245" s="144"/>
      <c r="X1245" s="144"/>
      <c r="Y1245" s="144"/>
      <c r="Z1245" s="144"/>
      <c r="AA1245" s="144"/>
      <c r="AB1245" s="144"/>
      <c r="AC1245" s="144"/>
      <c r="AD1245" s="144"/>
      <c r="AE1245" s="144"/>
    </row>
    <row r="1246" spans="8:31" x14ac:dyDescent="0.25">
      <c r="H1246" s="144"/>
      <c r="I1246" s="144"/>
      <c r="J1246" s="144"/>
      <c r="K1246" s="144"/>
      <c r="L1246" s="144"/>
      <c r="M1246" s="144"/>
      <c r="N1246" s="144"/>
      <c r="O1246" s="144"/>
      <c r="P1246" s="144"/>
      <c r="Q1246" s="144"/>
      <c r="R1246" s="144"/>
      <c r="S1246" s="144"/>
      <c r="T1246" s="144"/>
      <c r="U1246" s="144"/>
      <c r="V1246" s="144"/>
      <c r="W1246" s="144"/>
      <c r="X1246" s="144"/>
      <c r="Y1246" s="144"/>
      <c r="Z1246" s="144"/>
      <c r="AA1246" s="144"/>
      <c r="AB1246" s="144"/>
      <c r="AC1246" s="144"/>
      <c r="AD1246" s="144"/>
      <c r="AE1246" s="144"/>
    </row>
    <row r="1247" spans="8:31" x14ac:dyDescent="0.25">
      <c r="H1247" s="144"/>
      <c r="I1247" s="144"/>
      <c r="J1247" s="144"/>
      <c r="K1247" s="144"/>
      <c r="L1247" s="144"/>
      <c r="M1247" s="144"/>
      <c r="N1247" s="144"/>
      <c r="O1247" s="144"/>
      <c r="P1247" s="144"/>
      <c r="Q1247" s="144"/>
      <c r="R1247" s="144"/>
      <c r="S1247" s="144"/>
      <c r="T1247" s="144"/>
      <c r="U1247" s="144"/>
      <c r="V1247" s="144"/>
      <c r="W1247" s="144"/>
      <c r="X1247" s="144"/>
      <c r="Y1247" s="144"/>
      <c r="Z1247" s="144"/>
      <c r="AA1247" s="144"/>
      <c r="AB1247" s="144"/>
      <c r="AC1247" s="144"/>
      <c r="AD1247" s="144"/>
      <c r="AE1247" s="144"/>
    </row>
    <row r="1248" spans="8:31" x14ac:dyDescent="0.25">
      <c r="H1248" s="144"/>
      <c r="I1248" s="144"/>
      <c r="J1248" s="144"/>
      <c r="K1248" s="144"/>
      <c r="L1248" s="144"/>
      <c r="M1248" s="144"/>
      <c r="N1248" s="144"/>
      <c r="O1248" s="144"/>
      <c r="P1248" s="144"/>
      <c r="Q1248" s="144"/>
      <c r="R1248" s="144"/>
      <c r="S1248" s="144"/>
      <c r="T1248" s="144"/>
      <c r="U1248" s="144"/>
      <c r="V1248" s="144"/>
      <c r="W1248" s="144"/>
      <c r="X1248" s="144"/>
      <c r="Y1248" s="144"/>
      <c r="Z1248" s="144"/>
      <c r="AA1248" s="144"/>
      <c r="AB1248" s="144"/>
      <c r="AC1248" s="144"/>
      <c r="AD1248" s="144"/>
      <c r="AE1248" s="144"/>
    </row>
    <row r="1249" spans="8:31" x14ac:dyDescent="0.25">
      <c r="H1249" s="144"/>
      <c r="I1249" s="144"/>
      <c r="J1249" s="144"/>
      <c r="K1249" s="144"/>
      <c r="L1249" s="144"/>
      <c r="M1249" s="144"/>
      <c r="N1249" s="144"/>
      <c r="O1249" s="144"/>
      <c r="P1249" s="144"/>
      <c r="Q1249" s="144"/>
      <c r="R1249" s="144"/>
      <c r="S1249" s="144"/>
      <c r="T1249" s="144"/>
      <c r="U1249" s="144"/>
      <c r="V1249" s="144"/>
      <c r="W1249" s="144"/>
      <c r="X1249" s="144"/>
      <c r="Y1249" s="144"/>
      <c r="Z1249" s="144"/>
      <c r="AA1249" s="144"/>
      <c r="AB1249" s="144"/>
      <c r="AC1249" s="144"/>
      <c r="AD1249" s="144"/>
      <c r="AE1249" s="144"/>
    </row>
    <row r="1250" spans="8:31" x14ac:dyDescent="0.25">
      <c r="H1250" s="144"/>
      <c r="I1250" s="144"/>
      <c r="J1250" s="144"/>
      <c r="K1250" s="144"/>
      <c r="L1250" s="144"/>
      <c r="M1250" s="144"/>
      <c r="N1250" s="144"/>
      <c r="O1250" s="144"/>
      <c r="P1250" s="144"/>
      <c r="Q1250" s="144"/>
      <c r="R1250" s="144"/>
      <c r="S1250" s="144"/>
      <c r="T1250" s="144"/>
      <c r="U1250" s="144"/>
      <c r="V1250" s="144"/>
      <c r="W1250" s="144"/>
      <c r="X1250" s="144"/>
      <c r="Y1250" s="144"/>
      <c r="Z1250" s="144"/>
      <c r="AA1250" s="144"/>
      <c r="AB1250" s="144"/>
      <c r="AC1250" s="144"/>
      <c r="AD1250" s="144"/>
      <c r="AE1250" s="144"/>
    </row>
    <row r="1251" spans="8:31" x14ac:dyDescent="0.25">
      <c r="H1251" s="144"/>
      <c r="I1251" s="144"/>
      <c r="J1251" s="144"/>
      <c r="K1251" s="144"/>
      <c r="L1251" s="144"/>
      <c r="M1251" s="144"/>
      <c r="N1251" s="144"/>
      <c r="O1251" s="144"/>
      <c r="P1251" s="144"/>
      <c r="Q1251" s="144"/>
      <c r="R1251" s="144"/>
      <c r="S1251" s="144"/>
      <c r="T1251" s="144"/>
      <c r="U1251" s="144"/>
      <c r="V1251" s="144"/>
      <c r="W1251" s="144"/>
      <c r="X1251" s="144"/>
      <c r="Y1251" s="144"/>
      <c r="Z1251" s="144"/>
      <c r="AA1251" s="144"/>
      <c r="AB1251" s="144"/>
      <c r="AC1251" s="144"/>
      <c r="AD1251" s="144"/>
      <c r="AE1251" s="144"/>
    </row>
    <row r="1252" spans="8:31" x14ac:dyDescent="0.25">
      <c r="H1252" s="144"/>
      <c r="I1252" s="144"/>
      <c r="J1252" s="144"/>
      <c r="K1252" s="144"/>
      <c r="L1252" s="144"/>
      <c r="M1252" s="144"/>
      <c r="N1252" s="144"/>
      <c r="O1252" s="144"/>
      <c r="P1252" s="144"/>
      <c r="Q1252" s="144"/>
      <c r="R1252" s="144"/>
      <c r="S1252" s="144"/>
      <c r="T1252" s="144"/>
      <c r="U1252" s="144"/>
      <c r="V1252" s="144"/>
      <c r="W1252" s="144"/>
      <c r="X1252" s="144"/>
      <c r="Y1252" s="144"/>
      <c r="Z1252" s="144"/>
      <c r="AA1252" s="144"/>
      <c r="AB1252" s="144"/>
      <c r="AC1252" s="144"/>
      <c r="AD1252" s="144"/>
      <c r="AE1252" s="144"/>
    </row>
    <row r="1253" spans="8:31" x14ac:dyDescent="0.25">
      <c r="H1253" s="144"/>
      <c r="I1253" s="144"/>
      <c r="J1253" s="144"/>
      <c r="K1253" s="144"/>
      <c r="L1253" s="144"/>
      <c r="M1253" s="144"/>
      <c r="N1253" s="144"/>
      <c r="O1253" s="144"/>
      <c r="P1253" s="144"/>
      <c r="Q1253" s="144"/>
      <c r="R1253" s="144"/>
      <c r="S1253" s="144"/>
      <c r="T1253" s="144"/>
      <c r="U1253" s="144"/>
      <c r="V1253" s="144"/>
      <c r="W1253" s="144"/>
      <c r="X1253" s="144"/>
      <c r="Y1253" s="144"/>
      <c r="Z1253" s="144"/>
      <c r="AA1253" s="144"/>
      <c r="AB1253" s="144"/>
      <c r="AC1253" s="144"/>
      <c r="AD1253" s="144"/>
      <c r="AE1253" s="144"/>
    </row>
    <row r="1254" spans="8:31" x14ac:dyDescent="0.25">
      <c r="H1254" s="144"/>
      <c r="I1254" s="144"/>
      <c r="J1254" s="144"/>
      <c r="K1254" s="144"/>
      <c r="L1254" s="144"/>
      <c r="M1254" s="144"/>
      <c r="N1254" s="144"/>
      <c r="O1254" s="144"/>
      <c r="P1254" s="144"/>
      <c r="Q1254" s="144"/>
      <c r="R1254" s="144"/>
      <c r="S1254" s="144"/>
      <c r="T1254" s="144"/>
      <c r="U1254" s="144"/>
      <c r="V1254" s="144"/>
      <c r="W1254" s="144"/>
      <c r="X1254" s="144"/>
      <c r="Y1254" s="144"/>
      <c r="Z1254" s="144"/>
      <c r="AA1254" s="144"/>
      <c r="AB1254" s="144"/>
      <c r="AC1254" s="144"/>
      <c r="AD1254" s="144"/>
      <c r="AE1254" s="144"/>
    </row>
    <row r="1255" spans="8:31" x14ac:dyDescent="0.25">
      <c r="H1255" s="144"/>
      <c r="I1255" s="144"/>
      <c r="J1255" s="144"/>
      <c r="K1255" s="144"/>
      <c r="L1255" s="144"/>
      <c r="M1255" s="144"/>
      <c r="N1255" s="144"/>
      <c r="O1255" s="144"/>
      <c r="P1255" s="144"/>
      <c r="Q1255" s="144"/>
      <c r="R1255" s="144"/>
      <c r="S1255" s="144"/>
      <c r="T1255" s="144"/>
      <c r="U1255" s="144"/>
      <c r="V1255" s="144"/>
      <c r="W1255" s="144"/>
      <c r="X1255" s="144"/>
      <c r="Y1255" s="144"/>
      <c r="Z1255" s="144"/>
      <c r="AA1255" s="144"/>
      <c r="AB1255" s="144"/>
      <c r="AC1255" s="144"/>
      <c r="AD1255" s="144"/>
      <c r="AE1255" s="144"/>
    </row>
    <row r="1256" spans="8:31" x14ac:dyDescent="0.25">
      <c r="H1256" s="144"/>
      <c r="I1256" s="144"/>
      <c r="J1256" s="144"/>
      <c r="K1256" s="144"/>
      <c r="L1256" s="144"/>
      <c r="M1256" s="144"/>
      <c r="N1256" s="144"/>
      <c r="O1256" s="144"/>
      <c r="P1256" s="144"/>
      <c r="Q1256" s="144"/>
      <c r="R1256" s="144"/>
      <c r="S1256" s="144"/>
      <c r="T1256" s="144"/>
      <c r="U1256" s="144"/>
      <c r="V1256" s="144"/>
      <c r="W1256" s="144"/>
      <c r="X1256" s="144"/>
      <c r="Y1256" s="144"/>
      <c r="Z1256" s="144"/>
      <c r="AA1256" s="144"/>
      <c r="AB1256" s="144"/>
      <c r="AC1256" s="144"/>
      <c r="AD1256" s="144"/>
      <c r="AE1256" s="144"/>
    </row>
    <row r="1257" spans="8:31" x14ac:dyDescent="0.25">
      <c r="H1257" s="144"/>
      <c r="I1257" s="144"/>
      <c r="J1257" s="144"/>
      <c r="K1257" s="144"/>
      <c r="L1257" s="144"/>
      <c r="M1257" s="144"/>
      <c r="N1257" s="144"/>
      <c r="O1257" s="144"/>
      <c r="P1257" s="144"/>
      <c r="Q1257" s="144"/>
      <c r="R1257" s="144"/>
      <c r="S1257" s="144"/>
      <c r="T1257" s="144"/>
      <c r="U1257" s="144"/>
      <c r="V1257" s="144"/>
      <c r="W1257" s="144"/>
      <c r="X1257" s="144"/>
      <c r="Y1257" s="144"/>
      <c r="Z1257" s="144"/>
      <c r="AA1257" s="144"/>
      <c r="AB1257" s="144"/>
      <c r="AC1257" s="144"/>
      <c r="AD1257" s="144"/>
      <c r="AE1257" s="144"/>
    </row>
    <row r="1258" spans="8:31" x14ac:dyDescent="0.25">
      <c r="H1258" s="144"/>
      <c r="I1258" s="144"/>
      <c r="J1258" s="144"/>
      <c r="K1258" s="144"/>
      <c r="L1258" s="144"/>
      <c r="M1258" s="144"/>
      <c r="N1258" s="144"/>
      <c r="O1258" s="144"/>
      <c r="P1258" s="144"/>
      <c r="Q1258" s="144"/>
      <c r="R1258" s="144"/>
      <c r="S1258" s="144"/>
      <c r="T1258" s="144"/>
      <c r="U1258" s="144"/>
      <c r="V1258" s="144"/>
      <c r="W1258" s="144"/>
      <c r="X1258" s="144"/>
      <c r="Y1258" s="144"/>
      <c r="Z1258" s="144"/>
      <c r="AA1258" s="144"/>
      <c r="AB1258" s="144"/>
      <c r="AC1258" s="144"/>
      <c r="AD1258" s="144"/>
      <c r="AE1258" s="144"/>
    </row>
    <row r="1259" spans="8:31" x14ac:dyDescent="0.25">
      <c r="H1259" s="144"/>
      <c r="I1259" s="144"/>
      <c r="J1259" s="144"/>
      <c r="K1259" s="144"/>
      <c r="L1259" s="144"/>
      <c r="M1259" s="144"/>
      <c r="N1259" s="144"/>
      <c r="O1259" s="144"/>
      <c r="P1259" s="144"/>
      <c r="Q1259" s="144"/>
      <c r="R1259" s="144"/>
      <c r="S1259" s="144"/>
      <c r="T1259" s="144"/>
      <c r="U1259" s="144"/>
      <c r="V1259" s="144"/>
      <c r="W1259" s="144"/>
      <c r="X1259" s="144"/>
      <c r="Y1259" s="144"/>
      <c r="Z1259" s="144"/>
      <c r="AA1259" s="144"/>
      <c r="AB1259" s="144"/>
      <c r="AC1259" s="144"/>
      <c r="AD1259" s="144"/>
      <c r="AE1259" s="144"/>
    </row>
    <row r="1260" spans="8:31" x14ac:dyDescent="0.25">
      <c r="H1260" s="144"/>
      <c r="I1260" s="144"/>
      <c r="J1260" s="144"/>
      <c r="K1260" s="144"/>
      <c r="L1260" s="144"/>
      <c r="M1260" s="144"/>
      <c r="N1260" s="144"/>
      <c r="O1260" s="144"/>
      <c r="P1260" s="144"/>
      <c r="Q1260" s="144"/>
      <c r="R1260" s="144"/>
      <c r="S1260" s="144"/>
      <c r="T1260" s="144"/>
      <c r="U1260" s="144"/>
      <c r="V1260" s="144"/>
      <c r="W1260" s="144"/>
      <c r="X1260" s="144"/>
      <c r="Y1260" s="144"/>
      <c r="Z1260" s="144"/>
      <c r="AA1260" s="144"/>
      <c r="AB1260" s="144"/>
      <c r="AC1260" s="144"/>
      <c r="AD1260" s="144"/>
      <c r="AE1260" s="144"/>
    </row>
    <row r="1261" spans="8:31" x14ac:dyDescent="0.25">
      <c r="H1261" s="144"/>
      <c r="I1261" s="144"/>
      <c r="J1261" s="144"/>
      <c r="K1261" s="144"/>
      <c r="L1261" s="144"/>
      <c r="M1261" s="144"/>
      <c r="N1261" s="144"/>
      <c r="O1261" s="144"/>
      <c r="P1261" s="144"/>
      <c r="Q1261" s="144"/>
      <c r="R1261" s="144"/>
      <c r="S1261" s="144"/>
      <c r="T1261" s="144"/>
      <c r="U1261" s="144"/>
      <c r="V1261" s="144"/>
      <c r="W1261" s="144"/>
      <c r="X1261" s="144"/>
      <c r="Y1261" s="144"/>
      <c r="Z1261" s="144"/>
      <c r="AA1261" s="144"/>
      <c r="AB1261" s="144"/>
      <c r="AC1261" s="144"/>
      <c r="AD1261" s="144"/>
      <c r="AE1261" s="144"/>
    </row>
    <row r="1262" spans="8:31" x14ac:dyDescent="0.25">
      <c r="H1262" s="144"/>
      <c r="I1262" s="144"/>
      <c r="J1262" s="144"/>
      <c r="K1262" s="144"/>
      <c r="L1262" s="144"/>
      <c r="M1262" s="144"/>
      <c r="N1262" s="144"/>
      <c r="O1262" s="144"/>
      <c r="P1262" s="144"/>
      <c r="Q1262" s="144"/>
      <c r="R1262" s="144"/>
      <c r="S1262" s="144"/>
      <c r="T1262" s="144"/>
      <c r="U1262" s="144"/>
      <c r="V1262" s="144"/>
      <c r="W1262" s="144"/>
      <c r="X1262" s="144"/>
      <c r="Y1262" s="144"/>
      <c r="Z1262" s="144"/>
      <c r="AA1262" s="144"/>
      <c r="AB1262" s="144"/>
      <c r="AC1262" s="144"/>
      <c r="AD1262" s="144"/>
      <c r="AE1262" s="144"/>
    </row>
    <row r="1263" spans="8:31" x14ac:dyDescent="0.25">
      <c r="H1263" s="144"/>
      <c r="I1263" s="144"/>
      <c r="J1263" s="144"/>
      <c r="K1263" s="144"/>
      <c r="L1263" s="144"/>
      <c r="M1263" s="144"/>
      <c r="N1263" s="144"/>
      <c r="O1263" s="144"/>
      <c r="P1263" s="144"/>
      <c r="Q1263" s="144"/>
      <c r="R1263" s="144"/>
      <c r="S1263" s="144"/>
      <c r="T1263" s="144"/>
      <c r="U1263" s="144"/>
      <c r="V1263" s="144"/>
      <c r="W1263" s="144"/>
      <c r="X1263" s="144"/>
      <c r="Y1263" s="144"/>
      <c r="Z1263" s="144"/>
      <c r="AA1263" s="144"/>
      <c r="AB1263" s="144"/>
      <c r="AC1263" s="144"/>
      <c r="AD1263" s="144"/>
      <c r="AE1263" s="144"/>
    </row>
    <row r="1264" spans="8:31" x14ac:dyDescent="0.25">
      <c r="H1264" s="144"/>
      <c r="I1264" s="144"/>
      <c r="J1264" s="144"/>
      <c r="K1264" s="144"/>
      <c r="L1264" s="144"/>
      <c r="M1264" s="144"/>
      <c r="N1264" s="144"/>
      <c r="O1264" s="144"/>
      <c r="P1264" s="144"/>
      <c r="Q1264" s="144"/>
      <c r="R1264" s="144"/>
      <c r="S1264" s="144"/>
      <c r="T1264" s="144"/>
      <c r="U1264" s="144"/>
      <c r="V1264" s="144"/>
      <c r="W1264" s="144"/>
      <c r="X1264" s="144"/>
      <c r="Y1264" s="144"/>
      <c r="Z1264" s="144"/>
      <c r="AA1264" s="144"/>
      <c r="AB1264" s="144"/>
      <c r="AC1264" s="144"/>
      <c r="AD1264" s="144"/>
      <c r="AE1264" s="144"/>
    </row>
    <row r="1265" spans="8:31" x14ac:dyDescent="0.25">
      <c r="H1265" s="144"/>
      <c r="I1265" s="144"/>
      <c r="J1265" s="144"/>
      <c r="K1265" s="144"/>
      <c r="L1265" s="144"/>
      <c r="M1265" s="144"/>
      <c r="N1265" s="144"/>
      <c r="O1265" s="144"/>
      <c r="P1265" s="144"/>
      <c r="Q1265" s="144"/>
      <c r="R1265" s="144"/>
      <c r="S1265" s="144"/>
      <c r="T1265" s="144"/>
      <c r="U1265" s="144"/>
      <c r="V1265" s="144"/>
      <c r="W1265" s="144"/>
      <c r="X1265" s="144"/>
      <c r="Y1265" s="144"/>
      <c r="Z1265" s="144"/>
      <c r="AA1265" s="144"/>
      <c r="AB1265" s="144"/>
      <c r="AC1265" s="144"/>
      <c r="AD1265" s="144"/>
      <c r="AE1265" s="144"/>
    </row>
    <row r="1266" spans="8:31" x14ac:dyDescent="0.25">
      <c r="H1266" s="144"/>
      <c r="I1266" s="144"/>
      <c r="J1266" s="144"/>
      <c r="K1266" s="144"/>
      <c r="L1266" s="144"/>
      <c r="M1266" s="144"/>
      <c r="N1266" s="144"/>
      <c r="O1266" s="144"/>
      <c r="P1266" s="144"/>
      <c r="Q1266" s="144"/>
      <c r="R1266" s="144"/>
      <c r="S1266" s="144"/>
      <c r="T1266" s="144"/>
      <c r="U1266" s="144"/>
      <c r="V1266" s="144"/>
      <c r="W1266" s="144"/>
      <c r="X1266" s="144"/>
      <c r="Y1266" s="144"/>
      <c r="Z1266" s="144"/>
      <c r="AA1266" s="144"/>
      <c r="AB1266" s="144"/>
      <c r="AC1266" s="144"/>
      <c r="AD1266" s="144"/>
      <c r="AE1266" s="144"/>
    </row>
    <row r="1267" spans="8:31" x14ac:dyDescent="0.25">
      <c r="H1267" s="144"/>
      <c r="I1267" s="144"/>
      <c r="J1267" s="144"/>
      <c r="K1267" s="144"/>
      <c r="L1267" s="144"/>
      <c r="M1267" s="144"/>
      <c r="N1267" s="144"/>
      <c r="O1267" s="144"/>
      <c r="P1267" s="144"/>
      <c r="Q1267" s="144"/>
      <c r="R1267" s="144"/>
      <c r="S1267" s="144"/>
      <c r="T1267" s="144"/>
      <c r="U1267" s="144"/>
      <c r="V1267" s="144"/>
      <c r="W1267" s="144"/>
      <c r="X1267" s="144"/>
      <c r="Y1267" s="144"/>
      <c r="Z1267" s="144"/>
      <c r="AA1267" s="144"/>
      <c r="AB1267" s="144"/>
      <c r="AC1267" s="144"/>
      <c r="AD1267" s="144"/>
      <c r="AE1267" s="144"/>
    </row>
    <row r="1268" spans="8:31" x14ac:dyDescent="0.25">
      <c r="H1268" s="144"/>
      <c r="I1268" s="144"/>
      <c r="J1268" s="144"/>
      <c r="K1268" s="144"/>
      <c r="L1268" s="144"/>
      <c r="M1268" s="144"/>
      <c r="N1268" s="144"/>
      <c r="O1268" s="144"/>
      <c r="P1268" s="144"/>
      <c r="Q1268" s="144"/>
      <c r="R1268" s="144"/>
      <c r="S1268" s="144"/>
      <c r="T1268" s="144"/>
      <c r="U1268" s="144"/>
      <c r="V1268" s="144"/>
      <c r="W1268" s="144"/>
      <c r="X1268" s="144"/>
      <c r="Y1268" s="144"/>
      <c r="Z1268" s="144"/>
      <c r="AA1268" s="144"/>
      <c r="AB1268" s="144"/>
      <c r="AC1268" s="144"/>
      <c r="AD1268" s="144"/>
      <c r="AE1268" s="144"/>
    </row>
    <row r="1269" spans="8:31" x14ac:dyDescent="0.25">
      <c r="H1269" s="144"/>
      <c r="I1269" s="144"/>
      <c r="J1269" s="144"/>
      <c r="K1269" s="144"/>
      <c r="L1269" s="144"/>
      <c r="M1269" s="144"/>
      <c r="N1269" s="144"/>
      <c r="O1269" s="144"/>
      <c r="P1269" s="144"/>
      <c r="Q1269" s="144"/>
      <c r="R1269" s="144"/>
      <c r="S1269" s="144"/>
      <c r="T1269" s="144"/>
      <c r="U1269" s="144"/>
      <c r="V1269" s="144"/>
      <c r="W1269" s="144"/>
      <c r="X1269" s="144"/>
      <c r="Y1269" s="144"/>
      <c r="Z1269" s="144"/>
      <c r="AA1269" s="144"/>
      <c r="AB1269" s="144"/>
      <c r="AC1269" s="144"/>
      <c r="AD1269" s="144"/>
      <c r="AE1269" s="144"/>
    </row>
    <row r="1270" spans="8:31" x14ac:dyDescent="0.25">
      <c r="H1270" s="144"/>
      <c r="I1270" s="144"/>
      <c r="J1270" s="144"/>
      <c r="K1270" s="144"/>
      <c r="L1270" s="144"/>
      <c r="M1270" s="144"/>
      <c r="N1270" s="144"/>
      <c r="O1270" s="144"/>
      <c r="P1270" s="144"/>
      <c r="Q1270" s="144"/>
      <c r="R1270" s="144"/>
      <c r="S1270" s="144"/>
      <c r="T1270" s="144"/>
      <c r="U1270" s="144"/>
      <c r="V1270" s="144"/>
      <c r="W1270" s="144"/>
      <c r="X1270" s="144"/>
      <c r="Y1270" s="144"/>
      <c r="Z1270" s="144"/>
      <c r="AA1270" s="144"/>
      <c r="AB1270" s="144"/>
      <c r="AC1270" s="144"/>
      <c r="AD1270" s="144"/>
      <c r="AE1270" s="144"/>
    </row>
    <row r="1271" spans="8:31" x14ac:dyDescent="0.25">
      <c r="H1271" s="144"/>
      <c r="I1271" s="144"/>
      <c r="J1271" s="144"/>
      <c r="K1271" s="144"/>
      <c r="L1271" s="144"/>
      <c r="M1271" s="144"/>
      <c r="N1271" s="144"/>
      <c r="O1271" s="144"/>
      <c r="P1271" s="144"/>
      <c r="Q1271" s="144"/>
      <c r="R1271" s="144"/>
      <c r="S1271" s="144"/>
      <c r="T1271" s="144"/>
      <c r="U1271" s="144"/>
      <c r="V1271" s="144"/>
      <c r="W1271" s="144"/>
      <c r="X1271" s="144"/>
      <c r="Y1271" s="144"/>
      <c r="Z1271" s="144"/>
      <c r="AA1271" s="144"/>
      <c r="AB1271" s="144"/>
      <c r="AC1271" s="144"/>
      <c r="AD1271" s="144"/>
      <c r="AE1271" s="144"/>
    </row>
    <row r="1272" spans="8:31" x14ac:dyDescent="0.25">
      <c r="H1272" s="144"/>
      <c r="I1272" s="144"/>
      <c r="J1272" s="144"/>
      <c r="K1272" s="144"/>
      <c r="L1272" s="144"/>
      <c r="M1272" s="144"/>
      <c r="N1272" s="144"/>
      <c r="O1272" s="144"/>
      <c r="P1272" s="144"/>
      <c r="Q1272" s="144"/>
      <c r="R1272" s="144"/>
      <c r="S1272" s="144"/>
      <c r="T1272" s="144"/>
      <c r="U1272" s="144"/>
      <c r="V1272" s="144"/>
      <c r="W1272" s="144"/>
      <c r="X1272" s="144"/>
      <c r="Y1272" s="144"/>
      <c r="Z1272" s="144"/>
      <c r="AA1272" s="144"/>
      <c r="AB1272" s="144"/>
      <c r="AC1272" s="144"/>
      <c r="AD1272" s="144"/>
      <c r="AE1272" s="144"/>
    </row>
    <row r="1273" spans="8:31" x14ac:dyDescent="0.25">
      <c r="H1273" s="144"/>
      <c r="I1273" s="144"/>
      <c r="J1273" s="144"/>
      <c r="K1273" s="144"/>
      <c r="L1273" s="144"/>
      <c r="M1273" s="144"/>
      <c r="N1273" s="144"/>
      <c r="O1273" s="144"/>
      <c r="P1273" s="144"/>
      <c r="Q1273" s="144"/>
      <c r="R1273" s="144"/>
      <c r="S1273" s="144"/>
      <c r="T1273" s="144"/>
      <c r="U1273" s="144"/>
      <c r="V1273" s="144"/>
      <c r="W1273" s="144"/>
      <c r="X1273" s="144"/>
      <c r="Y1273" s="144"/>
      <c r="Z1273" s="144"/>
      <c r="AA1273" s="144"/>
      <c r="AB1273" s="144"/>
      <c r="AC1273" s="144"/>
      <c r="AD1273" s="144"/>
      <c r="AE1273" s="144"/>
    </row>
    <row r="1274" spans="8:31" x14ac:dyDescent="0.25">
      <c r="H1274" s="144"/>
      <c r="I1274" s="144"/>
      <c r="J1274" s="144"/>
      <c r="K1274" s="144"/>
      <c r="L1274" s="144"/>
      <c r="M1274" s="144"/>
      <c r="N1274" s="144"/>
      <c r="O1274" s="144"/>
      <c r="P1274" s="144"/>
      <c r="Q1274" s="144"/>
      <c r="R1274" s="144"/>
      <c r="S1274" s="144"/>
      <c r="T1274" s="144"/>
      <c r="U1274" s="144"/>
      <c r="V1274" s="144"/>
      <c r="W1274" s="144"/>
      <c r="X1274" s="144"/>
      <c r="Y1274" s="144"/>
      <c r="Z1274" s="144"/>
      <c r="AA1274" s="144"/>
      <c r="AB1274" s="144"/>
      <c r="AC1274" s="144"/>
      <c r="AD1274" s="144"/>
      <c r="AE1274" s="144"/>
    </row>
    <row r="1275" spans="8:31" x14ac:dyDescent="0.25">
      <c r="H1275" s="144"/>
      <c r="I1275" s="144"/>
      <c r="J1275" s="144"/>
      <c r="K1275" s="144"/>
      <c r="L1275" s="144"/>
      <c r="M1275" s="144"/>
      <c r="N1275" s="144"/>
      <c r="O1275" s="144"/>
      <c r="P1275" s="144"/>
      <c r="Q1275" s="144"/>
      <c r="R1275" s="144"/>
      <c r="S1275" s="144"/>
      <c r="T1275" s="144"/>
      <c r="U1275" s="144"/>
      <c r="V1275" s="144"/>
      <c r="W1275" s="144"/>
      <c r="X1275" s="144"/>
      <c r="Y1275" s="144"/>
      <c r="Z1275" s="144"/>
      <c r="AA1275" s="144"/>
      <c r="AB1275" s="144"/>
      <c r="AC1275" s="144"/>
      <c r="AD1275" s="144"/>
      <c r="AE1275" s="144"/>
    </row>
    <row r="1276" spans="8:31" x14ac:dyDescent="0.25">
      <c r="H1276" s="144"/>
      <c r="I1276" s="144"/>
      <c r="J1276" s="144"/>
      <c r="K1276" s="144"/>
      <c r="L1276" s="144"/>
      <c r="M1276" s="144"/>
      <c r="N1276" s="144"/>
      <c r="O1276" s="144"/>
      <c r="P1276" s="144"/>
      <c r="Q1276" s="144"/>
      <c r="R1276" s="144"/>
      <c r="S1276" s="144"/>
      <c r="T1276" s="144"/>
      <c r="U1276" s="144"/>
      <c r="V1276" s="144"/>
      <c r="W1276" s="144"/>
      <c r="X1276" s="144"/>
      <c r="Y1276" s="144"/>
      <c r="Z1276" s="144"/>
      <c r="AA1276" s="144"/>
      <c r="AB1276" s="144"/>
      <c r="AC1276" s="144"/>
      <c r="AD1276" s="144"/>
      <c r="AE1276" s="144"/>
    </row>
    <row r="1277" spans="8:31" x14ac:dyDescent="0.25">
      <c r="H1277" s="144"/>
      <c r="I1277" s="144"/>
      <c r="J1277" s="144"/>
      <c r="K1277" s="144"/>
      <c r="L1277" s="144"/>
      <c r="M1277" s="144"/>
      <c r="N1277" s="144"/>
      <c r="O1277" s="144"/>
      <c r="P1277" s="144"/>
      <c r="Q1277" s="144"/>
      <c r="R1277" s="144"/>
      <c r="S1277" s="144"/>
      <c r="T1277" s="144"/>
      <c r="U1277" s="144"/>
      <c r="V1277" s="144"/>
      <c r="W1277" s="144"/>
      <c r="X1277" s="144"/>
      <c r="Y1277" s="144"/>
      <c r="Z1277" s="144"/>
      <c r="AA1277" s="144"/>
      <c r="AB1277" s="144"/>
      <c r="AC1277" s="144"/>
      <c r="AD1277" s="144"/>
      <c r="AE1277" s="144"/>
    </row>
    <row r="1278" spans="8:31" x14ac:dyDescent="0.25">
      <c r="H1278" s="144"/>
      <c r="I1278" s="144"/>
      <c r="J1278" s="144"/>
      <c r="K1278" s="144"/>
      <c r="L1278" s="144"/>
      <c r="M1278" s="144"/>
      <c r="N1278" s="144"/>
      <c r="O1278" s="144"/>
      <c r="P1278" s="144"/>
      <c r="Q1278" s="144"/>
      <c r="R1278" s="144"/>
      <c r="S1278" s="144"/>
      <c r="T1278" s="144"/>
      <c r="U1278" s="144"/>
      <c r="V1278" s="144"/>
      <c r="W1278" s="144"/>
      <c r="X1278" s="144"/>
      <c r="Y1278" s="144"/>
      <c r="Z1278" s="144"/>
      <c r="AA1278" s="144"/>
      <c r="AB1278" s="144"/>
      <c r="AC1278" s="144"/>
      <c r="AD1278" s="144"/>
      <c r="AE1278" s="144"/>
    </row>
    <row r="1279" spans="8:31" x14ac:dyDescent="0.25">
      <c r="H1279" s="144"/>
      <c r="I1279" s="144"/>
      <c r="J1279" s="144"/>
      <c r="K1279" s="144"/>
      <c r="L1279" s="144"/>
      <c r="M1279" s="144"/>
      <c r="N1279" s="144"/>
      <c r="O1279" s="144"/>
      <c r="P1279" s="144"/>
      <c r="Q1279" s="144"/>
      <c r="R1279" s="144"/>
      <c r="S1279" s="144"/>
      <c r="T1279" s="144"/>
      <c r="U1279" s="144"/>
      <c r="V1279" s="144"/>
      <c r="W1279" s="144"/>
      <c r="X1279" s="144"/>
      <c r="Y1279" s="144"/>
      <c r="Z1279" s="144"/>
      <c r="AA1279" s="144"/>
      <c r="AB1279" s="144"/>
      <c r="AC1279" s="144"/>
      <c r="AD1279" s="144"/>
      <c r="AE1279" s="144"/>
    </row>
    <row r="1280" spans="8:31" x14ac:dyDescent="0.25">
      <c r="H1280" s="144"/>
      <c r="I1280" s="144"/>
      <c r="J1280" s="144"/>
      <c r="K1280" s="144"/>
      <c r="L1280" s="144"/>
      <c r="M1280" s="144"/>
      <c r="N1280" s="144"/>
      <c r="O1280" s="144"/>
      <c r="P1280" s="144"/>
      <c r="Q1280" s="144"/>
      <c r="R1280" s="144"/>
      <c r="S1280" s="144"/>
      <c r="T1280" s="144"/>
      <c r="U1280" s="144"/>
      <c r="V1280" s="144"/>
      <c r="W1280" s="144"/>
      <c r="X1280" s="144"/>
      <c r="Y1280" s="144"/>
      <c r="Z1280" s="144"/>
      <c r="AA1280" s="144"/>
      <c r="AB1280" s="144"/>
      <c r="AC1280" s="144"/>
      <c r="AD1280" s="144"/>
      <c r="AE1280" s="144"/>
    </row>
    <row r="1281" spans="8:31" x14ac:dyDescent="0.25">
      <c r="H1281" s="144"/>
      <c r="I1281" s="144"/>
      <c r="J1281" s="144"/>
      <c r="K1281" s="144"/>
      <c r="L1281" s="144"/>
      <c r="M1281" s="144"/>
      <c r="N1281" s="144"/>
      <c r="O1281" s="144"/>
      <c r="P1281" s="144"/>
      <c r="Q1281" s="144"/>
      <c r="R1281" s="144"/>
      <c r="S1281" s="144"/>
      <c r="T1281" s="144"/>
      <c r="U1281" s="144"/>
      <c r="V1281" s="144"/>
      <c r="W1281" s="144"/>
      <c r="X1281" s="144"/>
      <c r="Y1281" s="144"/>
      <c r="Z1281" s="144"/>
      <c r="AA1281" s="144"/>
      <c r="AB1281" s="144"/>
      <c r="AC1281" s="144"/>
      <c r="AD1281" s="144"/>
      <c r="AE1281" s="144"/>
    </row>
    <row r="1282" spans="8:31" x14ac:dyDescent="0.25">
      <c r="H1282" s="144"/>
      <c r="I1282" s="144"/>
      <c r="J1282" s="144"/>
      <c r="K1282" s="144"/>
      <c r="L1282" s="144"/>
      <c r="M1282" s="144"/>
      <c r="N1282" s="144"/>
      <c r="O1282" s="144"/>
      <c r="P1282" s="144"/>
      <c r="Q1282" s="144"/>
      <c r="R1282" s="144"/>
      <c r="S1282" s="144"/>
      <c r="T1282" s="144"/>
      <c r="U1282" s="144"/>
      <c r="V1282" s="144"/>
      <c r="W1282" s="144"/>
      <c r="X1282" s="144"/>
      <c r="Y1282" s="144"/>
      <c r="Z1282" s="144"/>
      <c r="AA1282" s="144"/>
      <c r="AB1282" s="144"/>
      <c r="AC1282" s="144"/>
      <c r="AD1282" s="144"/>
      <c r="AE1282" s="144"/>
    </row>
    <row r="1283" spans="8:31" x14ac:dyDescent="0.25">
      <c r="H1283" s="144"/>
      <c r="I1283" s="144"/>
      <c r="J1283" s="144"/>
      <c r="K1283" s="144"/>
      <c r="L1283" s="144"/>
      <c r="M1283" s="144"/>
      <c r="N1283" s="144"/>
      <c r="O1283" s="144"/>
      <c r="P1283" s="144"/>
      <c r="Q1283" s="144"/>
      <c r="R1283" s="144"/>
      <c r="S1283" s="144"/>
      <c r="T1283" s="144"/>
      <c r="U1283" s="144"/>
      <c r="V1283" s="144"/>
      <c r="W1283" s="144"/>
      <c r="X1283" s="144"/>
      <c r="Y1283" s="144"/>
      <c r="Z1283" s="144"/>
      <c r="AA1283" s="144"/>
      <c r="AB1283" s="144"/>
      <c r="AC1283" s="144"/>
      <c r="AD1283" s="144"/>
      <c r="AE1283" s="144"/>
    </row>
    <row r="1284" spans="8:31" x14ac:dyDescent="0.25">
      <c r="H1284" s="144"/>
      <c r="I1284" s="144"/>
      <c r="J1284" s="144"/>
      <c r="K1284" s="144"/>
      <c r="L1284" s="144"/>
      <c r="M1284" s="144"/>
      <c r="N1284" s="144"/>
      <c r="O1284" s="144"/>
      <c r="P1284" s="144"/>
      <c r="Q1284" s="144"/>
      <c r="R1284" s="144"/>
      <c r="S1284" s="144"/>
      <c r="T1284" s="144"/>
      <c r="U1284" s="144"/>
      <c r="V1284" s="144"/>
      <c r="W1284" s="144"/>
      <c r="X1284" s="144"/>
      <c r="Y1284" s="144"/>
      <c r="Z1284" s="144"/>
      <c r="AA1284" s="144"/>
      <c r="AB1284" s="144"/>
      <c r="AC1284" s="144"/>
      <c r="AD1284" s="144"/>
      <c r="AE1284" s="144"/>
    </row>
    <row r="1285" spans="8:31" x14ac:dyDescent="0.25">
      <c r="H1285" s="144"/>
      <c r="I1285" s="144"/>
      <c r="J1285" s="144"/>
      <c r="K1285" s="144"/>
      <c r="L1285" s="144"/>
      <c r="M1285" s="144"/>
      <c r="N1285" s="144"/>
      <c r="O1285" s="144"/>
      <c r="P1285" s="144"/>
      <c r="Q1285" s="144"/>
      <c r="R1285" s="144"/>
      <c r="S1285" s="144"/>
      <c r="T1285" s="144"/>
      <c r="U1285" s="144"/>
      <c r="V1285" s="144"/>
      <c r="W1285" s="144"/>
      <c r="X1285" s="144"/>
      <c r="Y1285" s="144"/>
      <c r="Z1285" s="144"/>
      <c r="AA1285" s="144"/>
      <c r="AB1285" s="144"/>
      <c r="AC1285" s="144"/>
      <c r="AD1285" s="144"/>
      <c r="AE1285" s="144"/>
    </row>
    <row r="1286" spans="8:31" x14ac:dyDescent="0.25">
      <c r="H1286" s="144"/>
      <c r="I1286" s="144"/>
      <c r="J1286" s="144"/>
      <c r="K1286" s="144"/>
      <c r="L1286" s="144"/>
      <c r="M1286" s="144"/>
      <c r="N1286" s="144"/>
      <c r="O1286" s="144"/>
      <c r="P1286" s="144"/>
      <c r="Q1286" s="144"/>
      <c r="R1286" s="144"/>
      <c r="S1286" s="144"/>
      <c r="T1286" s="144"/>
      <c r="U1286" s="144"/>
      <c r="V1286" s="144"/>
      <c r="W1286" s="144"/>
      <c r="X1286" s="144"/>
      <c r="Y1286" s="144"/>
      <c r="Z1286" s="144"/>
      <c r="AA1286" s="144"/>
      <c r="AB1286" s="144"/>
      <c r="AC1286" s="144"/>
      <c r="AD1286" s="144"/>
      <c r="AE1286" s="144"/>
    </row>
    <row r="1287" spans="8:31" x14ac:dyDescent="0.25">
      <c r="H1287" s="144"/>
      <c r="I1287" s="144"/>
      <c r="J1287" s="144"/>
      <c r="K1287" s="144"/>
      <c r="L1287" s="144"/>
      <c r="M1287" s="144"/>
      <c r="N1287" s="144"/>
      <c r="O1287" s="144"/>
      <c r="P1287" s="144"/>
      <c r="Q1287" s="144"/>
      <c r="R1287" s="144"/>
      <c r="S1287" s="144"/>
      <c r="T1287" s="144"/>
      <c r="U1287" s="144"/>
      <c r="V1287" s="144"/>
      <c r="W1287" s="144"/>
      <c r="X1287" s="144"/>
      <c r="Y1287" s="144"/>
      <c r="Z1287" s="144"/>
      <c r="AA1287" s="144"/>
      <c r="AB1287" s="144"/>
      <c r="AC1287" s="144"/>
      <c r="AD1287" s="144"/>
      <c r="AE1287" s="144"/>
    </row>
    <row r="1288" spans="8:31" x14ac:dyDescent="0.25">
      <c r="H1288" s="144"/>
      <c r="I1288" s="144"/>
      <c r="J1288" s="144"/>
      <c r="K1288" s="144"/>
      <c r="L1288" s="144"/>
      <c r="M1288" s="144"/>
      <c r="N1288" s="144"/>
      <c r="O1288" s="144"/>
      <c r="P1288" s="144"/>
      <c r="Q1288" s="144"/>
      <c r="R1288" s="144"/>
      <c r="S1288" s="144"/>
      <c r="T1288" s="144"/>
      <c r="U1288" s="144"/>
      <c r="V1288" s="144"/>
      <c r="W1288" s="144"/>
      <c r="X1288" s="144"/>
      <c r="Y1288" s="144"/>
      <c r="Z1288" s="144"/>
      <c r="AA1288" s="144"/>
      <c r="AB1288" s="144"/>
      <c r="AC1288" s="144"/>
      <c r="AD1288" s="144"/>
      <c r="AE1288" s="144"/>
    </row>
    <row r="1289" spans="8:31" x14ac:dyDescent="0.25">
      <c r="H1289" s="144"/>
      <c r="I1289" s="144"/>
      <c r="J1289" s="144"/>
      <c r="K1289" s="144"/>
      <c r="L1289" s="144"/>
      <c r="M1289" s="144"/>
      <c r="N1289" s="144"/>
      <c r="O1289" s="144"/>
      <c r="P1289" s="144"/>
      <c r="Q1289" s="144"/>
      <c r="R1289" s="144"/>
      <c r="S1289" s="144"/>
      <c r="T1289" s="144"/>
      <c r="U1289" s="144"/>
      <c r="V1289" s="144"/>
      <c r="W1289" s="144"/>
      <c r="X1289" s="144"/>
      <c r="Y1289" s="144"/>
      <c r="Z1289" s="144"/>
      <c r="AA1289" s="144"/>
      <c r="AB1289" s="144"/>
      <c r="AC1289" s="144"/>
      <c r="AD1289" s="144"/>
      <c r="AE1289" s="144"/>
    </row>
    <row r="1290" spans="8:31" x14ac:dyDescent="0.25">
      <c r="H1290" s="144"/>
      <c r="I1290" s="144"/>
      <c r="J1290" s="144"/>
      <c r="K1290" s="144"/>
      <c r="L1290" s="144"/>
      <c r="M1290" s="144"/>
      <c r="N1290" s="144"/>
      <c r="O1290" s="144"/>
      <c r="P1290" s="144"/>
      <c r="Q1290" s="144"/>
      <c r="R1290" s="144"/>
      <c r="S1290" s="144"/>
      <c r="T1290" s="144"/>
      <c r="U1290" s="144"/>
      <c r="V1290" s="144"/>
      <c r="W1290" s="144"/>
      <c r="X1290" s="144"/>
      <c r="Y1290" s="144"/>
      <c r="Z1290" s="144"/>
      <c r="AA1290" s="144"/>
      <c r="AB1290" s="144"/>
      <c r="AC1290" s="144"/>
      <c r="AD1290" s="144"/>
      <c r="AE1290" s="144"/>
    </row>
    <row r="1291" spans="8:31" x14ac:dyDescent="0.25">
      <c r="H1291" s="144"/>
      <c r="I1291" s="144"/>
      <c r="J1291" s="144"/>
      <c r="K1291" s="144"/>
      <c r="L1291" s="144"/>
      <c r="M1291" s="144"/>
      <c r="N1291" s="144"/>
      <c r="O1291" s="144"/>
      <c r="P1291" s="144"/>
      <c r="Q1291" s="144"/>
      <c r="R1291" s="144"/>
      <c r="S1291" s="144"/>
      <c r="T1291" s="144"/>
      <c r="U1291" s="144"/>
      <c r="V1291" s="144"/>
      <c r="W1291" s="144"/>
      <c r="X1291" s="144"/>
      <c r="Y1291" s="144"/>
      <c r="Z1291" s="144"/>
      <c r="AA1291" s="144"/>
      <c r="AB1291" s="144"/>
      <c r="AC1291" s="144"/>
      <c r="AD1291" s="144"/>
      <c r="AE1291" s="144"/>
    </row>
    <row r="1292" spans="8:31" x14ac:dyDescent="0.25">
      <c r="H1292" s="144"/>
      <c r="I1292" s="144"/>
      <c r="J1292" s="144"/>
      <c r="K1292" s="144"/>
      <c r="L1292" s="144"/>
      <c r="M1292" s="144"/>
      <c r="N1292" s="144"/>
      <c r="O1292" s="144"/>
      <c r="P1292" s="144"/>
      <c r="Q1292" s="144"/>
      <c r="R1292" s="144"/>
      <c r="S1292" s="144"/>
      <c r="T1292" s="144"/>
      <c r="U1292" s="144"/>
      <c r="V1292" s="144"/>
      <c r="W1292" s="144"/>
      <c r="X1292" s="144"/>
      <c r="Y1292" s="144"/>
      <c r="Z1292" s="144"/>
      <c r="AA1292" s="144"/>
      <c r="AB1292" s="144"/>
      <c r="AC1292" s="144"/>
      <c r="AD1292" s="144"/>
      <c r="AE1292" s="144"/>
    </row>
    <row r="1293" spans="8:31" x14ac:dyDescent="0.25">
      <c r="H1293" s="144"/>
      <c r="I1293" s="144"/>
      <c r="J1293" s="144"/>
      <c r="K1293" s="144"/>
      <c r="L1293" s="144"/>
      <c r="M1293" s="144"/>
      <c r="N1293" s="144"/>
      <c r="O1293" s="144"/>
      <c r="P1293" s="144"/>
      <c r="Q1293" s="144"/>
      <c r="R1293" s="144"/>
      <c r="S1293" s="144"/>
      <c r="T1293" s="144"/>
      <c r="U1293" s="144"/>
      <c r="V1293" s="144"/>
      <c r="W1293" s="144"/>
      <c r="X1293" s="144"/>
      <c r="Y1293" s="144"/>
      <c r="Z1293" s="144"/>
      <c r="AA1293" s="144"/>
      <c r="AB1293" s="144"/>
      <c r="AC1293" s="144"/>
      <c r="AD1293" s="144"/>
      <c r="AE1293" s="144"/>
    </row>
    <row r="1294" spans="8:31" x14ac:dyDescent="0.25">
      <c r="H1294" s="144"/>
      <c r="I1294" s="144"/>
      <c r="J1294" s="144"/>
      <c r="K1294" s="144"/>
      <c r="L1294" s="144"/>
      <c r="M1294" s="144"/>
      <c r="N1294" s="144"/>
      <c r="O1294" s="144"/>
      <c r="P1294" s="144"/>
      <c r="Q1294" s="144"/>
      <c r="R1294" s="144"/>
      <c r="S1294" s="144"/>
      <c r="T1294" s="144"/>
      <c r="U1294" s="144"/>
      <c r="V1294" s="144"/>
      <c r="W1294" s="144"/>
      <c r="X1294" s="144"/>
      <c r="Y1294" s="144"/>
      <c r="Z1294" s="144"/>
      <c r="AA1294" s="144"/>
      <c r="AB1294" s="144"/>
      <c r="AC1294" s="144"/>
      <c r="AD1294" s="144"/>
      <c r="AE1294" s="144"/>
    </row>
    <row r="1295" spans="8:31" x14ac:dyDescent="0.25">
      <c r="H1295" s="144"/>
      <c r="I1295" s="144"/>
      <c r="J1295" s="144"/>
      <c r="K1295" s="144"/>
      <c r="L1295" s="144"/>
      <c r="M1295" s="144"/>
      <c r="N1295" s="144"/>
      <c r="O1295" s="144"/>
      <c r="P1295" s="144"/>
      <c r="Q1295" s="144"/>
      <c r="R1295" s="144"/>
      <c r="S1295" s="144"/>
      <c r="T1295" s="144"/>
      <c r="U1295" s="144"/>
      <c r="V1295" s="144"/>
      <c r="W1295" s="144"/>
      <c r="X1295" s="144"/>
      <c r="Y1295" s="144"/>
      <c r="Z1295" s="144"/>
      <c r="AA1295" s="144"/>
      <c r="AB1295" s="144"/>
      <c r="AC1295" s="144"/>
      <c r="AD1295" s="144"/>
      <c r="AE1295" s="144"/>
    </row>
    <row r="1296" spans="8:31" x14ac:dyDescent="0.25">
      <c r="H1296" s="144"/>
      <c r="I1296" s="144"/>
      <c r="J1296" s="144"/>
      <c r="K1296" s="144"/>
      <c r="L1296" s="144"/>
      <c r="M1296" s="144"/>
      <c r="N1296" s="144"/>
      <c r="O1296" s="144"/>
      <c r="P1296" s="144"/>
      <c r="Q1296" s="144"/>
      <c r="R1296" s="144"/>
      <c r="S1296" s="144"/>
      <c r="T1296" s="144"/>
      <c r="U1296" s="144"/>
      <c r="V1296" s="144"/>
      <c r="W1296" s="144"/>
      <c r="X1296" s="144"/>
      <c r="Y1296" s="144"/>
      <c r="Z1296" s="144"/>
      <c r="AA1296" s="144"/>
      <c r="AB1296" s="144"/>
      <c r="AC1296" s="144"/>
      <c r="AD1296" s="144"/>
      <c r="AE1296" s="144"/>
    </row>
    <row r="1297" spans="8:31" x14ac:dyDescent="0.25">
      <c r="H1297" s="144"/>
      <c r="I1297" s="144"/>
      <c r="J1297" s="144"/>
      <c r="K1297" s="144"/>
      <c r="L1297" s="144"/>
      <c r="M1297" s="144"/>
      <c r="N1297" s="144"/>
      <c r="O1297" s="144"/>
      <c r="P1297" s="144"/>
      <c r="Q1297" s="144"/>
      <c r="R1297" s="144"/>
      <c r="S1297" s="144"/>
      <c r="T1297" s="144"/>
      <c r="U1297" s="144"/>
      <c r="V1297" s="144"/>
      <c r="W1297" s="144"/>
      <c r="X1297" s="144"/>
      <c r="Y1297" s="144"/>
      <c r="Z1297" s="144"/>
      <c r="AA1297" s="144"/>
      <c r="AB1297" s="144"/>
      <c r="AC1297" s="144"/>
      <c r="AD1297" s="144"/>
      <c r="AE1297" s="144"/>
    </row>
    <row r="1298" spans="8:31" x14ac:dyDescent="0.25">
      <c r="H1298" s="144"/>
      <c r="I1298" s="144"/>
      <c r="J1298" s="144"/>
      <c r="K1298" s="144"/>
      <c r="L1298" s="144"/>
      <c r="M1298" s="144"/>
      <c r="N1298" s="144"/>
      <c r="O1298" s="144"/>
      <c r="P1298" s="144"/>
      <c r="Q1298" s="144"/>
      <c r="R1298" s="144"/>
      <c r="S1298" s="144"/>
      <c r="T1298" s="144"/>
      <c r="U1298" s="144"/>
      <c r="V1298" s="144"/>
      <c r="W1298" s="144"/>
      <c r="X1298" s="144"/>
      <c r="Y1298" s="144"/>
      <c r="Z1298" s="144"/>
      <c r="AA1298" s="144"/>
      <c r="AB1298" s="144"/>
      <c r="AC1298" s="144"/>
      <c r="AD1298" s="144"/>
      <c r="AE1298" s="144"/>
    </row>
    <row r="1299" spans="8:31" x14ac:dyDescent="0.25">
      <c r="H1299" s="144"/>
      <c r="I1299" s="144"/>
      <c r="J1299" s="144"/>
      <c r="K1299" s="144"/>
      <c r="L1299" s="144"/>
      <c r="M1299" s="144"/>
      <c r="N1299" s="144"/>
      <c r="O1299" s="144"/>
      <c r="P1299" s="144"/>
      <c r="Q1299" s="144"/>
      <c r="R1299" s="144"/>
      <c r="S1299" s="144"/>
      <c r="T1299" s="144"/>
      <c r="U1299" s="144"/>
      <c r="V1299" s="144"/>
      <c r="W1299" s="144"/>
      <c r="X1299" s="144"/>
      <c r="Y1299" s="144"/>
      <c r="Z1299" s="144"/>
      <c r="AA1299" s="144"/>
      <c r="AB1299" s="144"/>
      <c r="AC1299" s="144"/>
      <c r="AD1299" s="144"/>
      <c r="AE1299" s="144"/>
    </row>
    <row r="1300" spans="8:31" x14ac:dyDescent="0.25">
      <c r="H1300" s="144"/>
      <c r="I1300" s="144"/>
      <c r="J1300" s="144"/>
      <c r="K1300" s="144"/>
      <c r="L1300" s="144"/>
      <c r="M1300" s="144"/>
      <c r="N1300" s="144"/>
      <c r="O1300" s="144"/>
      <c r="P1300" s="144"/>
      <c r="Q1300" s="144"/>
      <c r="R1300" s="144"/>
      <c r="S1300" s="144"/>
      <c r="T1300" s="144"/>
      <c r="U1300" s="144"/>
      <c r="V1300" s="144"/>
      <c r="W1300" s="144"/>
      <c r="X1300" s="144"/>
      <c r="Y1300" s="144"/>
      <c r="Z1300" s="144"/>
      <c r="AA1300" s="144"/>
      <c r="AB1300" s="144"/>
      <c r="AC1300" s="144"/>
      <c r="AD1300" s="144"/>
      <c r="AE1300" s="144"/>
    </row>
    <row r="1301" spans="8:31" x14ac:dyDescent="0.25">
      <c r="H1301" s="144"/>
      <c r="I1301" s="144"/>
      <c r="J1301" s="144"/>
      <c r="K1301" s="144"/>
      <c r="L1301" s="144"/>
      <c r="M1301" s="144"/>
      <c r="N1301" s="144"/>
      <c r="O1301" s="144"/>
      <c r="P1301" s="144"/>
      <c r="Q1301" s="144"/>
      <c r="R1301" s="144"/>
      <c r="S1301" s="144"/>
      <c r="T1301" s="144"/>
      <c r="U1301" s="144"/>
      <c r="V1301" s="144"/>
      <c r="W1301" s="144"/>
      <c r="X1301" s="144"/>
      <c r="Y1301" s="144"/>
      <c r="Z1301" s="144"/>
      <c r="AA1301" s="144"/>
      <c r="AB1301" s="144"/>
      <c r="AC1301" s="144"/>
      <c r="AD1301" s="144"/>
      <c r="AE1301" s="144"/>
    </row>
    <row r="1302" spans="8:31" x14ac:dyDescent="0.25">
      <c r="H1302" s="144"/>
      <c r="I1302" s="144"/>
      <c r="J1302" s="144"/>
      <c r="K1302" s="144"/>
      <c r="L1302" s="144"/>
      <c r="M1302" s="144"/>
      <c r="N1302" s="144"/>
      <c r="O1302" s="144"/>
      <c r="P1302" s="144"/>
      <c r="Q1302" s="144"/>
      <c r="R1302" s="144"/>
      <c r="S1302" s="144"/>
      <c r="T1302" s="144"/>
      <c r="U1302" s="144"/>
      <c r="V1302" s="144"/>
      <c r="W1302" s="144"/>
      <c r="X1302" s="144"/>
      <c r="Y1302" s="144"/>
      <c r="Z1302" s="144"/>
      <c r="AA1302" s="144"/>
      <c r="AB1302" s="144"/>
      <c r="AC1302" s="144"/>
      <c r="AD1302" s="144"/>
      <c r="AE1302" s="144"/>
    </row>
    <row r="1303" spans="8:31" x14ac:dyDescent="0.25">
      <c r="H1303" s="144"/>
      <c r="I1303" s="144"/>
      <c r="J1303" s="144"/>
      <c r="K1303" s="144"/>
      <c r="L1303" s="144"/>
      <c r="M1303" s="144"/>
      <c r="N1303" s="144"/>
      <c r="O1303" s="144"/>
      <c r="P1303" s="144"/>
      <c r="Q1303" s="144"/>
      <c r="R1303" s="144"/>
      <c r="S1303" s="144"/>
      <c r="T1303" s="144"/>
      <c r="U1303" s="144"/>
      <c r="V1303" s="144"/>
      <c r="W1303" s="144"/>
      <c r="X1303" s="144"/>
      <c r="Y1303" s="144"/>
      <c r="Z1303" s="144"/>
      <c r="AA1303" s="144"/>
      <c r="AB1303" s="144"/>
      <c r="AC1303" s="144"/>
      <c r="AD1303" s="144"/>
      <c r="AE1303" s="144"/>
    </row>
    <row r="1304" spans="8:31" x14ac:dyDescent="0.25">
      <c r="H1304" s="144"/>
      <c r="I1304" s="144"/>
      <c r="J1304" s="144"/>
      <c r="K1304" s="144"/>
      <c r="L1304" s="144"/>
      <c r="M1304" s="144"/>
      <c r="N1304" s="144"/>
      <c r="O1304" s="144"/>
      <c r="P1304" s="144"/>
      <c r="Q1304" s="144"/>
      <c r="R1304" s="144"/>
      <c r="S1304" s="144"/>
      <c r="T1304" s="144"/>
      <c r="U1304" s="144"/>
      <c r="V1304" s="144"/>
      <c r="W1304" s="144"/>
      <c r="X1304" s="144"/>
      <c r="Y1304" s="144"/>
      <c r="Z1304" s="144"/>
      <c r="AA1304" s="144"/>
      <c r="AB1304" s="144"/>
      <c r="AC1304" s="144"/>
      <c r="AD1304" s="144"/>
      <c r="AE1304" s="144"/>
    </row>
    <row r="1305" spans="8:31" x14ac:dyDescent="0.25">
      <c r="H1305" s="144"/>
      <c r="I1305" s="144"/>
      <c r="J1305" s="144"/>
      <c r="K1305" s="144"/>
      <c r="L1305" s="144"/>
      <c r="M1305" s="144"/>
      <c r="N1305" s="144"/>
      <c r="O1305" s="144"/>
      <c r="P1305" s="144"/>
      <c r="Q1305" s="144"/>
      <c r="R1305" s="144"/>
      <c r="S1305" s="144"/>
      <c r="T1305" s="144"/>
      <c r="U1305" s="144"/>
      <c r="V1305" s="144"/>
      <c r="W1305" s="144"/>
      <c r="X1305" s="144"/>
      <c r="Y1305" s="144"/>
      <c r="Z1305" s="144"/>
      <c r="AA1305" s="144"/>
      <c r="AB1305" s="144"/>
      <c r="AC1305" s="144"/>
      <c r="AD1305" s="144"/>
      <c r="AE1305" s="144"/>
    </row>
    <row r="1306" spans="8:31" x14ac:dyDescent="0.25">
      <c r="H1306" s="144"/>
      <c r="I1306" s="144"/>
      <c r="J1306" s="144"/>
      <c r="K1306" s="144"/>
      <c r="L1306" s="144"/>
      <c r="M1306" s="144"/>
      <c r="N1306" s="144"/>
      <c r="O1306" s="144"/>
      <c r="P1306" s="144"/>
      <c r="Q1306" s="144"/>
      <c r="R1306" s="144"/>
      <c r="S1306" s="144"/>
      <c r="T1306" s="144"/>
      <c r="U1306" s="144"/>
      <c r="V1306" s="144"/>
      <c r="W1306" s="144"/>
      <c r="X1306" s="144"/>
      <c r="Y1306" s="144"/>
      <c r="Z1306" s="144"/>
      <c r="AA1306" s="144"/>
      <c r="AB1306" s="144"/>
      <c r="AC1306" s="144"/>
      <c r="AD1306" s="144"/>
      <c r="AE1306" s="144"/>
    </row>
    <row r="1307" spans="8:31" x14ac:dyDescent="0.25">
      <c r="H1307" s="144"/>
      <c r="I1307" s="144"/>
      <c r="J1307" s="144"/>
      <c r="K1307" s="144"/>
      <c r="L1307" s="144"/>
      <c r="M1307" s="144"/>
      <c r="N1307" s="144"/>
      <c r="O1307" s="144"/>
      <c r="P1307" s="144"/>
      <c r="Q1307" s="144"/>
      <c r="R1307" s="144"/>
      <c r="S1307" s="144"/>
      <c r="T1307" s="144"/>
      <c r="U1307" s="144"/>
      <c r="V1307" s="144"/>
      <c r="W1307" s="144"/>
      <c r="X1307" s="144"/>
      <c r="Y1307" s="144"/>
      <c r="Z1307" s="144"/>
      <c r="AA1307" s="144"/>
      <c r="AB1307" s="144"/>
      <c r="AC1307" s="144"/>
      <c r="AD1307" s="144"/>
      <c r="AE1307" s="144"/>
    </row>
    <row r="1308" spans="8:31" x14ac:dyDescent="0.25">
      <c r="H1308" s="144"/>
      <c r="I1308" s="144"/>
      <c r="J1308" s="144"/>
      <c r="K1308" s="144"/>
      <c r="L1308" s="144"/>
      <c r="M1308" s="144"/>
      <c r="N1308" s="144"/>
      <c r="O1308" s="144"/>
      <c r="P1308" s="144"/>
      <c r="Q1308" s="144"/>
      <c r="R1308" s="144"/>
      <c r="S1308" s="144"/>
      <c r="T1308" s="144"/>
      <c r="U1308" s="144"/>
      <c r="V1308" s="144"/>
      <c r="W1308" s="144"/>
      <c r="X1308" s="144"/>
      <c r="Y1308" s="144"/>
      <c r="Z1308" s="144"/>
      <c r="AA1308" s="144"/>
      <c r="AB1308" s="144"/>
      <c r="AC1308" s="144"/>
      <c r="AD1308" s="144"/>
      <c r="AE1308" s="144"/>
    </row>
    <row r="1309" spans="8:31" x14ac:dyDescent="0.25">
      <c r="H1309" s="144"/>
      <c r="I1309" s="144"/>
      <c r="J1309" s="144"/>
      <c r="K1309" s="144"/>
      <c r="L1309" s="144"/>
      <c r="M1309" s="144"/>
      <c r="N1309" s="144"/>
      <c r="O1309" s="144"/>
      <c r="P1309" s="144"/>
      <c r="Q1309" s="144"/>
      <c r="R1309" s="144"/>
      <c r="S1309" s="144"/>
      <c r="T1309" s="144"/>
      <c r="U1309" s="144"/>
      <c r="V1309" s="144"/>
      <c r="W1309" s="144"/>
      <c r="X1309" s="144"/>
      <c r="Y1309" s="144"/>
      <c r="Z1309" s="144"/>
      <c r="AA1309" s="144"/>
      <c r="AB1309" s="144"/>
      <c r="AC1309" s="144"/>
      <c r="AD1309" s="144"/>
      <c r="AE1309" s="144"/>
    </row>
    <row r="1310" spans="8:31" x14ac:dyDescent="0.25">
      <c r="H1310" s="144"/>
      <c r="I1310" s="144"/>
      <c r="J1310" s="144"/>
      <c r="K1310" s="144"/>
      <c r="L1310" s="144"/>
      <c r="M1310" s="144"/>
      <c r="N1310" s="144"/>
      <c r="O1310" s="144"/>
      <c r="P1310" s="144"/>
      <c r="Q1310" s="144"/>
      <c r="R1310" s="144"/>
      <c r="S1310" s="144"/>
      <c r="T1310" s="144"/>
      <c r="U1310" s="144"/>
      <c r="V1310" s="144"/>
      <c r="W1310" s="144"/>
      <c r="X1310" s="144"/>
      <c r="Y1310" s="144"/>
      <c r="Z1310" s="144"/>
      <c r="AA1310" s="144"/>
      <c r="AB1310" s="144"/>
      <c r="AC1310" s="144"/>
      <c r="AD1310" s="144"/>
      <c r="AE1310" s="144"/>
    </row>
    <row r="1311" spans="8:31" x14ac:dyDescent="0.25">
      <c r="H1311" s="144"/>
      <c r="I1311" s="144"/>
      <c r="J1311" s="144"/>
      <c r="K1311" s="144"/>
      <c r="L1311" s="144"/>
      <c r="M1311" s="144"/>
      <c r="N1311" s="144"/>
      <c r="O1311" s="144"/>
      <c r="P1311" s="144"/>
      <c r="Q1311" s="144"/>
      <c r="R1311" s="144"/>
      <c r="S1311" s="144"/>
      <c r="T1311" s="144"/>
      <c r="U1311" s="144"/>
      <c r="V1311" s="144"/>
      <c r="W1311" s="144"/>
      <c r="X1311" s="144"/>
      <c r="Y1311" s="144"/>
      <c r="Z1311" s="144"/>
      <c r="AA1311" s="144"/>
      <c r="AB1311" s="144"/>
      <c r="AC1311" s="144"/>
      <c r="AD1311" s="144"/>
      <c r="AE1311" s="144"/>
    </row>
    <row r="1312" spans="8:31" x14ac:dyDescent="0.25">
      <c r="H1312" s="144"/>
      <c r="I1312" s="144"/>
      <c r="J1312" s="144"/>
      <c r="K1312" s="144"/>
      <c r="L1312" s="144"/>
      <c r="M1312" s="144"/>
      <c r="N1312" s="144"/>
      <c r="O1312" s="144"/>
      <c r="P1312" s="144"/>
      <c r="Q1312" s="144"/>
      <c r="R1312" s="144"/>
      <c r="S1312" s="144"/>
      <c r="T1312" s="144"/>
      <c r="U1312" s="144"/>
      <c r="V1312" s="144"/>
      <c r="W1312" s="144"/>
      <c r="X1312" s="144"/>
      <c r="Y1312" s="144"/>
      <c r="Z1312" s="144"/>
      <c r="AA1312" s="144"/>
      <c r="AB1312" s="144"/>
      <c r="AC1312" s="144"/>
      <c r="AD1312" s="144"/>
      <c r="AE1312" s="144"/>
    </row>
    <row r="1313" spans="8:31" x14ac:dyDescent="0.25">
      <c r="H1313" s="144"/>
      <c r="I1313" s="144"/>
      <c r="J1313" s="144"/>
      <c r="K1313" s="144"/>
      <c r="L1313" s="144"/>
      <c r="M1313" s="144"/>
      <c r="N1313" s="144"/>
      <c r="O1313" s="144"/>
      <c r="P1313" s="144"/>
      <c r="Q1313" s="144"/>
      <c r="R1313" s="144"/>
      <c r="S1313" s="144"/>
      <c r="T1313" s="144"/>
      <c r="U1313" s="144"/>
      <c r="V1313" s="144"/>
      <c r="W1313" s="144"/>
      <c r="X1313" s="144"/>
      <c r="Y1313" s="144"/>
      <c r="Z1313" s="144"/>
      <c r="AA1313" s="144"/>
      <c r="AB1313" s="144"/>
      <c r="AC1313" s="144"/>
      <c r="AD1313" s="144"/>
      <c r="AE1313" s="144"/>
    </row>
    <row r="1314" spans="8:31" x14ac:dyDescent="0.25">
      <c r="H1314" s="144"/>
      <c r="I1314" s="144"/>
      <c r="J1314" s="144"/>
      <c r="K1314" s="144"/>
      <c r="L1314" s="144"/>
      <c r="M1314" s="144"/>
      <c r="N1314" s="144"/>
      <c r="O1314" s="144"/>
      <c r="P1314" s="144"/>
      <c r="Q1314" s="144"/>
      <c r="R1314" s="144"/>
      <c r="S1314" s="144"/>
      <c r="T1314" s="144"/>
      <c r="U1314" s="144"/>
      <c r="V1314" s="144"/>
      <c r="W1314" s="144"/>
      <c r="X1314" s="144"/>
      <c r="Y1314" s="144"/>
      <c r="Z1314" s="144"/>
      <c r="AA1314" s="144"/>
      <c r="AB1314" s="144"/>
      <c r="AC1314" s="144"/>
      <c r="AD1314" s="144"/>
      <c r="AE1314" s="144"/>
    </row>
    <row r="1315" spans="8:31" x14ac:dyDescent="0.25">
      <c r="H1315" s="144"/>
      <c r="I1315" s="144"/>
      <c r="J1315" s="144"/>
      <c r="K1315" s="144"/>
      <c r="L1315" s="144"/>
      <c r="M1315" s="144"/>
      <c r="N1315" s="144"/>
      <c r="O1315" s="144"/>
      <c r="P1315" s="144"/>
      <c r="Q1315" s="144"/>
      <c r="R1315" s="144"/>
      <c r="S1315" s="144"/>
      <c r="T1315" s="144"/>
      <c r="U1315" s="144"/>
      <c r="V1315" s="144"/>
      <c r="W1315" s="144"/>
      <c r="X1315" s="144"/>
      <c r="Y1315" s="144"/>
      <c r="Z1315" s="144"/>
      <c r="AA1315" s="144"/>
      <c r="AB1315" s="144"/>
      <c r="AC1315" s="144"/>
      <c r="AD1315" s="144"/>
      <c r="AE1315" s="144"/>
    </row>
    <row r="1316" spans="8:31" x14ac:dyDescent="0.25">
      <c r="H1316" s="144"/>
      <c r="I1316" s="144"/>
      <c r="J1316" s="144"/>
      <c r="K1316" s="144"/>
      <c r="L1316" s="144"/>
      <c r="M1316" s="144"/>
      <c r="N1316" s="144"/>
      <c r="O1316" s="144"/>
      <c r="P1316" s="144"/>
      <c r="Q1316" s="144"/>
      <c r="R1316" s="144"/>
      <c r="S1316" s="144"/>
      <c r="T1316" s="144"/>
      <c r="U1316" s="144"/>
      <c r="V1316" s="144"/>
      <c r="W1316" s="144"/>
      <c r="X1316" s="144"/>
      <c r="Y1316" s="144"/>
      <c r="Z1316" s="144"/>
      <c r="AA1316" s="144"/>
      <c r="AB1316" s="144"/>
      <c r="AC1316" s="144"/>
      <c r="AD1316" s="144"/>
      <c r="AE1316" s="144"/>
    </row>
    <row r="1317" spans="8:31" x14ac:dyDescent="0.25">
      <c r="H1317" s="144"/>
      <c r="I1317" s="144"/>
      <c r="J1317" s="144"/>
      <c r="K1317" s="144"/>
      <c r="L1317" s="144"/>
      <c r="M1317" s="144"/>
      <c r="N1317" s="144"/>
      <c r="O1317" s="144"/>
      <c r="P1317" s="144"/>
      <c r="Q1317" s="144"/>
      <c r="R1317" s="144"/>
      <c r="S1317" s="144"/>
      <c r="T1317" s="144"/>
      <c r="U1317" s="144"/>
      <c r="V1317" s="144"/>
      <c r="W1317" s="144"/>
      <c r="X1317" s="144"/>
      <c r="Y1317" s="144"/>
      <c r="Z1317" s="144"/>
      <c r="AA1317" s="144"/>
      <c r="AB1317" s="144"/>
      <c r="AC1317" s="144"/>
      <c r="AD1317" s="144"/>
      <c r="AE1317" s="144"/>
    </row>
    <row r="1318" spans="8:31" x14ac:dyDescent="0.25">
      <c r="H1318" s="144"/>
      <c r="I1318" s="144"/>
      <c r="J1318" s="144"/>
      <c r="K1318" s="144"/>
      <c r="L1318" s="144"/>
      <c r="M1318" s="144"/>
      <c r="N1318" s="144"/>
      <c r="O1318" s="144"/>
      <c r="P1318" s="144"/>
      <c r="Q1318" s="144"/>
      <c r="R1318" s="144"/>
      <c r="S1318" s="144"/>
      <c r="T1318" s="144"/>
      <c r="U1318" s="144"/>
      <c r="V1318" s="144"/>
      <c r="W1318" s="144"/>
      <c r="X1318" s="144"/>
      <c r="Y1318" s="144"/>
      <c r="Z1318" s="144"/>
      <c r="AA1318" s="144"/>
      <c r="AB1318" s="144"/>
      <c r="AC1318" s="144"/>
      <c r="AD1318" s="144"/>
      <c r="AE1318" s="144"/>
    </row>
    <row r="1319" spans="8:31" x14ac:dyDescent="0.25">
      <c r="H1319" s="144"/>
      <c r="I1319" s="144"/>
      <c r="J1319" s="144"/>
      <c r="K1319" s="144"/>
      <c r="L1319" s="144"/>
      <c r="M1319" s="144"/>
      <c r="N1319" s="144"/>
      <c r="O1319" s="144"/>
      <c r="P1319" s="144"/>
      <c r="Q1319" s="144"/>
      <c r="R1319" s="144"/>
      <c r="S1319" s="144"/>
      <c r="T1319" s="144"/>
      <c r="U1319" s="144"/>
      <c r="V1319" s="144"/>
      <c r="W1319" s="144"/>
      <c r="X1319" s="144"/>
      <c r="Y1319" s="144"/>
      <c r="Z1319" s="144"/>
      <c r="AA1319" s="144"/>
      <c r="AB1319" s="144"/>
      <c r="AC1319" s="144"/>
      <c r="AD1319" s="144"/>
      <c r="AE1319" s="144"/>
    </row>
    <row r="1320" spans="8:31" x14ac:dyDescent="0.25">
      <c r="H1320" s="144"/>
      <c r="I1320" s="144"/>
      <c r="J1320" s="144"/>
      <c r="K1320" s="144"/>
      <c r="L1320" s="144"/>
      <c r="M1320" s="144"/>
      <c r="N1320" s="144"/>
      <c r="O1320" s="144"/>
      <c r="P1320" s="144"/>
      <c r="Q1320" s="144"/>
      <c r="R1320" s="144"/>
      <c r="S1320" s="144"/>
      <c r="T1320" s="144"/>
      <c r="U1320" s="144"/>
      <c r="V1320" s="144"/>
      <c r="W1320" s="144"/>
      <c r="X1320" s="144"/>
      <c r="Y1320" s="144"/>
      <c r="Z1320" s="144"/>
      <c r="AA1320" s="144"/>
      <c r="AB1320" s="144"/>
      <c r="AC1320" s="144"/>
      <c r="AD1320" s="144"/>
      <c r="AE1320" s="144"/>
    </row>
    <row r="1321" spans="8:31" x14ac:dyDescent="0.25">
      <c r="H1321" s="144"/>
      <c r="I1321" s="144"/>
      <c r="J1321" s="144"/>
      <c r="K1321" s="144"/>
      <c r="L1321" s="144"/>
      <c r="M1321" s="144"/>
      <c r="N1321" s="144"/>
      <c r="O1321" s="144"/>
      <c r="P1321" s="144"/>
      <c r="Q1321" s="144"/>
      <c r="R1321" s="144"/>
      <c r="S1321" s="144"/>
      <c r="T1321" s="144"/>
      <c r="U1321" s="144"/>
      <c r="V1321" s="144"/>
      <c r="W1321" s="144"/>
      <c r="X1321" s="144"/>
      <c r="Y1321" s="144"/>
      <c r="Z1321" s="144"/>
      <c r="AA1321" s="144"/>
      <c r="AB1321" s="144"/>
      <c r="AC1321" s="144"/>
      <c r="AD1321" s="144"/>
      <c r="AE1321" s="144"/>
    </row>
    <row r="1322" spans="8:31" x14ac:dyDescent="0.25">
      <c r="H1322" s="144"/>
      <c r="I1322" s="144"/>
      <c r="J1322" s="144"/>
      <c r="K1322" s="144"/>
      <c r="L1322" s="144"/>
      <c r="M1322" s="144"/>
      <c r="N1322" s="144"/>
      <c r="O1322" s="144"/>
      <c r="P1322" s="144"/>
      <c r="Q1322" s="144"/>
      <c r="R1322" s="144"/>
      <c r="S1322" s="144"/>
      <c r="T1322" s="144"/>
      <c r="U1322" s="144"/>
      <c r="V1322" s="144"/>
      <c r="W1322" s="144"/>
      <c r="X1322" s="144"/>
      <c r="Y1322" s="144"/>
      <c r="Z1322" s="144"/>
      <c r="AA1322" s="144"/>
      <c r="AB1322" s="144"/>
      <c r="AC1322" s="144"/>
      <c r="AD1322" s="144"/>
      <c r="AE1322" s="144"/>
    </row>
    <row r="1323" spans="8:31" x14ac:dyDescent="0.25">
      <c r="H1323" s="144"/>
      <c r="I1323" s="144"/>
      <c r="J1323" s="144"/>
      <c r="K1323" s="144"/>
      <c r="L1323" s="144"/>
      <c r="M1323" s="144"/>
      <c r="N1323" s="144"/>
      <c r="O1323" s="144"/>
      <c r="P1323" s="144"/>
      <c r="Q1323" s="144"/>
      <c r="R1323" s="144"/>
      <c r="S1323" s="144"/>
      <c r="T1323" s="144"/>
      <c r="U1323" s="144"/>
      <c r="V1323" s="144"/>
      <c r="W1323" s="144"/>
      <c r="X1323" s="144"/>
      <c r="Y1323" s="144"/>
      <c r="Z1323" s="144"/>
      <c r="AA1323" s="144"/>
      <c r="AB1323" s="144"/>
      <c r="AC1323" s="144"/>
      <c r="AD1323" s="144"/>
      <c r="AE1323" s="144"/>
    </row>
    <row r="1324" spans="8:31" x14ac:dyDescent="0.25">
      <c r="H1324" s="144"/>
      <c r="I1324" s="144"/>
      <c r="J1324" s="144"/>
      <c r="K1324" s="144"/>
      <c r="L1324" s="144"/>
      <c r="M1324" s="144"/>
      <c r="N1324" s="144"/>
      <c r="O1324" s="144"/>
      <c r="P1324" s="144"/>
      <c r="Q1324" s="144"/>
      <c r="R1324" s="144"/>
      <c r="S1324" s="144"/>
      <c r="T1324" s="144"/>
      <c r="U1324" s="144"/>
      <c r="V1324" s="144"/>
      <c r="W1324" s="144"/>
      <c r="X1324" s="144"/>
      <c r="Y1324" s="144"/>
      <c r="Z1324" s="144"/>
      <c r="AA1324" s="144"/>
      <c r="AB1324" s="144"/>
      <c r="AC1324" s="144"/>
      <c r="AD1324" s="144"/>
      <c r="AE1324" s="144"/>
    </row>
    <row r="1325" spans="8:31" x14ac:dyDescent="0.25">
      <c r="H1325" s="144"/>
      <c r="I1325" s="144"/>
      <c r="J1325" s="144"/>
      <c r="K1325" s="144"/>
      <c r="L1325" s="144"/>
      <c r="M1325" s="144"/>
      <c r="N1325" s="144"/>
      <c r="O1325" s="144"/>
      <c r="P1325" s="144"/>
      <c r="Q1325" s="144"/>
      <c r="R1325" s="144"/>
      <c r="S1325" s="144"/>
      <c r="T1325" s="144"/>
      <c r="U1325" s="144"/>
      <c r="V1325" s="144"/>
      <c r="W1325" s="144"/>
      <c r="X1325" s="144"/>
      <c r="Y1325" s="144"/>
      <c r="Z1325" s="144"/>
      <c r="AA1325" s="144"/>
      <c r="AB1325" s="144"/>
      <c r="AC1325" s="144"/>
      <c r="AD1325" s="144"/>
      <c r="AE1325" s="144"/>
    </row>
    <row r="1326" spans="8:31" x14ac:dyDescent="0.25">
      <c r="H1326" s="144"/>
      <c r="I1326" s="144"/>
      <c r="J1326" s="144"/>
      <c r="K1326" s="144"/>
      <c r="L1326" s="144"/>
      <c r="M1326" s="144"/>
      <c r="N1326" s="144"/>
      <c r="O1326" s="144"/>
      <c r="P1326" s="144"/>
      <c r="Q1326" s="144"/>
      <c r="R1326" s="144"/>
      <c r="S1326" s="144"/>
      <c r="T1326" s="144"/>
      <c r="U1326" s="144"/>
      <c r="V1326" s="144"/>
      <c r="W1326" s="144"/>
      <c r="X1326" s="144"/>
      <c r="Y1326" s="144"/>
      <c r="Z1326" s="144"/>
      <c r="AA1326" s="144"/>
      <c r="AB1326" s="144"/>
      <c r="AC1326" s="144"/>
      <c r="AD1326" s="144"/>
      <c r="AE1326" s="144"/>
    </row>
    <row r="1327" spans="8:31" x14ac:dyDescent="0.25">
      <c r="H1327" s="144"/>
      <c r="I1327" s="144"/>
      <c r="J1327" s="144"/>
      <c r="K1327" s="144"/>
      <c r="L1327" s="144"/>
      <c r="M1327" s="144"/>
      <c r="N1327" s="144"/>
      <c r="O1327" s="144"/>
      <c r="P1327" s="144"/>
      <c r="Q1327" s="144"/>
      <c r="R1327" s="144"/>
      <c r="S1327" s="144"/>
      <c r="T1327" s="144"/>
      <c r="U1327" s="144"/>
      <c r="V1327" s="144"/>
      <c r="W1327" s="144"/>
      <c r="X1327" s="144"/>
      <c r="Y1327" s="144"/>
      <c r="Z1327" s="144"/>
      <c r="AA1327" s="144"/>
      <c r="AB1327" s="144"/>
      <c r="AC1327" s="144"/>
      <c r="AD1327" s="144"/>
      <c r="AE1327" s="144"/>
    </row>
    <row r="1328" spans="8:31" x14ac:dyDescent="0.25">
      <c r="H1328" s="144"/>
      <c r="I1328" s="144"/>
      <c r="J1328" s="144"/>
      <c r="K1328" s="144"/>
      <c r="L1328" s="144"/>
      <c r="M1328" s="144"/>
      <c r="N1328" s="144"/>
      <c r="O1328" s="144"/>
      <c r="P1328" s="144"/>
      <c r="Q1328" s="144"/>
      <c r="R1328" s="144"/>
      <c r="S1328" s="144"/>
      <c r="T1328" s="144"/>
      <c r="U1328" s="144"/>
      <c r="V1328" s="144"/>
      <c r="W1328" s="144"/>
      <c r="X1328" s="144"/>
      <c r="Y1328" s="144"/>
      <c r="Z1328" s="144"/>
      <c r="AA1328" s="144"/>
      <c r="AB1328" s="144"/>
      <c r="AC1328" s="144"/>
      <c r="AD1328" s="144"/>
      <c r="AE1328" s="144"/>
    </row>
    <row r="1329" spans="8:31" x14ac:dyDescent="0.25">
      <c r="H1329" s="144"/>
      <c r="I1329" s="144"/>
      <c r="J1329" s="144"/>
      <c r="K1329" s="144"/>
      <c r="L1329" s="144"/>
      <c r="M1329" s="144"/>
      <c r="N1329" s="144"/>
      <c r="O1329" s="144"/>
      <c r="P1329" s="144"/>
      <c r="Q1329" s="144"/>
      <c r="R1329" s="144"/>
      <c r="S1329" s="144"/>
      <c r="T1329" s="144"/>
      <c r="U1329" s="144"/>
      <c r="V1329" s="144"/>
      <c r="W1329" s="144"/>
      <c r="X1329" s="144"/>
      <c r="Y1329" s="144"/>
      <c r="Z1329" s="144"/>
      <c r="AA1329" s="144"/>
      <c r="AB1329" s="144"/>
      <c r="AC1329" s="144"/>
      <c r="AD1329" s="144"/>
      <c r="AE1329" s="144"/>
    </row>
    <row r="1330" spans="8:31" x14ac:dyDescent="0.25">
      <c r="H1330" s="144"/>
      <c r="I1330" s="144"/>
      <c r="J1330" s="144"/>
      <c r="K1330" s="144"/>
      <c r="L1330" s="144"/>
      <c r="M1330" s="144"/>
      <c r="N1330" s="144"/>
      <c r="O1330" s="144"/>
      <c r="P1330" s="144"/>
      <c r="Q1330" s="144"/>
      <c r="R1330" s="144"/>
      <c r="S1330" s="144"/>
      <c r="T1330" s="144"/>
      <c r="U1330" s="144"/>
      <c r="V1330" s="144"/>
      <c r="W1330" s="144"/>
      <c r="X1330" s="144"/>
      <c r="Y1330" s="144"/>
      <c r="Z1330" s="144"/>
      <c r="AA1330" s="144"/>
      <c r="AB1330" s="144"/>
      <c r="AC1330" s="144"/>
      <c r="AD1330" s="144"/>
      <c r="AE1330" s="144"/>
    </row>
    <row r="1331" spans="8:31" x14ac:dyDescent="0.25">
      <c r="H1331" s="144"/>
      <c r="I1331" s="144"/>
      <c r="J1331" s="144"/>
      <c r="K1331" s="144"/>
      <c r="L1331" s="144"/>
      <c r="M1331" s="144"/>
      <c r="N1331" s="144"/>
      <c r="O1331" s="144"/>
      <c r="P1331" s="144"/>
      <c r="Q1331" s="144"/>
      <c r="R1331" s="144"/>
      <c r="S1331" s="144"/>
      <c r="T1331" s="144"/>
      <c r="U1331" s="144"/>
      <c r="V1331" s="144"/>
      <c r="W1331" s="144"/>
      <c r="X1331" s="144"/>
      <c r="Y1331" s="144"/>
      <c r="Z1331" s="144"/>
      <c r="AA1331" s="144"/>
      <c r="AB1331" s="144"/>
      <c r="AC1331" s="144"/>
      <c r="AD1331" s="144"/>
      <c r="AE1331" s="144"/>
    </row>
    <row r="1332" spans="8:31" x14ac:dyDescent="0.25">
      <c r="H1332" s="144"/>
      <c r="I1332" s="144"/>
      <c r="J1332" s="144"/>
      <c r="K1332" s="144"/>
      <c r="L1332" s="144"/>
      <c r="M1332" s="144"/>
      <c r="N1332" s="144"/>
      <c r="O1332" s="144"/>
      <c r="P1332" s="144"/>
      <c r="Q1332" s="144"/>
      <c r="R1332" s="144"/>
      <c r="S1332" s="144"/>
      <c r="T1332" s="144"/>
      <c r="U1332" s="144"/>
      <c r="V1332" s="144"/>
      <c r="W1332" s="144"/>
      <c r="X1332" s="144"/>
      <c r="Y1332" s="144"/>
      <c r="Z1332" s="144"/>
      <c r="AA1332" s="144"/>
      <c r="AB1332" s="144"/>
      <c r="AC1332" s="144"/>
      <c r="AD1332" s="144"/>
      <c r="AE1332" s="144"/>
    </row>
    <row r="1333" spans="8:31" x14ac:dyDescent="0.25">
      <c r="H1333" s="144"/>
      <c r="I1333" s="144"/>
      <c r="J1333" s="144"/>
      <c r="K1333" s="144"/>
      <c r="L1333" s="144"/>
      <c r="M1333" s="144"/>
      <c r="N1333" s="144"/>
      <c r="O1333" s="144"/>
      <c r="P1333" s="144"/>
      <c r="Q1333" s="144"/>
      <c r="R1333" s="144"/>
      <c r="S1333" s="144"/>
      <c r="T1333" s="144"/>
      <c r="U1333" s="144"/>
      <c r="V1333" s="144"/>
      <c r="W1333" s="144"/>
      <c r="X1333" s="144"/>
      <c r="Y1333" s="144"/>
      <c r="Z1333" s="144"/>
      <c r="AA1333" s="144"/>
      <c r="AB1333" s="144"/>
      <c r="AC1333" s="144"/>
      <c r="AD1333" s="144"/>
      <c r="AE1333" s="144"/>
    </row>
    <row r="1334" spans="8:31" x14ac:dyDescent="0.25">
      <c r="H1334" s="144"/>
      <c r="I1334" s="144"/>
      <c r="J1334" s="144"/>
      <c r="K1334" s="144"/>
      <c r="L1334" s="144"/>
      <c r="M1334" s="144"/>
      <c r="N1334" s="144"/>
      <c r="O1334" s="144"/>
      <c r="P1334" s="144"/>
      <c r="Q1334" s="144"/>
      <c r="R1334" s="144"/>
      <c r="S1334" s="144"/>
      <c r="T1334" s="144"/>
      <c r="U1334" s="144"/>
      <c r="V1334" s="144"/>
      <c r="W1334" s="144"/>
      <c r="X1334" s="144"/>
      <c r="Y1334" s="144"/>
      <c r="Z1334" s="144"/>
      <c r="AA1334" s="144"/>
      <c r="AB1334" s="144"/>
      <c r="AC1334" s="144"/>
      <c r="AD1334" s="144"/>
      <c r="AE1334" s="144"/>
    </row>
    <row r="1335" spans="8:31" x14ac:dyDescent="0.25">
      <c r="H1335" s="144"/>
      <c r="I1335" s="144"/>
      <c r="J1335" s="144"/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</row>
    <row r="1336" spans="8:31" x14ac:dyDescent="0.25">
      <c r="H1336" s="144"/>
      <c r="I1336" s="144"/>
      <c r="J1336" s="144"/>
      <c r="K1336" s="144"/>
      <c r="L1336" s="144"/>
      <c r="M1336" s="144"/>
      <c r="N1336" s="144"/>
      <c r="O1336" s="144"/>
      <c r="P1336" s="144"/>
      <c r="Q1336" s="144"/>
      <c r="R1336" s="144"/>
      <c r="S1336" s="144"/>
      <c r="T1336" s="144"/>
      <c r="U1336" s="144"/>
      <c r="V1336" s="144"/>
      <c r="W1336" s="144"/>
      <c r="X1336" s="144"/>
      <c r="Y1336" s="144"/>
      <c r="Z1336" s="144"/>
      <c r="AA1336" s="144"/>
      <c r="AB1336" s="144"/>
      <c r="AC1336" s="144"/>
      <c r="AD1336" s="144"/>
      <c r="AE1336" s="144"/>
    </row>
    <row r="1337" spans="8:31" x14ac:dyDescent="0.25">
      <c r="H1337" s="144"/>
      <c r="I1337" s="144"/>
      <c r="J1337" s="144"/>
      <c r="K1337" s="144"/>
      <c r="L1337" s="144"/>
      <c r="M1337" s="144"/>
      <c r="N1337" s="144"/>
      <c r="O1337" s="144"/>
      <c r="P1337" s="144"/>
      <c r="Q1337" s="144"/>
      <c r="R1337" s="144"/>
      <c r="S1337" s="144"/>
      <c r="T1337" s="144"/>
      <c r="U1337" s="144"/>
      <c r="V1337" s="144"/>
      <c r="W1337" s="144"/>
      <c r="X1337" s="144"/>
      <c r="Y1337" s="144"/>
      <c r="Z1337" s="144"/>
      <c r="AA1337" s="144"/>
      <c r="AB1337" s="144"/>
      <c r="AC1337" s="144"/>
      <c r="AD1337" s="144"/>
      <c r="AE1337" s="144"/>
    </row>
    <row r="1338" spans="8:31" x14ac:dyDescent="0.25">
      <c r="H1338" s="144"/>
      <c r="I1338" s="144"/>
      <c r="J1338" s="144"/>
      <c r="K1338" s="144"/>
      <c r="L1338" s="144"/>
      <c r="M1338" s="144"/>
      <c r="N1338" s="144"/>
      <c r="O1338" s="144"/>
      <c r="P1338" s="144"/>
      <c r="Q1338" s="144"/>
      <c r="R1338" s="144"/>
      <c r="S1338" s="144"/>
      <c r="T1338" s="144"/>
      <c r="U1338" s="144"/>
      <c r="V1338" s="144"/>
      <c r="W1338" s="144"/>
      <c r="X1338" s="144"/>
      <c r="Y1338" s="144"/>
      <c r="Z1338" s="144"/>
      <c r="AA1338" s="144"/>
      <c r="AB1338" s="144"/>
      <c r="AC1338" s="144"/>
      <c r="AD1338" s="144"/>
      <c r="AE1338" s="144"/>
    </row>
    <row r="1339" spans="8:31" x14ac:dyDescent="0.25">
      <c r="H1339" s="144"/>
      <c r="I1339" s="144"/>
      <c r="J1339" s="144"/>
      <c r="K1339" s="144"/>
      <c r="L1339" s="144"/>
      <c r="M1339" s="144"/>
      <c r="N1339" s="144"/>
      <c r="O1339" s="144"/>
      <c r="P1339" s="144"/>
      <c r="Q1339" s="144"/>
      <c r="R1339" s="144"/>
      <c r="S1339" s="144"/>
      <c r="T1339" s="144"/>
      <c r="U1339" s="144"/>
      <c r="V1339" s="144"/>
      <c r="W1339" s="144"/>
      <c r="X1339" s="144"/>
      <c r="Y1339" s="144"/>
      <c r="Z1339" s="144"/>
      <c r="AA1339" s="144"/>
      <c r="AB1339" s="144"/>
      <c r="AC1339" s="144"/>
      <c r="AD1339" s="144"/>
      <c r="AE1339" s="144"/>
    </row>
    <row r="1340" spans="8:31" x14ac:dyDescent="0.25">
      <c r="H1340" s="144"/>
      <c r="I1340" s="144"/>
      <c r="J1340" s="144"/>
      <c r="K1340" s="144"/>
      <c r="L1340" s="144"/>
      <c r="M1340" s="144"/>
      <c r="N1340" s="144"/>
      <c r="O1340" s="144"/>
      <c r="P1340" s="144"/>
      <c r="Q1340" s="144"/>
      <c r="R1340" s="144"/>
      <c r="S1340" s="144"/>
      <c r="T1340" s="144"/>
      <c r="U1340" s="144"/>
      <c r="V1340" s="144"/>
      <c r="W1340" s="144"/>
      <c r="X1340" s="144"/>
      <c r="Y1340" s="144"/>
      <c r="Z1340" s="144"/>
      <c r="AA1340" s="144"/>
      <c r="AB1340" s="144"/>
      <c r="AC1340" s="144"/>
      <c r="AD1340" s="144"/>
      <c r="AE1340" s="144"/>
    </row>
    <row r="1341" spans="8:31" x14ac:dyDescent="0.25">
      <c r="H1341" s="144"/>
      <c r="I1341" s="144"/>
      <c r="J1341" s="144"/>
      <c r="K1341" s="144"/>
      <c r="L1341" s="144"/>
      <c r="M1341" s="144"/>
      <c r="N1341" s="144"/>
      <c r="O1341" s="144"/>
      <c r="P1341" s="144"/>
      <c r="Q1341" s="144"/>
      <c r="R1341" s="144"/>
      <c r="S1341" s="144"/>
      <c r="T1341" s="144"/>
      <c r="U1341" s="144"/>
      <c r="V1341" s="144"/>
      <c r="W1341" s="144"/>
      <c r="X1341" s="144"/>
      <c r="Y1341" s="144"/>
      <c r="Z1341" s="144"/>
      <c r="AA1341" s="144"/>
      <c r="AB1341" s="144"/>
      <c r="AC1341" s="144"/>
      <c r="AD1341" s="144"/>
      <c r="AE1341" s="144"/>
    </row>
    <row r="1342" spans="8:31" x14ac:dyDescent="0.25">
      <c r="H1342" s="144"/>
      <c r="I1342" s="144"/>
      <c r="J1342" s="144"/>
      <c r="K1342" s="144"/>
      <c r="L1342" s="144"/>
      <c r="M1342" s="144"/>
      <c r="N1342" s="144"/>
      <c r="O1342" s="144"/>
      <c r="P1342" s="144"/>
      <c r="Q1342" s="144"/>
      <c r="R1342" s="144"/>
      <c r="S1342" s="144"/>
      <c r="T1342" s="144"/>
      <c r="U1342" s="144"/>
      <c r="V1342" s="144"/>
      <c r="W1342" s="144"/>
      <c r="X1342" s="144"/>
      <c r="Y1342" s="144"/>
      <c r="Z1342" s="144"/>
      <c r="AA1342" s="144"/>
      <c r="AB1342" s="144"/>
      <c r="AC1342" s="144"/>
      <c r="AD1342" s="144"/>
      <c r="AE1342" s="144"/>
    </row>
    <row r="1343" spans="8:31" x14ac:dyDescent="0.25">
      <c r="H1343" s="144"/>
      <c r="I1343" s="144"/>
      <c r="J1343" s="144"/>
      <c r="K1343" s="144"/>
      <c r="L1343" s="144"/>
      <c r="M1343" s="144"/>
      <c r="N1343" s="144"/>
      <c r="O1343" s="144"/>
      <c r="P1343" s="144"/>
      <c r="Q1343" s="144"/>
      <c r="R1343" s="144"/>
      <c r="S1343" s="144"/>
      <c r="T1343" s="144"/>
      <c r="U1343" s="144"/>
      <c r="V1343" s="144"/>
      <c r="W1343" s="144"/>
      <c r="X1343" s="144"/>
      <c r="Y1343" s="144"/>
      <c r="Z1343" s="144"/>
      <c r="AA1343" s="144"/>
      <c r="AB1343" s="144"/>
      <c r="AC1343" s="144"/>
      <c r="AD1343" s="144"/>
      <c r="AE1343" s="144"/>
    </row>
    <row r="1344" spans="8:31" x14ac:dyDescent="0.25">
      <c r="H1344" s="144"/>
      <c r="I1344" s="144"/>
      <c r="J1344" s="144"/>
      <c r="K1344" s="144"/>
      <c r="L1344" s="144"/>
      <c r="M1344" s="144"/>
      <c r="N1344" s="144"/>
      <c r="O1344" s="144"/>
      <c r="P1344" s="144"/>
      <c r="Q1344" s="144"/>
      <c r="R1344" s="144"/>
      <c r="S1344" s="144"/>
      <c r="T1344" s="144"/>
      <c r="U1344" s="144"/>
      <c r="V1344" s="144"/>
      <c r="W1344" s="144"/>
      <c r="X1344" s="144"/>
      <c r="Y1344" s="144"/>
      <c r="Z1344" s="144"/>
      <c r="AA1344" s="144"/>
      <c r="AB1344" s="144"/>
      <c r="AC1344" s="144"/>
      <c r="AD1344" s="144"/>
      <c r="AE1344" s="144"/>
    </row>
    <row r="1345" spans="8:31" x14ac:dyDescent="0.25">
      <c r="H1345" s="144"/>
      <c r="I1345" s="144"/>
      <c r="J1345" s="144"/>
      <c r="K1345" s="144"/>
      <c r="L1345" s="144"/>
      <c r="M1345" s="144"/>
      <c r="N1345" s="144"/>
      <c r="O1345" s="144"/>
      <c r="P1345" s="144"/>
      <c r="Q1345" s="144"/>
      <c r="R1345" s="144"/>
      <c r="S1345" s="144"/>
      <c r="T1345" s="144"/>
      <c r="U1345" s="144"/>
      <c r="V1345" s="144"/>
      <c r="W1345" s="144"/>
      <c r="X1345" s="144"/>
      <c r="Y1345" s="144"/>
      <c r="Z1345" s="144"/>
      <c r="AA1345" s="144"/>
      <c r="AB1345" s="144"/>
      <c r="AC1345" s="144"/>
      <c r="AD1345" s="144"/>
      <c r="AE1345" s="144"/>
    </row>
    <row r="1346" spans="8:31" x14ac:dyDescent="0.25">
      <c r="H1346" s="144"/>
      <c r="I1346" s="144"/>
      <c r="J1346" s="144"/>
      <c r="K1346" s="144"/>
      <c r="L1346" s="144"/>
      <c r="M1346" s="144"/>
      <c r="N1346" s="144"/>
      <c r="O1346" s="144"/>
      <c r="P1346" s="144"/>
      <c r="Q1346" s="144"/>
      <c r="R1346" s="144"/>
      <c r="S1346" s="144"/>
      <c r="T1346" s="144"/>
      <c r="U1346" s="144"/>
      <c r="V1346" s="144"/>
      <c r="W1346" s="144"/>
      <c r="X1346" s="144"/>
      <c r="Y1346" s="144"/>
      <c r="Z1346" s="144"/>
      <c r="AA1346" s="144"/>
      <c r="AB1346" s="144"/>
      <c r="AC1346" s="144"/>
      <c r="AD1346" s="144"/>
      <c r="AE1346" s="144"/>
    </row>
    <row r="1347" spans="8:31" x14ac:dyDescent="0.25">
      <c r="H1347" s="144"/>
      <c r="I1347" s="144"/>
      <c r="J1347" s="144"/>
      <c r="K1347" s="144"/>
      <c r="L1347" s="144"/>
      <c r="M1347" s="144"/>
      <c r="N1347" s="144"/>
      <c r="O1347" s="144"/>
      <c r="P1347" s="144"/>
      <c r="Q1347" s="144"/>
      <c r="R1347" s="144"/>
      <c r="S1347" s="144"/>
      <c r="T1347" s="144"/>
      <c r="U1347" s="144"/>
      <c r="V1347" s="144"/>
      <c r="W1347" s="144"/>
      <c r="X1347" s="144"/>
      <c r="Y1347" s="144"/>
      <c r="Z1347" s="144"/>
      <c r="AA1347" s="144"/>
      <c r="AB1347" s="144"/>
      <c r="AC1347" s="144"/>
      <c r="AD1347" s="144"/>
      <c r="AE1347" s="144"/>
    </row>
    <row r="1348" spans="8:31" x14ac:dyDescent="0.25">
      <c r="H1348" s="144"/>
      <c r="I1348" s="144"/>
      <c r="J1348" s="144"/>
      <c r="K1348" s="144"/>
      <c r="L1348" s="144"/>
      <c r="M1348" s="144"/>
      <c r="N1348" s="144"/>
      <c r="O1348" s="144"/>
      <c r="P1348" s="144"/>
      <c r="Q1348" s="144"/>
      <c r="R1348" s="144"/>
      <c r="S1348" s="144"/>
      <c r="T1348" s="144"/>
      <c r="U1348" s="144"/>
      <c r="V1348" s="144"/>
      <c r="W1348" s="144"/>
      <c r="X1348" s="144"/>
      <c r="Y1348" s="144"/>
      <c r="Z1348" s="144"/>
      <c r="AA1348" s="144"/>
      <c r="AB1348" s="144"/>
      <c r="AC1348" s="144"/>
      <c r="AD1348" s="144"/>
      <c r="AE1348" s="144"/>
    </row>
    <row r="1349" spans="8:31" x14ac:dyDescent="0.25">
      <c r="H1349" s="144"/>
      <c r="I1349" s="144"/>
      <c r="J1349" s="144"/>
      <c r="K1349" s="144"/>
      <c r="L1349" s="144"/>
      <c r="M1349" s="144"/>
      <c r="N1349" s="144"/>
      <c r="O1349" s="144"/>
      <c r="P1349" s="144"/>
      <c r="Q1349" s="144"/>
      <c r="R1349" s="144"/>
      <c r="S1349" s="144"/>
      <c r="T1349" s="144"/>
      <c r="U1349" s="144"/>
      <c r="V1349" s="144"/>
      <c r="W1349" s="144"/>
      <c r="X1349" s="144"/>
      <c r="Y1349" s="144"/>
      <c r="Z1349" s="144"/>
      <c r="AA1349" s="144"/>
      <c r="AB1349" s="144"/>
      <c r="AC1349" s="144"/>
      <c r="AD1349" s="144"/>
      <c r="AE1349" s="144"/>
    </row>
    <row r="1350" spans="8:31" x14ac:dyDescent="0.25">
      <c r="H1350" s="144"/>
      <c r="I1350" s="144"/>
      <c r="J1350" s="144"/>
      <c r="K1350" s="144"/>
      <c r="L1350" s="144"/>
      <c r="M1350" s="144"/>
      <c r="N1350" s="144"/>
      <c r="O1350" s="144"/>
      <c r="P1350" s="144"/>
      <c r="Q1350" s="144"/>
      <c r="R1350" s="144"/>
      <c r="S1350" s="144"/>
      <c r="T1350" s="144"/>
      <c r="U1350" s="144"/>
      <c r="V1350" s="144"/>
      <c r="W1350" s="144"/>
      <c r="X1350" s="144"/>
      <c r="Y1350" s="144"/>
      <c r="Z1350" s="144"/>
      <c r="AA1350" s="144"/>
      <c r="AB1350" s="144"/>
      <c r="AC1350" s="144"/>
      <c r="AD1350" s="144"/>
      <c r="AE1350" s="144"/>
    </row>
    <row r="1351" spans="8:31" x14ac:dyDescent="0.25">
      <c r="H1351" s="144"/>
      <c r="I1351" s="144"/>
      <c r="J1351" s="144"/>
      <c r="K1351" s="144"/>
      <c r="L1351" s="144"/>
      <c r="M1351" s="144"/>
      <c r="N1351" s="144"/>
      <c r="O1351" s="144"/>
      <c r="P1351" s="144"/>
      <c r="Q1351" s="144"/>
      <c r="R1351" s="144"/>
      <c r="S1351" s="144"/>
      <c r="T1351" s="144"/>
      <c r="U1351" s="144"/>
      <c r="V1351" s="144"/>
      <c r="W1351" s="144"/>
      <c r="X1351" s="144"/>
      <c r="Y1351" s="144"/>
      <c r="Z1351" s="144"/>
      <c r="AA1351" s="144"/>
      <c r="AB1351" s="144"/>
      <c r="AC1351" s="144"/>
      <c r="AD1351" s="144"/>
      <c r="AE1351" s="144"/>
    </row>
    <row r="1352" spans="8:31" x14ac:dyDescent="0.25">
      <c r="H1352" s="144"/>
      <c r="I1352" s="144"/>
      <c r="J1352" s="144"/>
      <c r="K1352" s="144"/>
      <c r="L1352" s="144"/>
      <c r="M1352" s="144"/>
      <c r="N1352" s="144"/>
      <c r="O1352" s="144"/>
      <c r="P1352" s="144"/>
      <c r="Q1352" s="144"/>
      <c r="R1352" s="144"/>
      <c r="S1352" s="144"/>
      <c r="T1352" s="144"/>
      <c r="U1352" s="144"/>
      <c r="V1352" s="144"/>
      <c r="W1352" s="144"/>
      <c r="X1352" s="144"/>
      <c r="Y1352" s="144"/>
      <c r="Z1352" s="144"/>
      <c r="AA1352" s="144"/>
      <c r="AB1352" s="144"/>
      <c r="AC1352" s="144"/>
      <c r="AD1352" s="144"/>
      <c r="AE1352" s="144"/>
    </row>
    <row r="1353" spans="8:31" x14ac:dyDescent="0.25">
      <c r="H1353" s="144"/>
      <c r="I1353" s="144"/>
      <c r="J1353" s="144"/>
      <c r="K1353" s="144"/>
      <c r="L1353" s="144"/>
      <c r="M1353" s="144"/>
      <c r="N1353" s="144"/>
      <c r="O1353" s="144"/>
      <c r="P1353" s="144"/>
      <c r="Q1353" s="144"/>
      <c r="R1353" s="144"/>
      <c r="S1353" s="144"/>
      <c r="T1353" s="144"/>
      <c r="U1353" s="144"/>
      <c r="V1353" s="144"/>
      <c r="W1353" s="144"/>
      <c r="X1353" s="144"/>
      <c r="Y1353" s="144"/>
      <c r="Z1353" s="144"/>
      <c r="AA1353" s="144"/>
      <c r="AB1353" s="144"/>
      <c r="AC1353" s="144"/>
      <c r="AD1353" s="144"/>
      <c r="AE1353" s="144"/>
    </row>
    <row r="1354" spans="8:31" x14ac:dyDescent="0.25">
      <c r="H1354" s="144"/>
      <c r="I1354" s="144"/>
      <c r="J1354" s="144"/>
      <c r="K1354" s="144"/>
      <c r="L1354" s="144"/>
      <c r="M1354" s="144"/>
      <c r="N1354" s="144"/>
      <c r="O1354" s="144"/>
      <c r="P1354" s="144"/>
      <c r="Q1354" s="144"/>
      <c r="R1354" s="144"/>
      <c r="S1354" s="144"/>
      <c r="T1354" s="144"/>
      <c r="U1354" s="144"/>
      <c r="V1354" s="144"/>
      <c r="W1354" s="144"/>
      <c r="X1354" s="144"/>
      <c r="Y1354" s="144"/>
      <c r="Z1354" s="144"/>
      <c r="AA1354" s="144"/>
      <c r="AB1354" s="144"/>
      <c r="AC1354" s="144"/>
      <c r="AD1354" s="144"/>
      <c r="AE1354" s="144"/>
    </row>
    <row r="1355" spans="8:31" x14ac:dyDescent="0.25">
      <c r="H1355" s="144"/>
      <c r="I1355" s="144"/>
      <c r="J1355" s="144"/>
      <c r="K1355" s="144"/>
      <c r="L1355" s="144"/>
      <c r="M1355" s="144"/>
      <c r="N1355" s="144"/>
      <c r="O1355" s="144"/>
      <c r="P1355" s="144"/>
      <c r="Q1355" s="144"/>
      <c r="R1355" s="144"/>
      <c r="S1355" s="144"/>
      <c r="T1355" s="144"/>
      <c r="U1355" s="144"/>
      <c r="V1355" s="144"/>
      <c r="W1355" s="144"/>
      <c r="X1355" s="144"/>
      <c r="Y1355" s="144"/>
      <c r="Z1355" s="144"/>
      <c r="AA1355" s="144"/>
      <c r="AB1355" s="144"/>
      <c r="AC1355" s="144"/>
      <c r="AD1355" s="144"/>
      <c r="AE1355" s="144"/>
    </row>
    <row r="1356" spans="8:31" x14ac:dyDescent="0.25">
      <c r="H1356" s="144"/>
      <c r="I1356" s="144"/>
      <c r="J1356" s="144"/>
      <c r="K1356" s="144"/>
      <c r="L1356" s="144"/>
      <c r="M1356" s="144"/>
      <c r="N1356" s="144"/>
      <c r="O1356" s="144"/>
      <c r="P1356" s="144"/>
      <c r="Q1356" s="144"/>
      <c r="R1356" s="144"/>
      <c r="S1356" s="144"/>
      <c r="T1356" s="144"/>
      <c r="U1356" s="144"/>
      <c r="V1356" s="144"/>
      <c r="W1356" s="144"/>
      <c r="X1356" s="144"/>
      <c r="Y1356" s="144"/>
      <c r="Z1356" s="144"/>
      <c r="AA1356" s="144"/>
      <c r="AB1356" s="144"/>
      <c r="AC1356" s="144"/>
      <c r="AD1356" s="144"/>
      <c r="AE1356" s="144"/>
    </row>
    <row r="1357" spans="8:31" x14ac:dyDescent="0.25">
      <c r="H1357" s="144"/>
      <c r="I1357" s="144"/>
      <c r="J1357" s="144"/>
      <c r="K1357" s="144"/>
      <c r="L1357" s="144"/>
      <c r="M1357" s="144"/>
      <c r="N1357" s="144"/>
      <c r="O1357" s="144"/>
      <c r="P1357" s="144"/>
      <c r="Q1357" s="144"/>
      <c r="R1357" s="144"/>
      <c r="S1357" s="144"/>
      <c r="T1357" s="144"/>
      <c r="U1357" s="144"/>
      <c r="V1357" s="144"/>
      <c r="W1357" s="144"/>
      <c r="X1357" s="144"/>
      <c r="Y1357" s="144"/>
      <c r="Z1357" s="144"/>
      <c r="AA1357" s="144"/>
      <c r="AB1357" s="144"/>
      <c r="AC1357" s="144"/>
      <c r="AD1357" s="144"/>
      <c r="AE1357" s="144"/>
    </row>
    <row r="1358" spans="8:31" x14ac:dyDescent="0.25">
      <c r="H1358" s="144"/>
      <c r="I1358" s="144"/>
      <c r="J1358" s="144"/>
      <c r="K1358" s="144"/>
      <c r="L1358" s="144"/>
      <c r="M1358" s="144"/>
      <c r="N1358" s="144"/>
      <c r="O1358" s="144"/>
      <c r="P1358" s="144"/>
      <c r="Q1358" s="144"/>
      <c r="R1358" s="144"/>
      <c r="S1358" s="144"/>
      <c r="T1358" s="144"/>
      <c r="U1358" s="144"/>
      <c r="V1358" s="144"/>
      <c r="W1358" s="144"/>
      <c r="X1358" s="144"/>
      <c r="Y1358" s="144"/>
      <c r="Z1358" s="144"/>
      <c r="AA1358" s="144"/>
      <c r="AB1358" s="144"/>
      <c r="AC1358" s="144"/>
      <c r="AD1358" s="144"/>
      <c r="AE1358" s="144"/>
    </row>
    <row r="1359" spans="8:31" x14ac:dyDescent="0.25">
      <c r="H1359" s="144"/>
      <c r="I1359" s="144"/>
      <c r="J1359" s="144"/>
      <c r="K1359" s="144"/>
      <c r="L1359" s="144"/>
      <c r="M1359" s="144"/>
      <c r="N1359" s="144"/>
      <c r="O1359" s="144"/>
      <c r="P1359" s="144"/>
      <c r="Q1359" s="144"/>
      <c r="R1359" s="144"/>
      <c r="S1359" s="144"/>
      <c r="T1359" s="144"/>
      <c r="U1359" s="144"/>
      <c r="V1359" s="144"/>
      <c r="W1359" s="144"/>
      <c r="X1359" s="144"/>
      <c r="Y1359" s="144"/>
      <c r="Z1359" s="144"/>
      <c r="AA1359" s="144"/>
      <c r="AB1359" s="144"/>
      <c r="AC1359" s="144"/>
      <c r="AD1359" s="144"/>
      <c r="AE1359" s="144"/>
    </row>
    <row r="1360" spans="8:31" x14ac:dyDescent="0.25">
      <c r="H1360" s="144"/>
      <c r="I1360" s="144"/>
      <c r="J1360" s="144"/>
      <c r="K1360" s="144"/>
      <c r="L1360" s="144"/>
      <c r="M1360" s="144"/>
      <c r="N1360" s="144"/>
      <c r="O1360" s="144"/>
      <c r="P1360" s="144"/>
      <c r="Q1360" s="144"/>
      <c r="R1360" s="144"/>
      <c r="S1360" s="144"/>
      <c r="T1360" s="144"/>
      <c r="U1360" s="144"/>
      <c r="V1360" s="144"/>
      <c r="W1360" s="144"/>
      <c r="X1360" s="144"/>
      <c r="Y1360" s="144"/>
      <c r="Z1360" s="144"/>
      <c r="AA1360" s="144"/>
      <c r="AB1360" s="144"/>
      <c r="AC1360" s="144"/>
      <c r="AD1360" s="144"/>
      <c r="AE1360" s="144"/>
    </row>
    <row r="1361" spans="8:31" x14ac:dyDescent="0.25">
      <c r="H1361" s="144"/>
      <c r="I1361" s="144"/>
      <c r="J1361" s="144"/>
      <c r="K1361" s="144"/>
      <c r="L1361" s="144"/>
      <c r="M1361" s="144"/>
      <c r="N1361" s="144"/>
      <c r="O1361" s="144"/>
      <c r="P1361" s="144"/>
      <c r="Q1361" s="144"/>
      <c r="R1361" s="144"/>
      <c r="S1361" s="144"/>
      <c r="T1361" s="144"/>
      <c r="U1361" s="144"/>
      <c r="V1361" s="144"/>
      <c r="W1361" s="144"/>
      <c r="X1361" s="144"/>
      <c r="Y1361" s="144"/>
      <c r="Z1361" s="144"/>
      <c r="AA1361" s="144"/>
      <c r="AB1361" s="144"/>
      <c r="AC1361" s="144"/>
      <c r="AD1361" s="144"/>
      <c r="AE1361" s="144"/>
    </row>
    <row r="1362" spans="8:31" x14ac:dyDescent="0.25">
      <c r="H1362" s="144"/>
      <c r="I1362" s="144"/>
      <c r="J1362" s="144"/>
      <c r="K1362" s="144"/>
      <c r="L1362" s="144"/>
      <c r="M1362" s="144"/>
      <c r="N1362" s="144"/>
      <c r="O1362" s="144"/>
      <c r="P1362" s="144"/>
      <c r="Q1362" s="144"/>
      <c r="R1362" s="144"/>
      <c r="S1362" s="144"/>
      <c r="T1362" s="144"/>
      <c r="U1362" s="144"/>
      <c r="V1362" s="144"/>
      <c r="W1362" s="144"/>
      <c r="X1362" s="144"/>
      <c r="Y1362" s="144"/>
      <c r="Z1362" s="144"/>
      <c r="AA1362" s="144"/>
      <c r="AB1362" s="144"/>
      <c r="AC1362" s="144"/>
      <c r="AD1362" s="144"/>
      <c r="AE1362" s="144"/>
    </row>
    <row r="1363" spans="8:31" x14ac:dyDescent="0.25">
      <c r="H1363" s="144"/>
      <c r="I1363" s="144"/>
      <c r="J1363" s="144"/>
      <c r="K1363" s="144"/>
      <c r="L1363" s="144"/>
      <c r="M1363" s="144"/>
      <c r="N1363" s="144"/>
      <c r="O1363" s="144"/>
      <c r="P1363" s="144"/>
      <c r="Q1363" s="144"/>
      <c r="R1363" s="144"/>
      <c r="S1363" s="144"/>
      <c r="T1363" s="144"/>
      <c r="U1363" s="144"/>
      <c r="V1363" s="144"/>
      <c r="W1363" s="144"/>
      <c r="X1363" s="144"/>
      <c r="Y1363" s="144"/>
      <c r="Z1363" s="144"/>
      <c r="AA1363" s="144"/>
      <c r="AB1363" s="144"/>
      <c r="AC1363" s="144"/>
      <c r="AD1363" s="144"/>
      <c r="AE1363" s="144"/>
    </row>
    <row r="1364" spans="8:31" x14ac:dyDescent="0.25">
      <c r="H1364" s="144"/>
      <c r="I1364" s="144"/>
      <c r="J1364" s="144"/>
      <c r="K1364" s="144"/>
      <c r="L1364" s="144"/>
      <c r="M1364" s="144"/>
      <c r="N1364" s="144"/>
      <c r="O1364" s="144"/>
      <c r="P1364" s="144"/>
      <c r="Q1364" s="144"/>
      <c r="R1364" s="144"/>
      <c r="S1364" s="144"/>
      <c r="T1364" s="144"/>
      <c r="U1364" s="144"/>
      <c r="V1364" s="144"/>
      <c r="W1364" s="144"/>
      <c r="X1364" s="144"/>
      <c r="Y1364" s="144"/>
      <c r="Z1364" s="144"/>
      <c r="AA1364" s="144"/>
      <c r="AB1364" s="144"/>
      <c r="AC1364" s="144"/>
      <c r="AD1364" s="144"/>
      <c r="AE1364" s="144"/>
    </row>
    <row r="1365" spans="8:31" x14ac:dyDescent="0.25">
      <c r="H1365" s="144"/>
      <c r="I1365" s="144"/>
      <c r="J1365" s="144"/>
      <c r="K1365" s="144"/>
      <c r="L1365" s="144"/>
      <c r="M1365" s="144"/>
      <c r="N1365" s="144"/>
      <c r="O1365" s="144"/>
      <c r="P1365" s="144"/>
      <c r="Q1365" s="144"/>
      <c r="R1365" s="144"/>
      <c r="S1365" s="144"/>
      <c r="T1365" s="144"/>
      <c r="U1365" s="144"/>
      <c r="V1365" s="144"/>
      <c r="W1365" s="144"/>
      <c r="X1365" s="144"/>
      <c r="Y1365" s="144"/>
      <c r="Z1365" s="144"/>
      <c r="AA1365" s="144"/>
      <c r="AB1365" s="144"/>
      <c r="AC1365" s="144"/>
      <c r="AD1365" s="144"/>
      <c r="AE1365" s="144"/>
    </row>
    <row r="1366" spans="8:31" x14ac:dyDescent="0.25">
      <c r="H1366" s="144"/>
      <c r="I1366" s="144"/>
      <c r="J1366" s="144"/>
      <c r="K1366" s="144"/>
      <c r="L1366" s="144"/>
      <c r="M1366" s="144"/>
      <c r="N1366" s="144"/>
      <c r="O1366" s="144"/>
      <c r="P1366" s="144"/>
      <c r="Q1366" s="144"/>
      <c r="R1366" s="144"/>
      <c r="S1366" s="144"/>
      <c r="T1366" s="144"/>
      <c r="U1366" s="144"/>
      <c r="V1366" s="144"/>
      <c r="W1366" s="144"/>
      <c r="X1366" s="144"/>
      <c r="Y1366" s="144"/>
      <c r="Z1366" s="144"/>
      <c r="AA1366" s="144"/>
      <c r="AB1366" s="144"/>
      <c r="AC1366" s="144"/>
      <c r="AD1366" s="144"/>
      <c r="AE1366" s="144"/>
    </row>
    <row r="1367" spans="8:31" x14ac:dyDescent="0.25">
      <c r="H1367" s="144"/>
      <c r="I1367" s="144"/>
      <c r="J1367" s="144"/>
      <c r="K1367" s="144"/>
      <c r="L1367" s="144"/>
      <c r="M1367" s="144"/>
      <c r="N1367" s="144"/>
      <c r="O1367" s="144"/>
      <c r="P1367" s="144"/>
      <c r="Q1367" s="144"/>
      <c r="R1367" s="144"/>
      <c r="S1367" s="144"/>
      <c r="T1367" s="144"/>
      <c r="U1367" s="144"/>
      <c r="V1367" s="144"/>
      <c r="W1367" s="144"/>
      <c r="X1367" s="144"/>
      <c r="Y1367" s="144"/>
      <c r="Z1367" s="144"/>
      <c r="AA1367" s="144"/>
      <c r="AB1367" s="144"/>
      <c r="AC1367" s="144"/>
      <c r="AD1367" s="144"/>
      <c r="AE1367" s="144"/>
    </row>
    <row r="1368" spans="8:31" x14ac:dyDescent="0.25">
      <c r="H1368" s="144"/>
      <c r="I1368" s="144"/>
      <c r="J1368" s="144"/>
      <c r="K1368" s="144"/>
      <c r="L1368" s="144"/>
      <c r="M1368" s="144"/>
      <c r="N1368" s="144"/>
      <c r="O1368" s="144"/>
      <c r="P1368" s="144"/>
      <c r="Q1368" s="144"/>
      <c r="R1368" s="144"/>
      <c r="S1368" s="144"/>
      <c r="T1368" s="144"/>
      <c r="U1368" s="144"/>
      <c r="V1368" s="144"/>
      <c r="W1368" s="144"/>
      <c r="X1368" s="144"/>
      <c r="Y1368" s="144"/>
      <c r="Z1368" s="144"/>
      <c r="AA1368" s="144"/>
      <c r="AB1368" s="144"/>
      <c r="AC1368" s="144"/>
      <c r="AD1368" s="144"/>
      <c r="AE1368" s="144"/>
    </row>
    <row r="1369" spans="8:31" x14ac:dyDescent="0.25">
      <c r="H1369" s="144"/>
      <c r="I1369" s="144"/>
      <c r="J1369" s="144"/>
      <c r="K1369" s="144"/>
      <c r="L1369" s="144"/>
      <c r="M1369" s="144"/>
      <c r="N1369" s="144"/>
      <c r="O1369" s="144"/>
      <c r="P1369" s="144"/>
      <c r="Q1369" s="144"/>
      <c r="R1369" s="144"/>
      <c r="S1369" s="144"/>
      <c r="T1369" s="144"/>
      <c r="U1369" s="144"/>
      <c r="V1369" s="144"/>
      <c r="W1369" s="144"/>
      <c r="X1369" s="144"/>
      <c r="Y1369" s="144"/>
      <c r="Z1369" s="144"/>
      <c r="AA1369" s="144"/>
      <c r="AB1369" s="144"/>
      <c r="AC1369" s="144"/>
      <c r="AD1369" s="144"/>
      <c r="AE1369" s="144"/>
    </row>
    <row r="1370" spans="8:31" x14ac:dyDescent="0.25">
      <c r="H1370" s="144"/>
      <c r="I1370" s="144"/>
      <c r="J1370" s="144"/>
      <c r="K1370" s="144"/>
      <c r="L1370" s="144"/>
      <c r="M1370" s="144"/>
      <c r="N1370" s="144"/>
      <c r="O1370" s="144"/>
      <c r="P1370" s="144"/>
      <c r="Q1370" s="144"/>
      <c r="R1370" s="144"/>
      <c r="S1370" s="144"/>
      <c r="T1370" s="144"/>
      <c r="U1370" s="144"/>
      <c r="V1370" s="144"/>
      <c r="W1370" s="144"/>
      <c r="X1370" s="144"/>
      <c r="Y1370" s="144"/>
      <c r="Z1370" s="144"/>
      <c r="AA1370" s="144"/>
      <c r="AB1370" s="144"/>
      <c r="AC1370" s="144"/>
      <c r="AD1370" s="144"/>
      <c r="AE1370" s="144"/>
    </row>
    <row r="1371" spans="8:31" x14ac:dyDescent="0.25">
      <c r="H1371" s="144"/>
      <c r="I1371" s="144"/>
      <c r="J1371" s="144"/>
      <c r="K1371" s="144"/>
      <c r="L1371" s="144"/>
      <c r="M1371" s="144"/>
      <c r="N1371" s="144"/>
      <c r="O1371" s="144"/>
      <c r="P1371" s="144"/>
      <c r="Q1371" s="144"/>
      <c r="R1371" s="144"/>
      <c r="S1371" s="144"/>
      <c r="T1371" s="144"/>
      <c r="U1371" s="144"/>
      <c r="V1371" s="144"/>
      <c r="W1371" s="144"/>
      <c r="X1371" s="144"/>
      <c r="Y1371" s="144"/>
      <c r="Z1371" s="144"/>
      <c r="AA1371" s="144"/>
      <c r="AB1371" s="144"/>
      <c r="AC1371" s="144"/>
      <c r="AD1371" s="144"/>
      <c r="AE1371" s="144"/>
    </row>
    <row r="1372" spans="8:31" x14ac:dyDescent="0.25">
      <c r="H1372" s="144"/>
      <c r="I1372" s="144"/>
      <c r="J1372" s="144"/>
      <c r="K1372" s="144"/>
      <c r="L1372" s="144"/>
      <c r="M1372" s="144"/>
      <c r="N1372" s="144"/>
      <c r="O1372" s="144"/>
      <c r="P1372" s="144"/>
      <c r="Q1372" s="144"/>
      <c r="R1372" s="144"/>
      <c r="S1372" s="144"/>
      <c r="T1372" s="144"/>
      <c r="U1372" s="144"/>
      <c r="V1372" s="144"/>
      <c r="W1372" s="144"/>
      <c r="X1372" s="144"/>
      <c r="Y1372" s="144"/>
      <c r="Z1372" s="144"/>
      <c r="AA1372" s="144"/>
      <c r="AB1372" s="144"/>
      <c r="AC1372" s="144"/>
      <c r="AD1372" s="144"/>
      <c r="AE1372" s="144"/>
    </row>
    <row r="1373" spans="8:31" x14ac:dyDescent="0.25">
      <c r="H1373" s="144"/>
      <c r="I1373" s="144"/>
      <c r="J1373" s="144"/>
      <c r="K1373" s="144"/>
      <c r="L1373" s="144"/>
      <c r="M1373" s="144"/>
      <c r="N1373" s="144"/>
      <c r="O1373" s="144"/>
      <c r="P1373" s="144"/>
      <c r="Q1373" s="144"/>
      <c r="R1373" s="144"/>
      <c r="S1373" s="144"/>
      <c r="T1373" s="144"/>
      <c r="U1373" s="144"/>
      <c r="V1373" s="144"/>
      <c r="W1373" s="144"/>
      <c r="X1373" s="144"/>
      <c r="Y1373" s="144"/>
      <c r="Z1373" s="144"/>
      <c r="AA1373" s="144"/>
      <c r="AB1373" s="144"/>
      <c r="AC1373" s="144"/>
      <c r="AD1373" s="144"/>
      <c r="AE1373" s="144"/>
    </row>
    <row r="1374" spans="8:31" x14ac:dyDescent="0.25">
      <c r="H1374" s="144"/>
      <c r="I1374" s="144"/>
      <c r="J1374" s="144"/>
      <c r="K1374" s="144"/>
      <c r="L1374" s="144"/>
      <c r="M1374" s="144"/>
      <c r="N1374" s="144"/>
      <c r="O1374" s="144"/>
      <c r="P1374" s="144"/>
      <c r="Q1374" s="144"/>
      <c r="R1374" s="144"/>
      <c r="S1374" s="144"/>
      <c r="T1374" s="144"/>
      <c r="U1374" s="144"/>
      <c r="V1374" s="144"/>
      <c r="W1374" s="144"/>
      <c r="X1374" s="144"/>
      <c r="Y1374" s="144"/>
      <c r="Z1374" s="144"/>
      <c r="AA1374" s="144"/>
      <c r="AB1374" s="144"/>
      <c r="AC1374" s="144"/>
      <c r="AD1374" s="144"/>
      <c r="AE1374" s="144"/>
    </row>
    <row r="1375" spans="8:31" x14ac:dyDescent="0.25">
      <c r="H1375" s="144"/>
      <c r="I1375" s="144"/>
      <c r="J1375" s="144"/>
      <c r="K1375" s="144"/>
      <c r="L1375" s="144"/>
      <c r="M1375" s="144"/>
      <c r="N1375" s="144"/>
      <c r="O1375" s="144"/>
      <c r="P1375" s="144"/>
      <c r="Q1375" s="144"/>
      <c r="R1375" s="144"/>
      <c r="S1375" s="144"/>
      <c r="T1375" s="144"/>
      <c r="U1375" s="144"/>
      <c r="V1375" s="144"/>
      <c r="W1375" s="144"/>
      <c r="X1375" s="144"/>
      <c r="Y1375" s="144"/>
      <c r="Z1375" s="144"/>
      <c r="AA1375" s="144"/>
      <c r="AB1375" s="144"/>
      <c r="AC1375" s="144"/>
      <c r="AD1375" s="144"/>
      <c r="AE1375" s="144"/>
    </row>
    <row r="1376" spans="8:31" x14ac:dyDescent="0.25">
      <c r="H1376" s="144"/>
      <c r="I1376" s="144"/>
      <c r="J1376" s="144"/>
      <c r="K1376" s="144"/>
      <c r="L1376" s="144"/>
      <c r="M1376" s="144"/>
      <c r="N1376" s="144"/>
      <c r="O1376" s="144"/>
      <c r="P1376" s="144"/>
      <c r="Q1376" s="144"/>
      <c r="R1376" s="144"/>
      <c r="S1376" s="144"/>
      <c r="T1376" s="144"/>
      <c r="U1376" s="144"/>
      <c r="V1376" s="144"/>
      <c r="W1376" s="144"/>
      <c r="X1376" s="144"/>
      <c r="Y1376" s="144"/>
      <c r="Z1376" s="144"/>
      <c r="AA1376" s="144"/>
      <c r="AB1376" s="144"/>
      <c r="AC1376" s="144"/>
      <c r="AD1376" s="144"/>
      <c r="AE1376" s="144"/>
    </row>
    <row r="1377" spans="8:31" x14ac:dyDescent="0.25">
      <c r="H1377" s="144"/>
      <c r="I1377" s="144"/>
      <c r="J1377" s="144"/>
      <c r="K1377" s="144"/>
      <c r="L1377" s="144"/>
      <c r="M1377" s="144"/>
      <c r="N1377" s="144"/>
      <c r="O1377" s="144"/>
      <c r="P1377" s="144"/>
      <c r="Q1377" s="144"/>
      <c r="R1377" s="144"/>
      <c r="S1377" s="144"/>
      <c r="T1377" s="144"/>
      <c r="U1377" s="144"/>
      <c r="V1377" s="144"/>
      <c r="W1377" s="144"/>
      <c r="X1377" s="144"/>
      <c r="Y1377" s="144"/>
      <c r="Z1377" s="144"/>
      <c r="AA1377" s="144"/>
      <c r="AB1377" s="144"/>
      <c r="AC1377" s="144"/>
      <c r="AD1377" s="144"/>
      <c r="AE1377" s="144"/>
    </row>
    <row r="1378" spans="8:31" x14ac:dyDescent="0.25">
      <c r="H1378" s="144"/>
      <c r="I1378" s="144"/>
      <c r="J1378" s="144"/>
      <c r="K1378" s="144"/>
      <c r="L1378" s="144"/>
      <c r="M1378" s="144"/>
      <c r="N1378" s="144"/>
      <c r="O1378" s="144"/>
      <c r="P1378" s="144"/>
      <c r="Q1378" s="144"/>
      <c r="R1378" s="144"/>
      <c r="S1378" s="144"/>
      <c r="T1378" s="144"/>
      <c r="U1378" s="144"/>
      <c r="V1378" s="144"/>
      <c r="W1378" s="144"/>
      <c r="X1378" s="144"/>
      <c r="Y1378" s="144"/>
      <c r="Z1378" s="144"/>
      <c r="AA1378" s="144"/>
      <c r="AB1378" s="144"/>
      <c r="AC1378" s="144"/>
      <c r="AD1378" s="144"/>
      <c r="AE1378" s="144"/>
    </row>
    <row r="1379" spans="8:31" x14ac:dyDescent="0.25">
      <c r="H1379" s="144"/>
      <c r="I1379" s="144"/>
      <c r="J1379" s="144"/>
      <c r="K1379" s="144"/>
      <c r="L1379" s="144"/>
      <c r="M1379" s="144"/>
      <c r="N1379" s="144"/>
      <c r="O1379" s="144"/>
      <c r="P1379" s="144"/>
      <c r="Q1379" s="144"/>
      <c r="R1379" s="144"/>
      <c r="S1379" s="144"/>
      <c r="T1379" s="144"/>
      <c r="U1379" s="144"/>
      <c r="V1379" s="144"/>
      <c r="W1379" s="144"/>
      <c r="X1379" s="144"/>
      <c r="Y1379" s="144"/>
      <c r="Z1379" s="144"/>
      <c r="AA1379" s="144"/>
      <c r="AB1379" s="144"/>
      <c r="AC1379" s="144"/>
      <c r="AD1379" s="144"/>
      <c r="AE1379" s="144"/>
    </row>
    <row r="1380" spans="8:31" x14ac:dyDescent="0.25">
      <c r="H1380" s="144"/>
      <c r="I1380" s="144"/>
      <c r="J1380" s="144"/>
      <c r="K1380" s="144"/>
      <c r="L1380" s="144"/>
      <c r="M1380" s="144"/>
      <c r="N1380" s="144"/>
      <c r="O1380" s="144"/>
      <c r="P1380" s="144"/>
      <c r="Q1380" s="144"/>
      <c r="R1380" s="144"/>
      <c r="S1380" s="144"/>
      <c r="T1380" s="144"/>
      <c r="U1380" s="144"/>
      <c r="V1380" s="144"/>
      <c r="W1380" s="144"/>
      <c r="X1380" s="144"/>
      <c r="Y1380" s="144"/>
      <c r="Z1380" s="144"/>
      <c r="AA1380" s="144"/>
      <c r="AB1380" s="144"/>
      <c r="AC1380" s="144"/>
      <c r="AD1380" s="144"/>
      <c r="AE1380" s="144"/>
    </row>
    <row r="1381" spans="8:31" x14ac:dyDescent="0.25">
      <c r="H1381" s="144"/>
      <c r="I1381" s="144"/>
      <c r="J1381" s="144"/>
      <c r="K1381" s="144"/>
      <c r="L1381" s="144"/>
      <c r="M1381" s="144"/>
      <c r="N1381" s="144"/>
      <c r="O1381" s="144"/>
      <c r="P1381" s="144"/>
      <c r="Q1381" s="144"/>
      <c r="R1381" s="144"/>
      <c r="S1381" s="144"/>
      <c r="T1381" s="144"/>
      <c r="U1381" s="144"/>
      <c r="V1381" s="144"/>
      <c r="W1381" s="144"/>
      <c r="X1381" s="144"/>
      <c r="Y1381" s="144"/>
      <c r="Z1381" s="144"/>
      <c r="AA1381" s="144"/>
      <c r="AB1381" s="144"/>
      <c r="AC1381" s="144"/>
      <c r="AD1381" s="144"/>
      <c r="AE1381" s="144"/>
    </row>
    <row r="1382" spans="8:31" x14ac:dyDescent="0.25">
      <c r="H1382" s="144"/>
      <c r="I1382" s="144"/>
      <c r="J1382" s="144"/>
      <c r="K1382" s="144"/>
      <c r="L1382" s="144"/>
      <c r="M1382" s="144"/>
      <c r="N1382" s="144"/>
      <c r="O1382" s="144"/>
      <c r="P1382" s="144"/>
      <c r="Q1382" s="144"/>
      <c r="R1382" s="144"/>
      <c r="S1382" s="144"/>
      <c r="T1382" s="144"/>
      <c r="U1382" s="144"/>
      <c r="V1382" s="144"/>
      <c r="W1382" s="144"/>
      <c r="X1382" s="144"/>
      <c r="Y1382" s="144"/>
      <c r="Z1382" s="144"/>
      <c r="AA1382" s="144"/>
      <c r="AB1382" s="144"/>
      <c r="AC1382" s="144"/>
      <c r="AD1382" s="144"/>
      <c r="AE1382" s="144"/>
    </row>
    <row r="1383" spans="8:31" x14ac:dyDescent="0.25">
      <c r="H1383" s="144"/>
      <c r="I1383" s="144"/>
      <c r="J1383" s="144"/>
      <c r="K1383" s="144"/>
      <c r="L1383" s="144"/>
      <c r="M1383" s="144"/>
      <c r="N1383" s="144"/>
      <c r="O1383" s="144"/>
      <c r="P1383" s="144"/>
      <c r="Q1383" s="144"/>
      <c r="R1383" s="144"/>
      <c r="S1383" s="144"/>
      <c r="T1383" s="144"/>
      <c r="U1383" s="144"/>
      <c r="V1383" s="144"/>
      <c r="W1383" s="144"/>
      <c r="X1383" s="144"/>
      <c r="Y1383" s="144"/>
      <c r="Z1383" s="144"/>
      <c r="AA1383" s="144"/>
      <c r="AB1383" s="144"/>
      <c r="AC1383" s="144"/>
      <c r="AD1383" s="144"/>
      <c r="AE1383" s="144"/>
    </row>
    <row r="1384" spans="8:31" x14ac:dyDescent="0.25">
      <c r="H1384" s="144"/>
      <c r="I1384" s="144"/>
      <c r="J1384" s="144"/>
      <c r="K1384" s="144"/>
      <c r="L1384" s="144"/>
      <c r="M1384" s="144"/>
      <c r="N1384" s="144"/>
      <c r="O1384" s="144"/>
      <c r="P1384" s="144"/>
      <c r="Q1384" s="144"/>
      <c r="R1384" s="144"/>
      <c r="S1384" s="144"/>
      <c r="T1384" s="144"/>
      <c r="U1384" s="144"/>
      <c r="V1384" s="144"/>
      <c r="W1384" s="144"/>
      <c r="X1384" s="144"/>
      <c r="Y1384" s="144"/>
      <c r="Z1384" s="144"/>
      <c r="AA1384" s="144"/>
      <c r="AB1384" s="144"/>
      <c r="AC1384" s="144"/>
      <c r="AD1384" s="144"/>
      <c r="AE1384" s="144"/>
    </row>
    <row r="1385" spans="8:31" x14ac:dyDescent="0.25">
      <c r="H1385" s="144"/>
      <c r="I1385" s="144"/>
      <c r="J1385" s="144"/>
      <c r="K1385" s="144"/>
      <c r="L1385" s="144"/>
      <c r="M1385" s="144"/>
      <c r="N1385" s="144"/>
      <c r="O1385" s="144"/>
      <c r="P1385" s="144"/>
      <c r="Q1385" s="144"/>
      <c r="R1385" s="144"/>
      <c r="S1385" s="144"/>
      <c r="T1385" s="144"/>
      <c r="U1385" s="144"/>
      <c r="V1385" s="144"/>
      <c r="W1385" s="144"/>
      <c r="X1385" s="144"/>
      <c r="Y1385" s="144"/>
      <c r="Z1385" s="144"/>
      <c r="AA1385" s="144"/>
      <c r="AB1385" s="144"/>
      <c r="AC1385" s="144"/>
      <c r="AD1385" s="144"/>
      <c r="AE1385" s="144"/>
    </row>
    <row r="1386" spans="8:31" x14ac:dyDescent="0.25">
      <c r="H1386" s="144"/>
      <c r="I1386" s="144"/>
      <c r="J1386" s="144"/>
      <c r="K1386" s="144"/>
      <c r="L1386" s="144"/>
      <c r="M1386" s="144"/>
      <c r="N1386" s="144"/>
      <c r="O1386" s="144"/>
      <c r="P1386" s="144"/>
      <c r="Q1386" s="144"/>
      <c r="R1386" s="144"/>
      <c r="S1386" s="144"/>
      <c r="T1386" s="144"/>
      <c r="U1386" s="144"/>
      <c r="V1386" s="144"/>
      <c r="W1386" s="144"/>
      <c r="X1386" s="144"/>
      <c r="Y1386" s="144"/>
      <c r="Z1386" s="144"/>
      <c r="AA1386" s="144"/>
      <c r="AB1386" s="144"/>
      <c r="AC1386" s="144"/>
      <c r="AD1386" s="144"/>
      <c r="AE1386" s="144"/>
    </row>
    <row r="1387" spans="8:31" x14ac:dyDescent="0.25">
      <c r="H1387" s="144"/>
      <c r="I1387" s="144"/>
      <c r="J1387" s="144"/>
      <c r="K1387" s="144"/>
      <c r="L1387" s="144"/>
      <c r="M1387" s="144"/>
      <c r="N1387" s="144"/>
      <c r="O1387" s="144"/>
      <c r="P1387" s="144"/>
      <c r="Q1387" s="144"/>
      <c r="R1387" s="144"/>
      <c r="S1387" s="144"/>
      <c r="T1387" s="144"/>
      <c r="U1387" s="144"/>
      <c r="V1387" s="144"/>
      <c r="W1387" s="144"/>
      <c r="X1387" s="144"/>
      <c r="Y1387" s="144"/>
      <c r="Z1387" s="144"/>
      <c r="AA1387" s="144"/>
      <c r="AB1387" s="144"/>
      <c r="AC1387" s="144"/>
      <c r="AD1387" s="144"/>
      <c r="AE1387" s="144"/>
    </row>
    <row r="1388" spans="8:31" x14ac:dyDescent="0.25">
      <c r="H1388" s="144"/>
      <c r="I1388" s="144"/>
      <c r="J1388" s="144"/>
      <c r="K1388" s="144"/>
      <c r="L1388" s="144"/>
      <c r="M1388" s="144"/>
      <c r="N1388" s="144"/>
      <c r="O1388" s="144"/>
      <c r="P1388" s="144"/>
      <c r="Q1388" s="144"/>
      <c r="R1388" s="144"/>
      <c r="S1388" s="144"/>
      <c r="T1388" s="144"/>
      <c r="U1388" s="144"/>
      <c r="V1388" s="144"/>
      <c r="W1388" s="144"/>
      <c r="X1388" s="144"/>
      <c r="Y1388" s="144"/>
      <c r="Z1388" s="144"/>
      <c r="AA1388" s="144"/>
      <c r="AB1388" s="144"/>
      <c r="AC1388" s="144"/>
      <c r="AD1388" s="144"/>
      <c r="AE1388" s="144"/>
    </row>
    <row r="1389" spans="8:31" x14ac:dyDescent="0.25">
      <c r="H1389" s="144"/>
      <c r="I1389" s="144"/>
      <c r="J1389" s="144"/>
      <c r="K1389" s="144"/>
      <c r="L1389" s="144"/>
      <c r="M1389" s="144"/>
      <c r="N1389" s="144"/>
      <c r="O1389" s="144"/>
      <c r="P1389" s="144"/>
      <c r="Q1389" s="144"/>
      <c r="R1389" s="144"/>
      <c r="S1389" s="144"/>
      <c r="T1389" s="144"/>
      <c r="U1389" s="144"/>
      <c r="V1389" s="144"/>
      <c r="W1389" s="144"/>
      <c r="X1389" s="144"/>
      <c r="Y1389" s="144"/>
      <c r="Z1389" s="144"/>
      <c r="AA1389" s="144"/>
      <c r="AB1389" s="144"/>
      <c r="AC1389" s="144"/>
      <c r="AD1389" s="144"/>
      <c r="AE1389" s="144"/>
    </row>
    <row r="1390" spans="8:31" x14ac:dyDescent="0.25">
      <c r="H1390" s="144"/>
      <c r="I1390" s="144"/>
      <c r="J1390" s="144"/>
      <c r="K1390" s="144"/>
      <c r="L1390" s="144"/>
      <c r="M1390" s="144"/>
      <c r="N1390" s="144"/>
      <c r="O1390" s="144"/>
      <c r="P1390" s="144"/>
      <c r="Q1390" s="144"/>
      <c r="R1390" s="144"/>
      <c r="S1390" s="144"/>
      <c r="T1390" s="144"/>
      <c r="U1390" s="144"/>
      <c r="V1390" s="144"/>
      <c r="W1390" s="144"/>
      <c r="X1390" s="144"/>
      <c r="Y1390" s="144"/>
      <c r="Z1390" s="144"/>
      <c r="AA1390" s="144"/>
      <c r="AB1390" s="144"/>
      <c r="AC1390" s="144"/>
      <c r="AD1390" s="144"/>
      <c r="AE1390" s="144"/>
    </row>
    <row r="1391" spans="8:31" x14ac:dyDescent="0.25">
      <c r="H1391" s="144"/>
      <c r="I1391" s="144"/>
      <c r="J1391" s="144"/>
      <c r="K1391" s="144"/>
      <c r="L1391" s="144"/>
      <c r="M1391" s="144"/>
      <c r="N1391" s="144"/>
      <c r="O1391" s="144"/>
      <c r="P1391" s="144"/>
      <c r="Q1391" s="144"/>
      <c r="R1391" s="144"/>
      <c r="S1391" s="144"/>
      <c r="T1391" s="144"/>
      <c r="U1391" s="144"/>
      <c r="V1391" s="144"/>
      <c r="W1391" s="144"/>
      <c r="X1391" s="144"/>
      <c r="Y1391" s="144"/>
      <c r="Z1391" s="144"/>
      <c r="AA1391" s="144"/>
      <c r="AB1391" s="144"/>
      <c r="AC1391" s="144"/>
      <c r="AD1391" s="144"/>
      <c r="AE1391" s="144"/>
    </row>
    <row r="1392" spans="8:31" x14ac:dyDescent="0.25">
      <c r="H1392" s="144"/>
      <c r="I1392" s="144"/>
      <c r="J1392" s="144"/>
      <c r="K1392" s="144"/>
      <c r="L1392" s="144"/>
      <c r="M1392" s="144"/>
      <c r="N1392" s="144"/>
      <c r="O1392" s="144"/>
      <c r="P1392" s="144"/>
      <c r="Q1392" s="144"/>
      <c r="R1392" s="144"/>
      <c r="S1392" s="144"/>
      <c r="T1392" s="144"/>
      <c r="U1392" s="144"/>
      <c r="V1392" s="144"/>
      <c r="W1392" s="144"/>
      <c r="X1392" s="144"/>
      <c r="Y1392" s="144"/>
      <c r="Z1392" s="144"/>
      <c r="AA1392" s="144"/>
      <c r="AB1392" s="144"/>
      <c r="AC1392" s="144"/>
      <c r="AD1392" s="144"/>
      <c r="AE1392" s="144"/>
    </row>
    <row r="1393" spans="8:31" x14ac:dyDescent="0.25">
      <c r="H1393" s="144"/>
      <c r="I1393" s="144"/>
      <c r="J1393" s="144"/>
      <c r="K1393" s="144"/>
      <c r="L1393" s="144"/>
      <c r="M1393" s="144"/>
      <c r="N1393" s="144"/>
      <c r="O1393" s="144"/>
      <c r="P1393" s="144"/>
      <c r="Q1393" s="144"/>
      <c r="R1393" s="144"/>
      <c r="S1393" s="144"/>
      <c r="T1393" s="144"/>
      <c r="U1393" s="144"/>
      <c r="V1393" s="144"/>
      <c r="W1393" s="144"/>
      <c r="X1393" s="144"/>
      <c r="Y1393" s="144"/>
      <c r="Z1393" s="144"/>
      <c r="AA1393" s="144"/>
      <c r="AB1393" s="144"/>
      <c r="AC1393" s="144"/>
      <c r="AD1393" s="144"/>
      <c r="AE1393" s="144"/>
    </row>
    <row r="1394" spans="8:31" x14ac:dyDescent="0.25">
      <c r="H1394" s="144"/>
      <c r="I1394" s="144"/>
      <c r="J1394" s="144"/>
      <c r="K1394" s="144"/>
      <c r="L1394" s="144"/>
      <c r="M1394" s="144"/>
      <c r="N1394" s="144"/>
      <c r="O1394" s="144"/>
      <c r="P1394" s="144"/>
      <c r="Q1394" s="144"/>
      <c r="R1394" s="144"/>
      <c r="S1394" s="144"/>
      <c r="T1394" s="144"/>
      <c r="U1394" s="144"/>
      <c r="V1394" s="144"/>
      <c r="W1394" s="144"/>
      <c r="X1394" s="144"/>
      <c r="Y1394" s="144"/>
      <c r="Z1394" s="144"/>
      <c r="AA1394" s="144"/>
      <c r="AB1394" s="144"/>
      <c r="AC1394" s="144"/>
      <c r="AD1394" s="144"/>
      <c r="AE1394" s="144"/>
    </row>
    <row r="1395" spans="8:31" x14ac:dyDescent="0.25">
      <c r="H1395" s="144"/>
      <c r="I1395" s="144"/>
      <c r="J1395" s="144"/>
      <c r="K1395" s="144"/>
      <c r="L1395" s="144"/>
      <c r="M1395" s="144"/>
      <c r="N1395" s="144"/>
      <c r="O1395" s="144"/>
      <c r="P1395" s="144"/>
      <c r="Q1395" s="144"/>
      <c r="R1395" s="144"/>
      <c r="S1395" s="144"/>
      <c r="T1395" s="144"/>
      <c r="U1395" s="144"/>
      <c r="V1395" s="144"/>
      <c r="W1395" s="144"/>
      <c r="X1395" s="144"/>
      <c r="Y1395" s="144"/>
      <c r="Z1395" s="144"/>
      <c r="AA1395" s="144"/>
      <c r="AB1395" s="144"/>
      <c r="AC1395" s="144"/>
      <c r="AD1395" s="144"/>
      <c r="AE1395" s="144"/>
    </row>
    <row r="1396" spans="8:31" x14ac:dyDescent="0.25">
      <c r="H1396" s="144"/>
      <c r="I1396" s="144"/>
      <c r="J1396" s="144"/>
      <c r="K1396" s="144"/>
      <c r="L1396" s="144"/>
      <c r="M1396" s="144"/>
      <c r="N1396" s="144"/>
      <c r="O1396" s="144"/>
      <c r="P1396" s="144"/>
      <c r="Q1396" s="144"/>
      <c r="R1396" s="144"/>
      <c r="S1396" s="144"/>
      <c r="T1396" s="144"/>
      <c r="U1396" s="144"/>
      <c r="V1396" s="144"/>
      <c r="W1396" s="144"/>
      <c r="X1396" s="144"/>
      <c r="Y1396" s="144"/>
      <c r="Z1396" s="144"/>
      <c r="AA1396" s="144"/>
      <c r="AB1396" s="144"/>
      <c r="AC1396" s="144"/>
      <c r="AD1396" s="144"/>
      <c r="AE1396" s="144"/>
    </row>
    <row r="1397" spans="8:31" x14ac:dyDescent="0.25">
      <c r="H1397" s="144"/>
      <c r="I1397" s="144"/>
      <c r="J1397" s="144"/>
      <c r="K1397" s="144"/>
      <c r="L1397" s="144"/>
      <c r="M1397" s="144"/>
      <c r="N1397" s="144"/>
      <c r="O1397" s="144"/>
      <c r="P1397" s="144"/>
      <c r="Q1397" s="144"/>
      <c r="R1397" s="144"/>
      <c r="S1397" s="144"/>
      <c r="T1397" s="144"/>
      <c r="U1397" s="144"/>
      <c r="V1397" s="144"/>
      <c r="W1397" s="144"/>
      <c r="X1397" s="144"/>
      <c r="Y1397" s="144"/>
      <c r="Z1397" s="144"/>
      <c r="AA1397" s="144"/>
      <c r="AB1397" s="144"/>
      <c r="AC1397" s="144"/>
      <c r="AD1397" s="144"/>
      <c r="AE1397" s="144"/>
    </row>
    <row r="1398" spans="8:31" x14ac:dyDescent="0.25">
      <c r="H1398" s="144"/>
      <c r="I1398" s="144"/>
      <c r="J1398" s="144"/>
      <c r="K1398" s="144"/>
      <c r="L1398" s="144"/>
      <c r="M1398" s="144"/>
      <c r="N1398" s="144"/>
      <c r="O1398" s="144"/>
      <c r="P1398" s="144"/>
      <c r="Q1398" s="144"/>
      <c r="R1398" s="144"/>
      <c r="S1398" s="144"/>
      <c r="T1398" s="144"/>
      <c r="U1398" s="144"/>
      <c r="V1398" s="144"/>
      <c r="W1398" s="144"/>
      <c r="X1398" s="144"/>
      <c r="Y1398" s="144"/>
      <c r="Z1398" s="144"/>
      <c r="AA1398" s="144"/>
      <c r="AB1398" s="144"/>
      <c r="AC1398" s="144"/>
      <c r="AD1398" s="144"/>
      <c r="AE1398" s="144"/>
    </row>
    <row r="1399" spans="8:31" x14ac:dyDescent="0.25">
      <c r="H1399" s="144"/>
      <c r="I1399" s="144"/>
      <c r="J1399" s="144"/>
      <c r="K1399" s="144"/>
      <c r="L1399" s="144"/>
      <c r="M1399" s="144"/>
      <c r="N1399" s="144"/>
      <c r="O1399" s="144"/>
      <c r="P1399" s="144"/>
      <c r="Q1399" s="144"/>
      <c r="R1399" s="144"/>
      <c r="S1399" s="144"/>
      <c r="T1399" s="144"/>
      <c r="U1399" s="144"/>
      <c r="V1399" s="144"/>
      <c r="W1399" s="144"/>
      <c r="X1399" s="144"/>
      <c r="Y1399" s="144"/>
      <c r="Z1399" s="144"/>
      <c r="AA1399" s="144"/>
      <c r="AB1399" s="144"/>
      <c r="AC1399" s="144"/>
      <c r="AD1399" s="144"/>
      <c r="AE1399" s="144"/>
    </row>
    <row r="1400" spans="8:31" x14ac:dyDescent="0.25">
      <c r="H1400" s="144"/>
      <c r="I1400" s="144"/>
      <c r="J1400" s="144"/>
      <c r="K1400" s="144"/>
      <c r="L1400" s="144"/>
      <c r="M1400" s="144"/>
      <c r="N1400" s="144"/>
      <c r="O1400" s="144"/>
      <c r="P1400" s="144"/>
      <c r="Q1400" s="144"/>
      <c r="R1400" s="144"/>
      <c r="S1400" s="144"/>
      <c r="T1400" s="144"/>
      <c r="U1400" s="144"/>
      <c r="V1400" s="144"/>
      <c r="W1400" s="144"/>
      <c r="X1400" s="144"/>
      <c r="Y1400" s="144"/>
      <c r="Z1400" s="144"/>
      <c r="AA1400" s="144"/>
      <c r="AB1400" s="144"/>
      <c r="AC1400" s="144"/>
      <c r="AD1400" s="144"/>
      <c r="AE1400" s="144"/>
    </row>
    <row r="1401" spans="8:31" x14ac:dyDescent="0.25">
      <c r="H1401" s="144"/>
      <c r="I1401" s="144"/>
      <c r="J1401" s="144"/>
      <c r="K1401" s="144"/>
      <c r="L1401" s="144"/>
      <c r="M1401" s="144"/>
      <c r="N1401" s="144"/>
      <c r="O1401" s="144"/>
      <c r="P1401" s="144"/>
      <c r="Q1401" s="144"/>
      <c r="R1401" s="144"/>
      <c r="S1401" s="144"/>
      <c r="T1401" s="144"/>
      <c r="U1401" s="144"/>
      <c r="V1401" s="144"/>
      <c r="W1401" s="144"/>
      <c r="X1401" s="144"/>
      <c r="Y1401" s="144"/>
      <c r="Z1401" s="144"/>
      <c r="AA1401" s="144"/>
      <c r="AB1401" s="144"/>
      <c r="AC1401" s="144"/>
      <c r="AD1401" s="144"/>
      <c r="AE1401" s="144"/>
    </row>
    <row r="1402" spans="8:31" x14ac:dyDescent="0.25">
      <c r="H1402" s="144"/>
      <c r="I1402" s="144"/>
      <c r="J1402" s="144"/>
      <c r="K1402" s="144"/>
      <c r="L1402" s="144"/>
      <c r="M1402" s="144"/>
      <c r="N1402" s="144"/>
      <c r="O1402" s="144"/>
      <c r="P1402" s="144"/>
      <c r="Q1402" s="144"/>
      <c r="R1402" s="144"/>
      <c r="S1402" s="144"/>
      <c r="T1402" s="144"/>
      <c r="U1402" s="144"/>
      <c r="V1402" s="144"/>
      <c r="W1402" s="144"/>
      <c r="X1402" s="144"/>
      <c r="Y1402" s="144"/>
      <c r="Z1402" s="144"/>
      <c r="AA1402" s="144"/>
      <c r="AB1402" s="144"/>
      <c r="AC1402" s="144"/>
      <c r="AD1402" s="144"/>
      <c r="AE1402" s="144"/>
    </row>
    <row r="1403" spans="8:31" x14ac:dyDescent="0.25">
      <c r="H1403" s="144"/>
      <c r="I1403" s="144"/>
      <c r="J1403" s="144"/>
      <c r="K1403" s="144"/>
      <c r="L1403" s="144"/>
      <c r="M1403" s="144"/>
      <c r="N1403" s="144"/>
      <c r="O1403" s="144"/>
      <c r="P1403" s="144"/>
      <c r="Q1403" s="144"/>
      <c r="R1403" s="144"/>
      <c r="S1403" s="144"/>
      <c r="T1403" s="144"/>
      <c r="U1403" s="144"/>
      <c r="V1403" s="144"/>
      <c r="W1403" s="144"/>
      <c r="X1403" s="144"/>
      <c r="Y1403" s="144"/>
      <c r="Z1403" s="144"/>
      <c r="AA1403" s="144"/>
      <c r="AB1403" s="144"/>
      <c r="AC1403" s="144"/>
      <c r="AD1403" s="144"/>
      <c r="AE1403" s="144"/>
    </row>
    <row r="1404" spans="8:31" x14ac:dyDescent="0.25">
      <c r="H1404" s="144"/>
      <c r="I1404" s="144"/>
      <c r="J1404" s="144"/>
      <c r="K1404" s="144"/>
      <c r="L1404" s="144"/>
      <c r="M1404" s="144"/>
      <c r="N1404" s="144"/>
      <c r="O1404" s="144"/>
      <c r="P1404" s="144"/>
      <c r="Q1404" s="144"/>
      <c r="R1404" s="144"/>
      <c r="S1404" s="144"/>
      <c r="T1404" s="144"/>
      <c r="U1404" s="144"/>
      <c r="V1404" s="144"/>
      <c r="W1404" s="144"/>
      <c r="X1404" s="144"/>
      <c r="Y1404" s="144"/>
      <c r="Z1404" s="144"/>
      <c r="AA1404" s="144"/>
      <c r="AB1404" s="144"/>
      <c r="AC1404" s="144"/>
      <c r="AD1404" s="144"/>
      <c r="AE1404" s="144"/>
    </row>
    <row r="1405" spans="8:31" x14ac:dyDescent="0.25">
      <c r="H1405" s="144"/>
      <c r="I1405" s="144"/>
      <c r="J1405" s="144"/>
      <c r="K1405" s="144"/>
      <c r="L1405" s="144"/>
      <c r="M1405" s="144"/>
      <c r="N1405" s="144"/>
      <c r="O1405" s="144"/>
      <c r="P1405" s="144"/>
      <c r="Q1405" s="144"/>
      <c r="R1405" s="144"/>
      <c r="S1405" s="144"/>
      <c r="T1405" s="144"/>
      <c r="U1405" s="144"/>
      <c r="V1405" s="144"/>
      <c r="W1405" s="144"/>
      <c r="X1405" s="144"/>
      <c r="Y1405" s="144"/>
      <c r="Z1405" s="144"/>
      <c r="AA1405" s="144"/>
      <c r="AB1405" s="144"/>
      <c r="AC1405" s="144"/>
      <c r="AD1405" s="144"/>
      <c r="AE1405" s="144"/>
    </row>
    <row r="1406" spans="8:31" x14ac:dyDescent="0.25">
      <c r="H1406" s="144"/>
      <c r="I1406" s="144"/>
      <c r="J1406" s="144"/>
      <c r="K1406" s="144"/>
      <c r="L1406" s="144"/>
      <c r="M1406" s="144"/>
      <c r="N1406" s="144"/>
      <c r="O1406" s="144"/>
      <c r="P1406" s="144"/>
      <c r="Q1406" s="144"/>
      <c r="R1406" s="144"/>
      <c r="S1406" s="144"/>
      <c r="T1406" s="144"/>
      <c r="U1406" s="144"/>
      <c r="V1406" s="144"/>
      <c r="W1406" s="144"/>
      <c r="X1406" s="144"/>
      <c r="Y1406" s="144"/>
      <c r="Z1406" s="144"/>
      <c r="AA1406" s="144"/>
      <c r="AB1406" s="144"/>
      <c r="AC1406" s="144"/>
      <c r="AD1406" s="144"/>
      <c r="AE1406" s="144"/>
    </row>
    <row r="1407" spans="8:31" x14ac:dyDescent="0.25">
      <c r="H1407" s="144"/>
      <c r="I1407" s="144"/>
      <c r="J1407" s="144"/>
      <c r="K1407" s="144"/>
      <c r="L1407" s="144"/>
      <c r="M1407" s="144"/>
      <c r="N1407" s="144"/>
      <c r="O1407" s="144"/>
      <c r="P1407" s="144"/>
      <c r="Q1407" s="144"/>
      <c r="R1407" s="144"/>
      <c r="S1407" s="144"/>
      <c r="T1407" s="144"/>
      <c r="U1407" s="144"/>
      <c r="V1407" s="144"/>
      <c r="W1407" s="144"/>
      <c r="X1407" s="144"/>
      <c r="Y1407" s="144"/>
      <c r="Z1407" s="144"/>
      <c r="AA1407" s="144"/>
      <c r="AB1407" s="144"/>
      <c r="AC1407" s="144"/>
      <c r="AD1407" s="144"/>
      <c r="AE1407" s="144"/>
    </row>
    <row r="1408" spans="8:31" x14ac:dyDescent="0.25">
      <c r="H1408" s="144"/>
      <c r="I1408" s="144"/>
      <c r="J1408" s="144"/>
      <c r="K1408" s="144"/>
      <c r="L1408" s="144"/>
      <c r="M1408" s="144"/>
      <c r="N1408" s="144"/>
      <c r="O1408" s="144"/>
      <c r="P1408" s="144"/>
      <c r="Q1408" s="144"/>
      <c r="R1408" s="144"/>
      <c r="S1408" s="144"/>
      <c r="T1408" s="144"/>
      <c r="U1408" s="144"/>
      <c r="V1408" s="144"/>
      <c r="W1408" s="144"/>
      <c r="X1408" s="144"/>
      <c r="Y1408" s="144"/>
      <c r="Z1408" s="144"/>
      <c r="AA1408" s="144"/>
      <c r="AB1408" s="144"/>
      <c r="AC1408" s="144"/>
      <c r="AD1408" s="144"/>
      <c r="AE1408" s="144"/>
    </row>
    <row r="1409" spans="8:31" x14ac:dyDescent="0.25">
      <c r="H1409" s="144"/>
      <c r="I1409" s="144"/>
      <c r="J1409" s="144"/>
      <c r="K1409" s="144"/>
      <c r="L1409" s="144"/>
      <c r="M1409" s="144"/>
      <c r="N1409" s="144"/>
      <c r="O1409" s="144"/>
      <c r="P1409" s="144"/>
      <c r="Q1409" s="144"/>
      <c r="R1409" s="144"/>
      <c r="S1409" s="144"/>
      <c r="T1409" s="144"/>
      <c r="U1409" s="144"/>
      <c r="V1409" s="144"/>
      <c r="W1409" s="144"/>
      <c r="X1409" s="144"/>
      <c r="Y1409" s="144"/>
      <c r="Z1409" s="144"/>
      <c r="AA1409" s="144"/>
      <c r="AB1409" s="144"/>
      <c r="AC1409" s="144"/>
      <c r="AD1409" s="144"/>
      <c r="AE1409" s="144"/>
    </row>
    <row r="1410" spans="8:31" x14ac:dyDescent="0.25">
      <c r="H1410" s="144"/>
      <c r="I1410" s="144"/>
      <c r="J1410" s="144"/>
      <c r="K1410" s="144"/>
      <c r="L1410" s="144"/>
      <c r="M1410" s="144"/>
      <c r="N1410" s="144"/>
      <c r="O1410" s="144"/>
      <c r="P1410" s="144"/>
      <c r="Q1410" s="144"/>
      <c r="R1410" s="144"/>
      <c r="S1410" s="144"/>
      <c r="T1410" s="144"/>
      <c r="U1410" s="144"/>
      <c r="V1410" s="144"/>
      <c r="W1410" s="144"/>
      <c r="X1410" s="144"/>
      <c r="Y1410" s="144"/>
      <c r="Z1410" s="144"/>
      <c r="AA1410" s="144"/>
      <c r="AB1410" s="144"/>
      <c r="AC1410" s="144"/>
      <c r="AD1410" s="144"/>
      <c r="AE1410" s="144"/>
    </row>
    <row r="1411" spans="8:31" x14ac:dyDescent="0.25">
      <c r="H1411" s="144"/>
      <c r="I1411" s="144"/>
      <c r="J1411" s="144"/>
      <c r="K1411" s="144"/>
      <c r="L1411" s="144"/>
      <c r="M1411" s="144"/>
      <c r="N1411" s="144"/>
      <c r="O1411" s="144"/>
      <c r="P1411" s="144"/>
      <c r="Q1411" s="144"/>
      <c r="R1411" s="144"/>
      <c r="S1411" s="144"/>
      <c r="T1411" s="144"/>
      <c r="U1411" s="144"/>
      <c r="V1411" s="144"/>
      <c r="W1411" s="144"/>
      <c r="X1411" s="144"/>
      <c r="Y1411" s="144"/>
      <c r="Z1411" s="144"/>
      <c r="AA1411" s="144"/>
      <c r="AB1411" s="144"/>
      <c r="AC1411" s="144"/>
      <c r="AD1411" s="144"/>
      <c r="AE1411" s="144"/>
    </row>
    <row r="1412" spans="8:31" x14ac:dyDescent="0.25">
      <c r="H1412" s="144"/>
      <c r="I1412" s="144"/>
      <c r="J1412" s="144"/>
      <c r="K1412" s="144"/>
      <c r="L1412" s="144"/>
      <c r="M1412" s="144"/>
      <c r="N1412" s="144"/>
      <c r="O1412" s="144"/>
      <c r="P1412" s="144"/>
      <c r="Q1412" s="144"/>
      <c r="R1412" s="144"/>
      <c r="S1412" s="144"/>
      <c r="T1412" s="144"/>
      <c r="U1412" s="144"/>
      <c r="V1412" s="144"/>
      <c r="W1412" s="144"/>
      <c r="X1412" s="144"/>
      <c r="Y1412" s="144"/>
      <c r="Z1412" s="144"/>
      <c r="AA1412" s="144"/>
      <c r="AB1412" s="144"/>
      <c r="AC1412" s="144"/>
      <c r="AD1412" s="144"/>
      <c r="AE1412" s="144"/>
    </row>
    <row r="1413" spans="8:31" x14ac:dyDescent="0.25">
      <c r="H1413" s="144"/>
      <c r="I1413" s="144"/>
      <c r="J1413" s="144"/>
      <c r="K1413" s="144"/>
      <c r="L1413" s="144"/>
      <c r="M1413" s="144"/>
      <c r="N1413" s="144"/>
      <c r="O1413" s="144"/>
      <c r="P1413" s="144"/>
      <c r="Q1413" s="144"/>
      <c r="R1413" s="144"/>
      <c r="S1413" s="144"/>
      <c r="T1413" s="144"/>
      <c r="U1413" s="144"/>
      <c r="V1413" s="144"/>
      <c r="W1413" s="144"/>
      <c r="X1413" s="144"/>
      <c r="Y1413" s="144"/>
      <c r="Z1413" s="144"/>
      <c r="AA1413" s="144"/>
      <c r="AB1413" s="144"/>
      <c r="AC1413" s="144"/>
      <c r="AD1413" s="144"/>
      <c r="AE1413" s="144"/>
    </row>
    <row r="1414" spans="8:31" x14ac:dyDescent="0.25">
      <c r="H1414" s="144"/>
      <c r="I1414" s="144"/>
      <c r="J1414" s="144"/>
      <c r="K1414" s="144"/>
      <c r="L1414" s="144"/>
      <c r="M1414" s="144"/>
      <c r="N1414" s="144"/>
      <c r="O1414" s="144"/>
      <c r="P1414" s="144"/>
      <c r="Q1414" s="144"/>
      <c r="R1414" s="144"/>
      <c r="S1414" s="144"/>
      <c r="T1414" s="144"/>
      <c r="U1414" s="144"/>
      <c r="V1414" s="144"/>
      <c r="W1414" s="144"/>
      <c r="X1414" s="144"/>
      <c r="Y1414" s="144"/>
      <c r="Z1414" s="144"/>
      <c r="AA1414" s="144"/>
      <c r="AB1414" s="144"/>
      <c r="AC1414" s="144"/>
      <c r="AD1414" s="144"/>
      <c r="AE1414" s="144"/>
    </row>
    <row r="1415" spans="8:31" x14ac:dyDescent="0.25">
      <c r="H1415" s="144"/>
      <c r="I1415" s="144"/>
      <c r="J1415" s="144"/>
      <c r="K1415" s="144"/>
      <c r="L1415" s="144"/>
      <c r="M1415" s="144"/>
      <c r="N1415" s="144"/>
      <c r="O1415" s="144"/>
      <c r="P1415" s="144"/>
      <c r="Q1415" s="144"/>
      <c r="R1415" s="144"/>
      <c r="S1415" s="144"/>
      <c r="T1415" s="144"/>
      <c r="U1415" s="144"/>
      <c r="V1415" s="144"/>
      <c r="W1415" s="144"/>
      <c r="X1415" s="144"/>
      <c r="Y1415" s="144"/>
      <c r="Z1415" s="144"/>
      <c r="AA1415" s="144"/>
      <c r="AB1415" s="144"/>
      <c r="AC1415" s="144"/>
      <c r="AD1415" s="144"/>
      <c r="AE1415" s="144"/>
    </row>
    <row r="1416" spans="8:31" x14ac:dyDescent="0.25">
      <c r="H1416" s="144"/>
      <c r="I1416" s="144"/>
      <c r="J1416" s="144"/>
      <c r="K1416" s="144"/>
      <c r="L1416" s="144"/>
      <c r="M1416" s="144"/>
      <c r="N1416" s="144"/>
      <c r="O1416" s="144"/>
      <c r="P1416" s="144"/>
      <c r="Q1416" s="144"/>
      <c r="R1416" s="144"/>
      <c r="S1416" s="144"/>
      <c r="T1416" s="144"/>
      <c r="U1416" s="144"/>
      <c r="V1416" s="144"/>
      <c r="W1416" s="144"/>
      <c r="X1416" s="144"/>
      <c r="Y1416" s="144"/>
      <c r="Z1416" s="144"/>
      <c r="AA1416" s="144"/>
      <c r="AB1416" s="144"/>
      <c r="AC1416" s="144"/>
      <c r="AD1416" s="144"/>
      <c r="AE1416" s="144"/>
    </row>
    <row r="1417" spans="8:31" x14ac:dyDescent="0.25">
      <c r="H1417" s="144"/>
      <c r="I1417" s="144"/>
      <c r="J1417" s="144"/>
      <c r="K1417" s="144"/>
      <c r="L1417" s="144"/>
      <c r="M1417" s="144"/>
      <c r="N1417" s="144"/>
      <c r="O1417" s="144"/>
      <c r="P1417" s="144"/>
      <c r="Q1417" s="144"/>
      <c r="R1417" s="144"/>
      <c r="S1417" s="144"/>
      <c r="T1417" s="144"/>
      <c r="U1417" s="144"/>
      <c r="V1417" s="144"/>
      <c r="W1417" s="144"/>
      <c r="X1417" s="144"/>
      <c r="Y1417" s="144"/>
      <c r="Z1417" s="144"/>
      <c r="AA1417" s="144"/>
      <c r="AB1417" s="144"/>
      <c r="AC1417" s="144"/>
      <c r="AD1417" s="144"/>
      <c r="AE1417" s="144"/>
    </row>
    <row r="1418" spans="8:31" x14ac:dyDescent="0.25">
      <c r="H1418" s="144"/>
      <c r="I1418" s="144"/>
      <c r="J1418" s="144"/>
      <c r="K1418" s="144"/>
      <c r="L1418" s="144"/>
      <c r="M1418" s="144"/>
      <c r="N1418" s="144"/>
      <c r="O1418" s="144"/>
      <c r="P1418" s="144"/>
      <c r="Q1418" s="144"/>
      <c r="R1418" s="144"/>
      <c r="S1418" s="144"/>
      <c r="T1418" s="144"/>
      <c r="U1418" s="144"/>
      <c r="V1418" s="144"/>
      <c r="W1418" s="144"/>
      <c r="X1418" s="144"/>
      <c r="Y1418" s="144"/>
      <c r="Z1418" s="144"/>
      <c r="AA1418" s="144"/>
      <c r="AB1418" s="144"/>
      <c r="AC1418" s="144"/>
      <c r="AD1418" s="144"/>
      <c r="AE1418" s="144"/>
    </row>
    <row r="1419" spans="8:31" x14ac:dyDescent="0.25">
      <c r="H1419" s="144"/>
      <c r="I1419" s="144"/>
      <c r="J1419" s="144"/>
      <c r="K1419" s="144"/>
      <c r="L1419" s="144"/>
      <c r="M1419" s="144"/>
      <c r="N1419" s="144"/>
      <c r="O1419" s="144"/>
      <c r="P1419" s="144"/>
      <c r="Q1419" s="144"/>
      <c r="R1419" s="144"/>
      <c r="S1419" s="144"/>
      <c r="T1419" s="144"/>
      <c r="U1419" s="144"/>
      <c r="V1419" s="144"/>
      <c r="W1419" s="144"/>
      <c r="X1419" s="144"/>
      <c r="Y1419" s="144"/>
      <c r="Z1419" s="144"/>
      <c r="AA1419" s="144"/>
      <c r="AB1419" s="144"/>
      <c r="AC1419" s="144"/>
      <c r="AD1419" s="144"/>
      <c r="AE1419" s="144"/>
    </row>
    <row r="1420" spans="8:31" x14ac:dyDescent="0.25">
      <c r="H1420" s="144"/>
      <c r="I1420" s="144"/>
      <c r="J1420" s="144"/>
      <c r="K1420" s="144"/>
      <c r="L1420" s="144"/>
      <c r="M1420" s="144"/>
      <c r="N1420" s="144"/>
      <c r="O1420" s="144"/>
      <c r="P1420" s="144"/>
      <c r="Q1420" s="144"/>
      <c r="R1420" s="144"/>
      <c r="S1420" s="144"/>
      <c r="T1420" s="144"/>
      <c r="U1420" s="144"/>
      <c r="V1420" s="144"/>
      <c r="W1420" s="144"/>
      <c r="X1420" s="144"/>
      <c r="Y1420" s="144"/>
      <c r="Z1420" s="144"/>
      <c r="AA1420" s="144"/>
      <c r="AB1420" s="144"/>
      <c r="AC1420" s="144"/>
      <c r="AD1420" s="144"/>
      <c r="AE1420" s="144"/>
    </row>
    <row r="1421" spans="8:31" x14ac:dyDescent="0.25">
      <c r="H1421" s="144"/>
      <c r="I1421" s="144"/>
      <c r="J1421" s="144"/>
      <c r="K1421" s="144"/>
      <c r="L1421" s="144"/>
      <c r="M1421" s="144"/>
      <c r="N1421" s="144"/>
      <c r="O1421" s="144"/>
      <c r="P1421" s="144"/>
      <c r="Q1421" s="144"/>
      <c r="R1421" s="144"/>
      <c r="S1421" s="144"/>
      <c r="T1421" s="144"/>
      <c r="U1421" s="144"/>
      <c r="V1421" s="144"/>
      <c r="W1421" s="144"/>
      <c r="X1421" s="144"/>
      <c r="Y1421" s="144"/>
      <c r="Z1421" s="144"/>
      <c r="AA1421" s="144"/>
      <c r="AB1421" s="144"/>
      <c r="AC1421" s="144"/>
      <c r="AD1421" s="144"/>
      <c r="AE1421" s="144"/>
    </row>
    <row r="1422" spans="8:31" x14ac:dyDescent="0.25">
      <c r="H1422" s="144"/>
      <c r="I1422" s="144"/>
      <c r="J1422" s="144"/>
      <c r="K1422" s="144"/>
      <c r="L1422" s="144"/>
      <c r="M1422" s="144"/>
      <c r="N1422" s="144"/>
      <c r="O1422" s="144"/>
      <c r="P1422" s="144"/>
      <c r="Q1422" s="144"/>
      <c r="R1422" s="144"/>
      <c r="S1422" s="144"/>
      <c r="T1422" s="144"/>
      <c r="U1422" s="144"/>
      <c r="V1422" s="144"/>
      <c r="W1422" s="144"/>
      <c r="X1422" s="144"/>
      <c r="Y1422" s="144"/>
      <c r="Z1422" s="144"/>
      <c r="AA1422" s="144"/>
      <c r="AB1422" s="144"/>
      <c r="AC1422" s="144"/>
      <c r="AD1422" s="144"/>
      <c r="AE1422" s="144"/>
    </row>
    <row r="1423" spans="8:31" x14ac:dyDescent="0.25">
      <c r="H1423" s="144"/>
      <c r="I1423" s="144"/>
      <c r="J1423" s="144"/>
      <c r="K1423" s="144"/>
      <c r="L1423" s="144"/>
      <c r="M1423" s="144"/>
      <c r="N1423" s="144"/>
      <c r="O1423" s="144"/>
      <c r="P1423" s="144"/>
      <c r="Q1423" s="144"/>
      <c r="R1423" s="144"/>
      <c r="S1423" s="144"/>
      <c r="T1423" s="144"/>
      <c r="U1423" s="144"/>
      <c r="V1423" s="144"/>
      <c r="W1423" s="144"/>
      <c r="X1423" s="144"/>
      <c r="Y1423" s="144"/>
      <c r="Z1423" s="144"/>
      <c r="AA1423" s="144"/>
      <c r="AB1423" s="144"/>
      <c r="AC1423" s="144"/>
      <c r="AD1423" s="144"/>
      <c r="AE1423" s="144"/>
    </row>
    <row r="1424" spans="8:31" x14ac:dyDescent="0.25">
      <c r="H1424" s="144"/>
      <c r="I1424" s="144"/>
      <c r="J1424" s="144"/>
      <c r="K1424" s="144"/>
      <c r="L1424" s="144"/>
      <c r="M1424" s="144"/>
      <c r="N1424" s="144"/>
      <c r="O1424" s="144"/>
      <c r="P1424" s="144"/>
      <c r="Q1424" s="144"/>
      <c r="R1424" s="144"/>
      <c r="S1424" s="144"/>
      <c r="T1424" s="144"/>
      <c r="U1424" s="144"/>
      <c r="V1424" s="144"/>
      <c r="W1424" s="144"/>
      <c r="X1424" s="144"/>
      <c r="Y1424" s="144"/>
      <c r="Z1424" s="144"/>
      <c r="AA1424" s="144"/>
      <c r="AB1424" s="144"/>
      <c r="AC1424" s="144"/>
      <c r="AD1424" s="144"/>
      <c r="AE1424" s="144"/>
    </row>
    <row r="1425" spans="8:31" x14ac:dyDescent="0.25">
      <c r="H1425" s="144"/>
      <c r="I1425" s="144"/>
      <c r="J1425" s="144"/>
      <c r="K1425" s="144"/>
      <c r="L1425" s="144"/>
      <c r="M1425" s="144"/>
      <c r="N1425" s="144"/>
      <c r="O1425" s="144"/>
      <c r="P1425" s="144"/>
      <c r="Q1425" s="144"/>
      <c r="R1425" s="144"/>
      <c r="S1425" s="144"/>
      <c r="T1425" s="144"/>
      <c r="U1425" s="144"/>
      <c r="V1425" s="144"/>
      <c r="W1425" s="144"/>
      <c r="X1425" s="144"/>
      <c r="Y1425" s="144"/>
      <c r="Z1425" s="144"/>
      <c r="AA1425" s="144"/>
      <c r="AB1425" s="144"/>
      <c r="AC1425" s="144"/>
      <c r="AD1425" s="144"/>
      <c r="AE1425" s="144"/>
    </row>
    <row r="1426" spans="8:31" x14ac:dyDescent="0.25">
      <c r="H1426" s="144"/>
      <c r="I1426" s="144"/>
      <c r="J1426" s="144"/>
      <c r="K1426" s="144"/>
      <c r="L1426" s="144"/>
      <c r="M1426" s="144"/>
      <c r="N1426" s="144"/>
      <c r="O1426" s="144"/>
      <c r="P1426" s="144"/>
      <c r="Q1426" s="144"/>
      <c r="R1426" s="144"/>
      <c r="S1426" s="144"/>
      <c r="T1426" s="144"/>
      <c r="U1426" s="144"/>
      <c r="V1426" s="144"/>
      <c r="W1426" s="144"/>
      <c r="X1426" s="144"/>
      <c r="Y1426" s="144"/>
      <c r="Z1426" s="144"/>
      <c r="AA1426" s="144"/>
      <c r="AB1426" s="144"/>
      <c r="AC1426" s="144"/>
      <c r="AD1426" s="144"/>
      <c r="AE1426" s="144"/>
    </row>
    <row r="1427" spans="8:31" x14ac:dyDescent="0.25">
      <c r="H1427" s="144"/>
      <c r="I1427" s="144"/>
      <c r="J1427" s="144"/>
      <c r="K1427" s="144"/>
      <c r="L1427" s="144"/>
      <c r="M1427" s="144"/>
      <c r="N1427" s="144"/>
      <c r="O1427" s="144"/>
      <c r="P1427" s="144"/>
      <c r="Q1427" s="144"/>
      <c r="R1427" s="144"/>
      <c r="S1427" s="144"/>
      <c r="T1427" s="144"/>
      <c r="U1427" s="144"/>
      <c r="V1427" s="144"/>
      <c r="W1427" s="144"/>
      <c r="X1427" s="144"/>
      <c r="Y1427" s="144"/>
      <c r="Z1427" s="144"/>
      <c r="AA1427" s="144"/>
      <c r="AB1427" s="144"/>
      <c r="AC1427" s="144"/>
      <c r="AD1427" s="144"/>
      <c r="AE1427" s="144"/>
    </row>
    <row r="1428" spans="8:31" x14ac:dyDescent="0.25">
      <c r="H1428" s="144"/>
      <c r="I1428" s="144"/>
      <c r="J1428" s="144"/>
      <c r="K1428" s="144"/>
      <c r="L1428" s="144"/>
      <c r="M1428" s="144"/>
      <c r="N1428" s="144"/>
      <c r="O1428" s="144"/>
      <c r="P1428" s="144"/>
      <c r="Q1428" s="144"/>
      <c r="R1428" s="144"/>
      <c r="S1428" s="144"/>
      <c r="T1428" s="144"/>
      <c r="U1428" s="144"/>
      <c r="V1428" s="144"/>
      <c r="W1428" s="144"/>
      <c r="X1428" s="144"/>
      <c r="Y1428" s="144"/>
      <c r="Z1428" s="144"/>
      <c r="AA1428" s="144"/>
      <c r="AB1428" s="144"/>
      <c r="AC1428" s="144"/>
      <c r="AD1428" s="144"/>
      <c r="AE1428" s="144"/>
    </row>
    <row r="1429" spans="8:31" x14ac:dyDescent="0.25">
      <c r="H1429" s="144"/>
      <c r="I1429" s="144"/>
      <c r="J1429" s="144"/>
      <c r="K1429" s="144"/>
      <c r="L1429" s="144"/>
      <c r="M1429" s="144"/>
      <c r="N1429" s="144"/>
      <c r="O1429" s="144"/>
      <c r="P1429" s="144"/>
      <c r="Q1429" s="144"/>
      <c r="R1429" s="144"/>
      <c r="S1429" s="144"/>
      <c r="T1429" s="144"/>
      <c r="U1429" s="144"/>
      <c r="V1429" s="144"/>
      <c r="W1429" s="144"/>
      <c r="X1429" s="144"/>
      <c r="Y1429" s="144"/>
      <c r="Z1429" s="144"/>
      <c r="AA1429" s="144"/>
      <c r="AB1429" s="144"/>
      <c r="AC1429" s="144"/>
      <c r="AD1429" s="144"/>
      <c r="AE1429" s="144"/>
    </row>
    <row r="1430" spans="8:31" x14ac:dyDescent="0.25">
      <c r="H1430" s="144"/>
      <c r="I1430" s="144"/>
      <c r="J1430" s="144"/>
      <c r="K1430" s="144"/>
      <c r="L1430" s="144"/>
      <c r="M1430" s="144"/>
      <c r="N1430" s="144"/>
      <c r="O1430" s="144"/>
      <c r="P1430" s="144"/>
      <c r="Q1430" s="144"/>
      <c r="R1430" s="144"/>
      <c r="S1430" s="144"/>
      <c r="T1430" s="144"/>
      <c r="U1430" s="144"/>
      <c r="V1430" s="144"/>
      <c r="W1430" s="144"/>
      <c r="X1430" s="144"/>
      <c r="Y1430" s="144"/>
      <c r="Z1430" s="144"/>
      <c r="AA1430" s="144"/>
      <c r="AB1430" s="144"/>
      <c r="AC1430" s="144"/>
      <c r="AD1430" s="144"/>
      <c r="AE1430" s="144"/>
    </row>
    <row r="1431" spans="8:31" x14ac:dyDescent="0.25">
      <c r="H1431" s="144"/>
      <c r="I1431" s="144"/>
      <c r="J1431" s="144"/>
      <c r="K1431" s="144"/>
      <c r="L1431" s="144"/>
      <c r="M1431" s="144"/>
      <c r="N1431" s="144"/>
      <c r="O1431" s="144"/>
      <c r="P1431" s="144"/>
      <c r="Q1431" s="144"/>
      <c r="R1431" s="144"/>
      <c r="S1431" s="144"/>
      <c r="T1431" s="144"/>
      <c r="U1431" s="144"/>
      <c r="V1431" s="144"/>
      <c r="W1431" s="144"/>
      <c r="X1431" s="144"/>
      <c r="Y1431" s="144"/>
      <c r="Z1431" s="144"/>
      <c r="AA1431" s="144"/>
      <c r="AB1431" s="144"/>
      <c r="AC1431" s="144"/>
      <c r="AD1431" s="144"/>
      <c r="AE1431" s="144"/>
    </row>
    <row r="1432" spans="8:31" x14ac:dyDescent="0.25">
      <c r="H1432" s="144"/>
      <c r="I1432" s="144"/>
      <c r="J1432" s="144"/>
      <c r="K1432" s="144"/>
      <c r="L1432" s="144"/>
      <c r="M1432" s="144"/>
      <c r="N1432" s="144"/>
      <c r="O1432" s="144"/>
      <c r="P1432" s="144"/>
      <c r="Q1432" s="144"/>
      <c r="R1432" s="144"/>
      <c r="S1432" s="144"/>
      <c r="T1432" s="144"/>
      <c r="U1432" s="144"/>
      <c r="V1432" s="144"/>
      <c r="W1432" s="144"/>
      <c r="X1432" s="144"/>
      <c r="Y1432" s="144"/>
      <c r="Z1432" s="144"/>
      <c r="AA1432" s="144"/>
      <c r="AB1432" s="144"/>
      <c r="AC1432" s="144"/>
      <c r="AD1432" s="144"/>
      <c r="AE1432" s="144"/>
    </row>
    <row r="1433" spans="8:31" x14ac:dyDescent="0.25">
      <c r="H1433" s="144"/>
      <c r="I1433" s="144"/>
      <c r="J1433" s="144"/>
      <c r="K1433" s="144"/>
      <c r="L1433" s="144"/>
      <c r="M1433" s="144"/>
      <c r="N1433" s="144"/>
      <c r="O1433" s="144"/>
      <c r="P1433" s="144"/>
      <c r="Q1433" s="144"/>
      <c r="R1433" s="144"/>
      <c r="S1433" s="144"/>
      <c r="T1433" s="144"/>
      <c r="U1433" s="144"/>
      <c r="V1433" s="144"/>
      <c r="W1433" s="144"/>
      <c r="X1433" s="144"/>
      <c r="Y1433" s="144"/>
      <c r="Z1433" s="144"/>
      <c r="AA1433" s="144"/>
      <c r="AB1433" s="144"/>
      <c r="AC1433" s="144"/>
      <c r="AD1433" s="144"/>
      <c r="AE1433" s="144"/>
    </row>
    <row r="1434" spans="8:31" x14ac:dyDescent="0.25">
      <c r="H1434" s="144"/>
      <c r="I1434" s="144"/>
      <c r="J1434" s="144"/>
      <c r="K1434" s="144"/>
      <c r="L1434" s="144"/>
      <c r="M1434" s="144"/>
      <c r="N1434" s="144"/>
      <c r="O1434" s="144"/>
      <c r="P1434" s="144"/>
      <c r="Q1434" s="144"/>
      <c r="R1434" s="144"/>
      <c r="S1434" s="144"/>
      <c r="T1434" s="144"/>
      <c r="U1434" s="144"/>
      <c r="V1434" s="144"/>
      <c r="W1434" s="144"/>
      <c r="X1434" s="144"/>
      <c r="Y1434" s="144"/>
      <c r="Z1434" s="144"/>
      <c r="AA1434" s="144"/>
      <c r="AB1434" s="144"/>
      <c r="AC1434" s="144"/>
      <c r="AD1434" s="144"/>
      <c r="AE1434" s="144"/>
    </row>
    <row r="1435" spans="8:31" x14ac:dyDescent="0.25">
      <c r="H1435" s="144"/>
      <c r="I1435" s="144"/>
      <c r="J1435" s="144"/>
      <c r="K1435" s="144"/>
      <c r="L1435" s="144"/>
      <c r="M1435" s="144"/>
      <c r="N1435" s="144"/>
      <c r="O1435" s="144"/>
      <c r="P1435" s="144"/>
      <c r="Q1435" s="144"/>
      <c r="R1435" s="144"/>
      <c r="S1435" s="144"/>
      <c r="T1435" s="144"/>
      <c r="U1435" s="144"/>
      <c r="V1435" s="144"/>
      <c r="W1435" s="144"/>
      <c r="X1435" s="144"/>
      <c r="Y1435" s="144"/>
      <c r="Z1435" s="144"/>
      <c r="AA1435" s="144"/>
      <c r="AB1435" s="144"/>
      <c r="AC1435" s="144"/>
      <c r="AD1435" s="144"/>
      <c r="AE1435" s="144"/>
    </row>
    <row r="1436" spans="8:31" x14ac:dyDescent="0.25">
      <c r="H1436" s="144"/>
      <c r="I1436" s="144"/>
      <c r="J1436" s="144"/>
      <c r="K1436" s="144"/>
      <c r="L1436" s="144"/>
      <c r="M1436" s="144"/>
      <c r="N1436" s="144"/>
      <c r="O1436" s="144"/>
      <c r="P1436" s="144"/>
      <c r="Q1436" s="144"/>
      <c r="R1436" s="144"/>
      <c r="S1436" s="144"/>
      <c r="T1436" s="144"/>
      <c r="U1436" s="144"/>
      <c r="V1436" s="144"/>
      <c r="W1436" s="144"/>
      <c r="X1436" s="144"/>
      <c r="Y1436" s="144"/>
      <c r="Z1436" s="144"/>
      <c r="AA1436" s="144"/>
      <c r="AB1436" s="144"/>
      <c r="AC1436" s="144"/>
      <c r="AD1436" s="144"/>
      <c r="AE1436" s="144"/>
    </row>
    <row r="1437" spans="8:31" x14ac:dyDescent="0.25">
      <c r="H1437" s="144"/>
      <c r="I1437" s="144"/>
      <c r="J1437" s="144"/>
      <c r="K1437" s="144"/>
      <c r="L1437" s="144"/>
      <c r="M1437" s="144"/>
      <c r="N1437" s="144"/>
      <c r="O1437" s="144"/>
      <c r="P1437" s="144"/>
      <c r="Q1437" s="144"/>
      <c r="R1437" s="144"/>
      <c r="S1437" s="144"/>
      <c r="T1437" s="144"/>
      <c r="U1437" s="144"/>
      <c r="V1437" s="144"/>
      <c r="W1437" s="144"/>
      <c r="X1437" s="144"/>
      <c r="Y1437" s="144"/>
      <c r="Z1437" s="144"/>
      <c r="AA1437" s="144"/>
      <c r="AB1437" s="144"/>
      <c r="AC1437" s="144"/>
      <c r="AD1437" s="144"/>
      <c r="AE1437" s="144"/>
    </row>
    <row r="1438" spans="8:31" x14ac:dyDescent="0.25">
      <c r="H1438" s="144"/>
      <c r="I1438" s="144"/>
      <c r="J1438" s="144"/>
      <c r="K1438" s="144"/>
      <c r="L1438" s="144"/>
      <c r="M1438" s="144"/>
      <c r="N1438" s="144"/>
      <c r="O1438" s="144"/>
      <c r="P1438" s="144"/>
      <c r="Q1438" s="144"/>
      <c r="R1438" s="144"/>
      <c r="S1438" s="144"/>
      <c r="T1438" s="144"/>
      <c r="U1438" s="144"/>
      <c r="V1438" s="144"/>
      <c r="W1438" s="144"/>
      <c r="X1438" s="144"/>
      <c r="Y1438" s="144"/>
      <c r="Z1438" s="144"/>
      <c r="AA1438" s="144"/>
      <c r="AB1438" s="144"/>
      <c r="AC1438" s="144"/>
      <c r="AD1438" s="144"/>
      <c r="AE1438" s="144"/>
    </row>
    <row r="1439" spans="8:31" x14ac:dyDescent="0.25">
      <c r="H1439" s="144"/>
      <c r="I1439" s="144"/>
      <c r="J1439" s="144"/>
      <c r="K1439" s="144"/>
      <c r="L1439" s="144"/>
      <c r="M1439" s="144"/>
      <c r="N1439" s="144"/>
      <c r="O1439" s="144"/>
      <c r="P1439" s="144"/>
      <c r="Q1439" s="144"/>
      <c r="R1439" s="144"/>
      <c r="S1439" s="144"/>
      <c r="T1439" s="144"/>
      <c r="U1439" s="144"/>
      <c r="V1439" s="144"/>
      <c r="W1439" s="144"/>
      <c r="X1439" s="144"/>
      <c r="Y1439" s="144"/>
      <c r="Z1439" s="144"/>
      <c r="AA1439" s="144"/>
      <c r="AB1439" s="144"/>
      <c r="AC1439" s="144"/>
      <c r="AD1439" s="144"/>
      <c r="AE1439" s="144"/>
    </row>
    <row r="1440" spans="8:31" x14ac:dyDescent="0.25">
      <c r="H1440" s="144"/>
      <c r="I1440" s="144"/>
      <c r="J1440" s="144"/>
      <c r="K1440" s="144"/>
      <c r="L1440" s="144"/>
      <c r="M1440" s="144"/>
      <c r="N1440" s="144"/>
      <c r="O1440" s="144"/>
      <c r="P1440" s="144"/>
      <c r="Q1440" s="144"/>
      <c r="R1440" s="144"/>
      <c r="S1440" s="144"/>
      <c r="T1440" s="144"/>
      <c r="U1440" s="144"/>
      <c r="V1440" s="144"/>
      <c r="W1440" s="144"/>
      <c r="X1440" s="144"/>
      <c r="Y1440" s="144"/>
      <c r="Z1440" s="144"/>
      <c r="AA1440" s="144"/>
      <c r="AB1440" s="144"/>
      <c r="AC1440" s="144"/>
      <c r="AD1440" s="144"/>
      <c r="AE1440" s="144"/>
    </row>
    <row r="1441" spans="8:31" x14ac:dyDescent="0.25">
      <c r="H1441" s="144"/>
      <c r="I1441" s="144"/>
      <c r="J1441" s="144"/>
      <c r="K1441" s="144"/>
      <c r="L1441" s="144"/>
      <c r="M1441" s="144"/>
      <c r="N1441" s="144"/>
      <c r="O1441" s="144"/>
      <c r="P1441" s="144"/>
      <c r="Q1441" s="144"/>
      <c r="R1441" s="144"/>
      <c r="S1441" s="144"/>
      <c r="T1441" s="144"/>
      <c r="U1441" s="144"/>
      <c r="V1441" s="144"/>
      <c r="W1441" s="144"/>
      <c r="X1441" s="144"/>
      <c r="Y1441" s="144"/>
      <c r="Z1441" s="144"/>
      <c r="AA1441" s="144"/>
      <c r="AB1441" s="144"/>
      <c r="AC1441" s="144"/>
      <c r="AD1441" s="144"/>
      <c r="AE1441" s="144"/>
    </row>
    <row r="1442" spans="8:31" x14ac:dyDescent="0.25">
      <c r="H1442" s="144"/>
      <c r="I1442" s="144"/>
      <c r="J1442" s="144"/>
      <c r="K1442" s="144"/>
      <c r="L1442" s="144"/>
      <c r="M1442" s="144"/>
      <c r="N1442" s="144"/>
      <c r="O1442" s="144"/>
      <c r="P1442" s="144"/>
      <c r="Q1442" s="144"/>
      <c r="R1442" s="144"/>
      <c r="S1442" s="144"/>
      <c r="T1442" s="144"/>
      <c r="U1442" s="144"/>
      <c r="V1442" s="144"/>
      <c r="W1442" s="144"/>
      <c r="X1442" s="144"/>
      <c r="Y1442" s="144"/>
      <c r="Z1442" s="144"/>
      <c r="AA1442" s="144"/>
      <c r="AB1442" s="144"/>
      <c r="AC1442" s="144"/>
      <c r="AD1442" s="144"/>
      <c r="AE1442" s="144"/>
    </row>
    <row r="1443" spans="8:31" x14ac:dyDescent="0.25">
      <c r="H1443" s="144"/>
      <c r="I1443" s="144"/>
      <c r="J1443" s="144"/>
      <c r="K1443" s="144"/>
      <c r="L1443" s="144"/>
      <c r="M1443" s="144"/>
      <c r="N1443" s="144"/>
      <c r="O1443" s="144"/>
      <c r="P1443" s="144"/>
      <c r="Q1443" s="144"/>
      <c r="R1443" s="144"/>
      <c r="S1443" s="144"/>
      <c r="T1443" s="144"/>
      <c r="U1443" s="144"/>
      <c r="V1443" s="144"/>
      <c r="W1443" s="144"/>
      <c r="X1443" s="144"/>
      <c r="Y1443" s="144"/>
      <c r="Z1443" s="144"/>
      <c r="AA1443" s="144"/>
      <c r="AB1443" s="144"/>
      <c r="AC1443" s="144"/>
      <c r="AD1443" s="144"/>
      <c r="AE1443" s="144"/>
    </row>
    <row r="1444" spans="8:31" x14ac:dyDescent="0.25">
      <c r="H1444" s="144"/>
      <c r="I1444" s="144"/>
      <c r="J1444" s="144"/>
      <c r="K1444" s="144"/>
      <c r="L1444" s="144"/>
      <c r="M1444" s="144"/>
      <c r="N1444" s="144"/>
      <c r="O1444" s="144"/>
      <c r="P1444" s="144"/>
      <c r="Q1444" s="144"/>
      <c r="R1444" s="144"/>
      <c r="S1444" s="144"/>
      <c r="T1444" s="144"/>
      <c r="U1444" s="144"/>
      <c r="V1444" s="144"/>
      <c r="W1444" s="144"/>
      <c r="X1444" s="144"/>
      <c r="Y1444" s="144"/>
      <c r="Z1444" s="144"/>
      <c r="AA1444" s="144"/>
      <c r="AB1444" s="144"/>
      <c r="AC1444" s="144"/>
      <c r="AD1444" s="144"/>
      <c r="AE1444" s="144"/>
    </row>
    <row r="1445" spans="8:31" x14ac:dyDescent="0.25">
      <c r="H1445" s="144"/>
      <c r="I1445" s="144"/>
      <c r="J1445" s="144"/>
      <c r="K1445" s="144"/>
      <c r="L1445" s="144"/>
      <c r="M1445" s="144"/>
      <c r="N1445" s="144"/>
      <c r="O1445" s="144"/>
      <c r="P1445" s="144"/>
      <c r="Q1445" s="144"/>
      <c r="R1445" s="144"/>
      <c r="S1445" s="144"/>
      <c r="T1445" s="144"/>
      <c r="U1445" s="144"/>
      <c r="V1445" s="144"/>
      <c r="W1445" s="144"/>
      <c r="X1445" s="144"/>
      <c r="Y1445" s="144"/>
      <c r="Z1445" s="144"/>
      <c r="AA1445" s="144"/>
      <c r="AB1445" s="144"/>
      <c r="AC1445" s="144"/>
      <c r="AD1445" s="144"/>
      <c r="AE1445" s="144"/>
    </row>
    <row r="1446" spans="8:31" x14ac:dyDescent="0.25">
      <c r="H1446" s="144"/>
      <c r="I1446" s="144"/>
      <c r="J1446" s="144"/>
      <c r="K1446" s="144"/>
      <c r="L1446" s="144"/>
      <c r="M1446" s="144"/>
      <c r="N1446" s="144"/>
      <c r="O1446" s="144"/>
      <c r="P1446" s="144"/>
      <c r="Q1446" s="144"/>
      <c r="R1446" s="144"/>
      <c r="S1446" s="144"/>
      <c r="T1446" s="144"/>
      <c r="U1446" s="144"/>
      <c r="V1446" s="144"/>
      <c r="W1446" s="144"/>
      <c r="X1446" s="144"/>
      <c r="Y1446" s="144"/>
      <c r="Z1446" s="144"/>
      <c r="AA1446" s="144"/>
      <c r="AB1446" s="144"/>
      <c r="AC1446" s="144"/>
      <c r="AD1446" s="144"/>
      <c r="AE1446" s="144"/>
    </row>
    <row r="1447" spans="8:31" x14ac:dyDescent="0.25">
      <c r="H1447" s="144"/>
      <c r="I1447" s="144"/>
      <c r="J1447" s="144"/>
      <c r="K1447" s="144"/>
      <c r="L1447" s="144"/>
      <c r="M1447" s="144"/>
      <c r="N1447" s="144"/>
      <c r="O1447" s="144"/>
      <c r="P1447" s="144"/>
      <c r="Q1447" s="144"/>
      <c r="R1447" s="144"/>
      <c r="S1447" s="144"/>
      <c r="T1447" s="144"/>
      <c r="U1447" s="144"/>
      <c r="V1447" s="144"/>
      <c r="W1447" s="144"/>
      <c r="X1447" s="144"/>
      <c r="Y1447" s="144"/>
      <c r="Z1447" s="144"/>
      <c r="AA1447" s="144"/>
      <c r="AB1447" s="144"/>
      <c r="AC1447" s="144"/>
      <c r="AD1447" s="144"/>
      <c r="AE1447" s="144"/>
    </row>
    <row r="1448" spans="8:31" x14ac:dyDescent="0.25">
      <c r="H1448" s="144"/>
      <c r="I1448" s="144"/>
      <c r="J1448" s="144"/>
      <c r="K1448" s="144"/>
      <c r="L1448" s="144"/>
      <c r="M1448" s="144"/>
      <c r="N1448" s="144"/>
      <c r="O1448" s="144"/>
      <c r="P1448" s="144"/>
      <c r="Q1448" s="144"/>
      <c r="R1448" s="144"/>
      <c r="S1448" s="144"/>
      <c r="T1448" s="144"/>
      <c r="U1448" s="144"/>
      <c r="V1448" s="144"/>
      <c r="W1448" s="144"/>
      <c r="X1448" s="144"/>
      <c r="Y1448" s="144"/>
      <c r="Z1448" s="144"/>
      <c r="AA1448" s="144"/>
      <c r="AB1448" s="144"/>
      <c r="AC1448" s="144"/>
      <c r="AD1448" s="144"/>
      <c r="AE1448" s="144"/>
    </row>
    <row r="1449" spans="8:31" x14ac:dyDescent="0.25">
      <c r="H1449" s="144"/>
      <c r="I1449" s="144"/>
      <c r="J1449" s="144"/>
      <c r="K1449" s="144"/>
      <c r="L1449" s="144"/>
      <c r="M1449" s="144"/>
      <c r="N1449" s="144"/>
      <c r="O1449" s="144"/>
      <c r="P1449" s="144"/>
      <c r="Q1449" s="144"/>
      <c r="R1449" s="144"/>
      <c r="S1449" s="144"/>
      <c r="T1449" s="144"/>
      <c r="U1449" s="144"/>
      <c r="V1449" s="144"/>
      <c r="W1449" s="144"/>
      <c r="X1449" s="144"/>
      <c r="Y1449" s="144"/>
      <c r="Z1449" s="144"/>
      <c r="AA1449" s="144"/>
      <c r="AB1449" s="144"/>
      <c r="AC1449" s="144"/>
      <c r="AD1449" s="144"/>
      <c r="AE1449" s="144"/>
    </row>
    <row r="1450" spans="8:31" x14ac:dyDescent="0.25">
      <c r="H1450" s="144"/>
      <c r="I1450" s="144"/>
      <c r="J1450" s="144"/>
      <c r="K1450" s="144"/>
      <c r="L1450" s="144"/>
      <c r="M1450" s="144"/>
      <c r="N1450" s="144"/>
      <c r="O1450" s="144"/>
      <c r="P1450" s="144"/>
      <c r="Q1450" s="144"/>
      <c r="R1450" s="144"/>
      <c r="S1450" s="144"/>
      <c r="T1450" s="144"/>
      <c r="U1450" s="144"/>
      <c r="V1450" s="144"/>
      <c r="W1450" s="144"/>
      <c r="X1450" s="144"/>
      <c r="Y1450" s="144"/>
      <c r="Z1450" s="144"/>
      <c r="AA1450" s="144"/>
      <c r="AB1450" s="144"/>
      <c r="AC1450" s="144"/>
      <c r="AD1450" s="144"/>
      <c r="AE1450" s="144"/>
    </row>
    <row r="1451" spans="8:31" x14ac:dyDescent="0.25">
      <c r="H1451" s="144"/>
      <c r="I1451" s="144"/>
      <c r="J1451" s="144"/>
      <c r="K1451" s="144"/>
      <c r="L1451" s="144"/>
      <c r="M1451" s="144"/>
      <c r="N1451" s="144"/>
      <c r="O1451" s="144"/>
      <c r="P1451" s="144"/>
      <c r="Q1451" s="144"/>
      <c r="R1451" s="144"/>
      <c r="S1451" s="144"/>
      <c r="T1451" s="144"/>
      <c r="U1451" s="144"/>
      <c r="V1451" s="144"/>
      <c r="W1451" s="144"/>
      <c r="X1451" s="144"/>
      <c r="Y1451" s="144"/>
      <c r="Z1451" s="144"/>
      <c r="AA1451" s="144"/>
      <c r="AB1451" s="144"/>
      <c r="AC1451" s="144"/>
      <c r="AD1451" s="144"/>
      <c r="AE1451" s="144"/>
    </row>
    <row r="1452" spans="8:31" x14ac:dyDescent="0.25">
      <c r="H1452" s="144"/>
      <c r="I1452" s="144"/>
      <c r="J1452" s="144"/>
      <c r="K1452" s="144"/>
      <c r="L1452" s="144"/>
      <c r="M1452" s="144"/>
      <c r="N1452" s="144"/>
      <c r="O1452" s="144"/>
      <c r="P1452" s="144"/>
      <c r="Q1452" s="144"/>
      <c r="R1452" s="144"/>
      <c r="S1452" s="144"/>
      <c r="T1452" s="144"/>
      <c r="U1452" s="144"/>
      <c r="V1452" s="144"/>
      <c r="W1452" s="144"/>
      <c r="X1452" s="144"/>
      <c r="Y1452" s="144"/>
      <c r="Z1452" s="144"/>
      <c r="AA1452" s="144"/>
      <c r="AB1452" s="144"/>
      <c r="AC1452" s="144"/>
      <c r="AD1452" s="144"/>
      <c r="AE1452" s="144"/>
    </row>
    <row r="1453" spans="8:31" x14ac:dyDescent="0.25">
      <c r="H1453" s="144"/>
      <c r="I1453" s="144"/>
      <c r="J1453" s="144"/>
      <c r="K1453" s="144"/>
      <c r="L1453" s="144"/>
      <c r="M1453" s="144"/>
      <c r="N1453" s="144"/>
      <c r="O1453" s="144"/>
      <c r="P1453" s="144"/>
      <c r="Q1453" s="144"/>
      <c r="R1453" s="144"/>
      <c r="S1453" s="144"/>
      <c r="T1453" s="144"/>
      <c r="U1453" s="144"/>
      <c r="V1453" s="144"/>
      <c r="W1453" s="144"/>
      <c r="X1453" s="144"/>
      <c r="Y1453" s="144"/>
      <c r="Z1453" s="144"/>
      <c r="AA1453" s="144"/>
      <c r="AB1453" s="144"/>
      <c r="AC1453" s="144"/>
      <c r="AD1453" s="144"/>
      <c r="AE1453" s="144"/>
    </row>
    <row r="1454" spans="8:31" x14ac:dyDescent="0.25">
      <c r="H1454" s="144"/>
      <c r="I1454" s="144"/>
      <c r="J1454" s="144"/>
      <c r="K1454" s="144"/>
      <c r="L1454" s="144"/>
      <c r="M1454" s="144"/>
      <c r="N1454" s="144"/>
      <c r="O1454" s="144"/>
      <c r="P1454" s="144"/>
      <c r="Q1454" s="144"/>
      <c r="R1454" s="144"/>
      <c r="S1454" s="144"/>
      <c r="T1454" s="144"/>
      <c r="U1454" s="144"/>
      <c r="V1454" s="144"/>
      <c r="W1454" s="144"/>
      <c r="X1454" s="144"/>
      <c r="Y1454" s="144"/>
      <c r="Z1454" s="144"/>
      <c r="AA1454" s="144"/>
      <c r="AB1454" s="144"/>
      <c r="AC1454" s="144"/>
      <c r="AD1454" s="144"/>
      <c r="AE1454" s="144"/>
    </row>
    <row r="1455" spans="8:31" x14ac:dyDescent="0.25">
      <c r="H1455" s="144"/>
      <c r="I1455" s="144"/>
      <c r="J1455" s="144"/>
      <c r="K1455" s="144"/>
      <c r="L1455" s="144"/>
      <c r="M1455" s="144"/>
      <c r="N1455" s="144"/>
      <c r="O1455" s="144"/>
      <c r="P1455" s="144"/>
      <c r="Q1455" s="144"/>
      <c r="R1455" s="144"/>
      <c r="S1455" s="144"/>
      <c r="T1455" s="144"/>
      <c r="U1455" s="144"/>
      <c r="V1455" s="144"/>
      <c r="W1455" s="144"/>
      <c r="X1455" s="144"/>
      <c r="Y1455" s="144"/>
      <c r="Z1455" s="144"/>
      <c r="AA1455" s="144"/>
      <c r="AB1455" s="144"/>
      <c r="AC1455" s="144"/>
      <c r="AD1455" s="144"/>
      <c r="AE1455" s="144"/>
    </row>
    <row r="1456" spans="8:31" x14ac:dyDescent="0.25">
      <c r="H1456" s="144"/>
      <c r="I1456" s="144"/>
      <c r="J1456" s="144"/>
      <c r="K1456" s="144"/>
      <c r="L1456" s="144"/>
      <c r="M1456" s="144"/>
      <c r="N1456" s="144"/>
      <c r="O1456" s="144"/>
      <c r="P1456" s="144"/>
      <c r="Q1456" s="144"/>
      <c r="R1456" s="144"/>
      <c r="S1456" s="144"/>
      <c r="T1456" s="144"/>
      <c r="U1456" s="144"/>
      <c r="V1456" s="144"/>
      <c r="W1456" s="144"/>
      <c r="X1456" s="144"/>
      <c r="Y1456" s="144"/>
      <c r="Z1456" s="144"/>
      <c r="AA1456" s="144"/>
      <c r="AB1456" s="144"/>
      <c r="AC1456" s="144"/>
      <c r="AD1456" s="144"/>
      <c r="AE1456" s="144"/>
    </row>
    <row r="1457" spans="8:31" x14ac:dyDescent="0.25">
      <c r="H1457" s="144"/>
      <c r="I1457" s="144"/>
      <c r="J1457" s="144"/>
      <c r="K1457" s="144"/>
      <c r="L1457" s="144"/>
      <c r="M1457" s="144"/>
      <c r="N1457" s="144"/>
      <c r="O1457" s="144"/>
      <c r="P1457" s="144"/>
      <c r="Q1457" s="144"/>
      <c r="R1457" s="144"/>
      <c r="S1457" s="144"/>
      <c r="T1457" s="144"/>
      <c r="U1457" s="144"/>
      <c r="V1457" s="144"/>
      <c r="W1457" s="144"/>
      <c r="X1457" s="144"/>
      <c r="Y1457" s="144"/>
      <c r="Z1457" s="144"/>
      <c r="AA1457" s="144"/>
      <c r="AB1457" s="144"/>
      <c r="AC1457" s="144"/>
      <c r="AD1457" s="144"/>
      <c r="AE1457" s="144"/>
    </row>
    <row r="1458" spans="8:31" x14ac:dyDescent="0.25">
      <c r="H1458" s="144"/>
      <c r="I1458" s="144"/>
      <c r="J1458" s="144"/>
      <c r="K1458" s="144"/>
      <c r="L1458" s="144"/>
      <c r="M1458" s="144"/>
      <c r="N1458" s="144"/>
      <c r="O1458" s="144"/>
      <c r="P1458" s="144"/>
      <c r="Q1458" s="144"/>
      <c r="R1458" s="144"/>
      <c r="S1458" s="144"/>
      <c r="T1458" s="144"/>
      <c r="U1458" s="144"/>
      <c r="V1458" s="144"/>
      <c r="W1458" s="144"/>
      <c r="X1458" s="144"/>
      <c r="Y1458" s="144"/>
      <c r="Z1458" s="144"/>
      <c r="AA1458" s="144"/>
      <c r="AB1458" s="144"/>
      <c r="AC1458" s="144"/>
      <c r="AD1458" s="144"/>
      <c r="AE1458" s="144"/>
    </row>
    <row r="1459" spans="8:31" x14ac:dyDescent="0.25">
      <c r="H1459" s="144"/>
      <c r="I1459" s="144"/>
      <c r="J1459" s="144"/>
      <c r="K1459" s="144"/>
      <c r="L1459" s="144"/>
      <c r="M1459" s="144"/>
      <c r="N1459" s="144"/>
      <c r="O1459" s="144"/>
      <c r="P1459" s="144"/>
      <c r="Q1459" s="144"/>
      <c r="R1459" s="144"/>
      <c r="S1459" s="144"/>
      <c r="T1459" s="144"/>
      <c r="U1459" s="144"/>
      <c r="V1459" s="144"/>
      <c r="W1459" s="144"/>
      <c r="X1459" s="144"/>
      <c r="Y1459" s="144"/>
      <c r="Z1459" s="144"/>
      <c r="AA1459" s="144"/>
      <c r="AB1459" s="144"/>
      <c r="AC1459" s="144"/>
      <c r="AD1459" s="144"/>
      <c r="AE1459" s="144"/>
    </row>
    <row r="1460" spans="8:31" x14ac:dyDescent="0.25">
      <c r="H1460" s="144"/>
      <c r="I1460" s="144"/>
      <c r="J1460" s="144"/>
      <c r="K1460" s="144"/>
      <c r="L1460" s="144"/>
      <c r="M1460" s="144"/>
      <c r="N1460" s="144"/>
      <c r="O1460" s="144"/>
      <c r="P1460" s="144"/>
      <c r="Q1460" s="144"/>
      <c r="R1460" s="144"/>
      <c r="S1460" s="144"/>
      <c r="T1460" s="144"/>
      <c r="U1460" s="144"/>
      <c r="V1460" s="144"/>
      <c r="W1460" s="144"/>
      <c r="X1460" s="144"/>
      <c r="Y1460" s="144"/>
      <c r="Z1460" s="144"/>
      <c r="AA1460" s="144"/>
      <c r="AB1460" s="144"/>
      <c r="AC1460" s="144"/>
      <c r="AD1460" s="144"/>
      <c r="AE1460" s="144"/>
    </row>
    <row r="1461" spans="8:31" x14ac:dyDescent="0.25">
      <c r="H1461" s="144"/>
      <c r="I1461" s="144"/>
      <c r="J1461" s="144"/>
      <c r="K1461" s="144"/>
      <c r="L1461" s="144"/>
      <c r="M1461" s="144"/>
      <c r="N1461" s="144"/>
      <c r="O1461" s="144"/>
      <c r="P1461" s="144"/>
      <c r="Q1461" s="144"/>
      <c r="R1461" s="144"/>
      <c r="S1461" s="144"/>
      <c r="T1461" s="144"/>
      <c r="U1461" s="144"/>
      <c r="V1461" s="144"/>
      <c r="W1461" s="144"/>
      <c r="X1461" s="144"/>
      <c r="Y1461" s="144"/>
      <c r="Z1461" s="144"/>
      <c r="AA1461" s="144"/>
      <c r="AB1461" s="144"/>
      <c r="AC1461" s="144"/>
      <c r="AD1461" s="144"/>
      <c r="AE1461" s="144"/>
    </row>
    <row r="1462" spans="8:31" x14ac:dyDescent="0.25">
      <c r="H1462" s="144"/>
      <c r="I1462" s="144"/>
      <c r="J1462" s="144"/>
      <c r="K1462" s="144"/>
      <c r="L1462" s="144"/>
      <c r="M1462" s="144"/>
      <c r="N1462" s="144"/>
      <c r="O1462" s="144"/>
      <c r="P1462" s="144"/>
      <c r="Q1462" s="144"/>
      <c r="R1462" s="144"/>
      <c r="S1462" s="144"/>
      <c r="T1462" s="144"/>
      <c r="U1462" s="144"/>
      <c r="V1462" s="144"/>
      <c r="W1462" s="144"/>
      <c r="X1462" s="144"/>
      <c r="Y1462" s="144"/>
      <c r="Z1462" s="144"/>
      <c r="AA1462" s="144"/>
      <c r="AB1462" s="144"/>
      <c r="AC1462" s="144"/>
      <c r="AD1462" s="144"/>
      <c r="AE1462" s="144"/>
    </row>
    <row r="1463" spans="8:31" x14ac:dyDescent="0.25">
      <c r="H1463" s="144"/>
      <c r="I1463" s="144"/>
      <c r="J1463" s="144"/>
      <c r="K1463" s="144"/>
      <c r="L1463" s="144"/>
      <c r="M1463" s="144"/>
      <c r="N1463" s="144"/>
      <c r="O1463" s="144"/>
      <c r="P1463" s="144"/>
      <c r="Q1463" s="144"/>
      <c r="R1463" s="144"/>
      <c r="S1463" s="144"/>
      <c r="T1463" s="144"/>
      <c r="U1463" s="144"/>
      <c r="V1463" s="144"/>
      <c r="W1463" s="144"/>
      <c r="X1463" s="144"/>
      <c r="Y1463" s="144"/>
      <c r="Z1463" s="144"/>
      <c r="AA1463" s="144"/>
      <c r="AB1463" s="144"/>
      <c r="AC1463" s="144"/>
      <c r="AD1463" s="144"/>
      <c r="AE1463" s="144"/>
    </row>
    <row r="1464" spans="8:31" x14ac:dyDescent="0.25">
      <c r="H1464" s="144"/>
      <c r="I1464" s="144"/>
      <c r="J1464" s="144"/>
      <c r="K1464" s="144"/>
      <c r="L1464" s="144"/>
      <c r="M1464" s="144"/>
      <c r="N1464" s="144"/>
      <c r="O1464" s="144"/>
      <c r="P1464" s="144"/>
      <c r="Q1464" s="144"/>
      <c r="R1464" s="144"/>
      <c r="S1464" s="144"/>
      <c r="T1464" s="144"/>
      <c r="U1464" s="144"/>
      <c r="V1464" s="144"/>
      <c r="W1464" s="144"/>
      <c r="X1464" s="144"/>
      <c r="Y1464" s="144"/>
      <c r="Z1464" s="144"/>
      <c r="AA1464" s="144"/>
      <c r="AB1464" s="144"/>
      <c r="AC1464" s="144"/>
      <c r="AD1464" s="144"/>
      <c r="AE1464" s="144"/>
    </row>
    <row r="1465" spans="8:31" x14ac:dyDescent="0.25">
      <c r="H1465" s="144"/>
      <c r="I1465" s="144"/>
      <c r="J1465" s="144"/>
      <c r="K1465" s="144"/>
      <c r="L1465" s="144"/>
      <c r="M1465" s="144"/>
      <c r="N1465" s="144"/>
      <c r="O1465" s="144"/>
      <c r="P1465" s="144"/>
      <c r="Q1465" s="144"/>
      <c r="R1465" s="144"/>
      <c r="S1465" s="144"/>
      <c r="T1465" s="144"/>
      <c r="U1465" s="144"/>
      <c r="V1465" s="144"/>
      <c r="W1465" s="144"/>
      <c r="X1465" s="144"/>
      <c r="Y1465" s="144"/>
      <c r="Z1465" s="144"/>
      <c r="AA1465" s="144"/>
      <c r="AB1465" s="144"/>
      <c r="AC1465" s="144"/>
      <c r="AD1465" s="144"/>
      <c r="AE1465" s="144"/>
    </row>
    <row r="1466" spans="8:31" x14ac:dyDescent="0.25">
      <c r="H1466" s="144"/>
      <c r="I1466" s="144"/>
      <c r="J1466" s="144"/>
      <c r="K1466" s="144"/>
      <c r="L1466" s="144"/>
      <c r="M1466" s="144"/>
      <c r="N1466" s="144"/>
      <c r="O1466" s="144"/>
      <c r="P1466" s="144"/>
      <c r="Q1466" s="144"/>
      <c r="R1466" s="144"/>
      <c r="S1466" s="144"/>
      <c r="T1466" s="144"/>
      <c r="U1466" s="144"/>
      <c r="V1466" s="144"/>
      <c r="W1466" s="144"/>
      <c r="X1466" s="144"/>
      <c r="Y1466" s="144"/>
      <c r="Z1466" s="144"/>
      <c r="AA1466" s="144"/>
      <c r="AB1466" s="144"/>
      <c r="AC1466" s="144"/>
      <c r="AD1466" s="144"/>
      <c r="AE1466" s="144"/>
    </row>
    <row r="1467" spans="8:31" x14ac:dyDescent="0.25">
      <c r="H1467" s="144"/>
      <c r="I1467" s="144"/>
      <c r="J1467" s="144"/>
      <c r="K1467" s="144"/>
      <c r="L1467" s="144"/>
      <c r="M1467" s="144"/>
      <c r="N1467" s="144"/>
      <c r="O1467" s="144"/>
      <c r="P1467" s="144"/>
      <c r="Q1467" s="144"/>
      <c r="R1467" s="144"/>
      <c r="S1467" s="144"/>
      <c r="T1467" s="144"/>
      <c r="U1467" s="144"/>
      <c r="V1467" s="144"/>
      <c r="W1467" s="144"/>
      <c r="X1467" s="144"/>
      <c r="Y1467" s="144"/>
      <c r="Z1467" s="144"/>
      <c r="AA1467" s="144"/>
      <c r="AB1467" s="144"/>
      <c r="AC1467" s="144"/>
      <c r="AD1467" s="144"/>
      <c r="AE1467" s="144"/>
    </row>
    <row r="1468" spans="8:31" x14ac:dyDescent="0.25">
      <c r="H1468" s="144"/>
      <c r="I1468" s="144"/>
      <c r="J1468" s="144"/>
      <c r="K1468" s="144"/>
      <c r="L1468" s="144"/>
      <c r="M1468" s="144"/>
      <c r="N1468" s="144"/>
      <c r="O1468" s="144"/>
      <c r="P1468" s="144"/>
      <c r="Q1468" s="144"/>
      <c r="R1468" s="144"/>
      <c r="S1468" s="144"/>
      <c r="T1468" s="144"/>
      <c r="U1468" s="144"/>
      <c r="V1468" s="144"/>
      <c r="W1468" s="144"/>
      <c r="X1468" s="144"/>
      <c r="Y1468" s="144"/>
      <c r="Z1468" s="144"/>
      <c r="AA1468" s="144"/>
      <c r="AB1468" s="144"/>
      <c r="AC1468" s="144"/>
      <c r="AD1468" s="144"/>
      <c r="AE1468" s="144"/>
    </row>
    <row r="1469" spans="8:31" x14ac:dyDescent="0.25">
      <c r="H1469" s="144"/>
      <c r="I1469" s="144"/>
      <c r="J1469" s="144"/>
      <c r="K1469" s="144"/>
      <c r="L1469" s="144"/>
      <c r="M1469" s="144"/>
      <c r="N1469" s="144"/>
      <c r="O1469" s="144"/>
      <c r="P1469" s="144"/>
      <c r="Q1469" s="144"/>
      <c r="R1469" s="144"/>
      <c r="S1469" s="144"/>
      <c r="T1469" s="144"/>
      <c r="U1469" s="144"/>
      <c r="V1469" s="144"/>
      <c r="W1469" s="144"/>
      <c r="X1469" s="144"/>
      <c r="Y1469" s="144"/>
      <c r="Z1469" s="144"/>
      <c r="AA1469" s="144"/>
      <c r="AB1469" s="144"/>
      <c r="AC1469" s="144"/>
      <c r="AD1469" s="144"/>
      <c r="AE1469" s="144"/>
    </row>
    <row r="1470" spans="8:31" x14ac:dyDescent="0.25">
      <c r="H1470" s="144"/>
      <c r="I1470" s="144"/>
      <c r="J1470" s="144"/>
      <c r="K1470" s="144"/>
      <c r="L1470" s="144"/>
      <c r="M1470" s="144"/>
      <c r="N1470" s="144"/>
      <c r="O1470" s="144"/>
      <c r="P1470" s="144"/>
      <c r="Q1470" s="144"/>
      <c r="R1470" s="144"/>
      <c r="S1470" s="144"/>
      <c r="T1470" s="144"/>
      <c r="U1470" s="144"/>
      <c r="V1470" s="144"/>
      <c r="W1470" s="144"/>
      <c r="X1470" s="144"/>
      <c r="Y1470" s="144"/>
      <c r="Z1470" s="144"/>
      <c r="AA1470" s="144"/>
      <c r="AB1470" s="144"/>
      <c r="AC1470" s="144"/>
      <c r="AD1470" s="144"/>
      <c r="AE1470" s="144"/>
    </row>
    <row r="1471" spans="8:31" x14ac:dyDescent="0.25">
      <c r="H1471" s="144"/>
      <c r="I1471" s="144"/>
      <c r="J1471" s="144"/>
      <c r="K1471" s="144"/>
      <c r="L1471" s="144"/>
      <c r="M1471" s="144"/>
      <c r="N1471" s="144"/>
      <c r="O1471" s="144"/>
      <c r="P1471" s="144"/>
      <c r="Q1471" s="144"/>
      <c r="R1471" s="144"/>
      <c r="S1471" s="144"/>
      <c r="T1471" s="144"/>
      <c r="U1471" s="144"/>
      <c r="V1471" s="144"/>
      <c r="W1471" s="144"/>
      <c r="X1471" s="144"/>
      <c r="Y1471" s="144"/>
      <c r="Z1471" s="144"/>
      <c r="AA1471" s="144"/>
      <c r="AB1471" s="144"/>
      <c r="AC1471" s="144"/>
      <c r="AD1471" s="144"/>
      <c r="AE1471" s="144"/>
    </row>
    <row r="1472" spans="8:31" x14ac:dyDescent="0.25">
      <c r="H1472" s="144"/>
      <c r="I1472" s="144"/>
      <c r="J1472" s="144"/>
      <c r="K1472" s="144"/>
      <c r="L1472" s="144"/>
      <c r="M1472" s="144"/>
      <c r="N1472" s="144"/>
      <c r="O1472" s="144"/>
      <c r="P1472" s="144"/>
      <c r="Q1472" s="144"/>
      <c r="R1472" s="144"/>
      <c r="S1472" s="144"/>
      <c r="T1472" s="144"/>
      <c r="U1472" s="144"/>
      <c r="V1472" s="144"/>
      <c r="W1472" s="144"/>
      <c r="X1472" s="144"/>
      <c r="Y1472" s="144"/>
      <c r="Z1472" s="144"/>
      <c r="AA1472" s="144"/>
      <c r="AB1472" s="144"/>
      <c r="AC1472" s="144"/>
      <c r="AD1472" s="144"/>
      <c r="AE1472" s="144"/>
    </row>
    <row r="1473" spans="8:31" x14ac:dyDescent="0.25">
      <c r="H1473" s="144"/>
      <c r="I1473" s="144"/>
      <c r="J1473" s="144"/>
      <c r="K1473" s="144"/>
      <c r="L1473" s="144"/>
      <c r="M1473" s="144"/>
      <c r="N1473" s="144"/>
      <c r="O1473" s="144"/>
      <c r="P1473" s="144"/>
      <c r="Q1473" s="144"/>
      <c r="R1473" s="144"/>
      <c r="S1473" s="144"/>
      <c r="T1473" s="144"/>
      <c r="U1473" s="144"/>
      <c r="V1473" s="144"/>
      <c r="W1473" s="144"/>
      <c r="X1473" s="144"/>
      <c r="Y1473" s="144"/>
      <c r="Z1473" s="144"/>
      <c r="AA1473" s="144"/>
      <c r="AB1473" s="144"/>
      <c r="AC1473" s="144"/>
      <c r="AD1473" s="144"/>
      <c r="AE1473" s="144"/>
    </row>
    <row r="1474" spans="8:31" x14ac:dyDescent="0.25">
      <c r="H1474" s="144"/>
      <c r="I1474" s="144"/>
      <c r="J1474" s="144"/>
      <c r="K1474" s="144"/>
      <c r="L1474" s="144"/>
      <c r="M1474" s="144"/>
      <c r="N1474" s="144"/>
      <c r="O1474" s="144"/>
      <c r="P1474" s="144"/>
      <c r="Q1474" s="144"/>
      <c r="R1474" s="144"/>
      <c r="S1474" s="144"/>
      <c r="T1474" s="144"/>
      <c r="U1474" s="144"/>
      <c r="V1474" s="144"/>
      <c r="W1474" s="144"/>
      <c r="X1474" s="144"/>
      <c r="Y1474" s="144"/>
      <c r="Z1474" s="144"/>
      <c r="AA1474" s="144"/>
      <c r="AB1474" s="144"/>
      <c r="AC1474" s="144"/>
      <c r="AD1474" s="144"/>
      <c r="AE1474" s="144"/>
    </row>
    <row r="1475" spans="8:31" x14ac:dyDescent="0.25">
      <c r="H1475" s="144"/>
      <c r="I1475" s="144"/>
      <c r="J1475" s="144"/>
      <c r="K1475" s="144"/>
      <c r="L1475" s="144"/>
      <c r="M1475" s="144"/>
      <c r="N1475" s="144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  <c r="AC1475" s="144"/>
      <c r="AD1475" s="144"/>
      <c r="AE1475" s="144"/>
    </row>
    <row r="1476" spans="8:31" x14ac:dyDescent="0.25">
      <c r="H1476" s="144"/>
      <c r="I1476" s="144"/>
      <c r="J1476" s="144"/>
      <c r="K1476" s="144"/>
      <c r="L1476" s="144"/>
      <c r="M1476" s="144"/>
      <c r="N1476" s="144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  <c r="AC1476" s="144"/>
      <c r="AD1476" s="144"/>
      <c r="AE1476" s="144"/>
    </row>
    <row r="1477" spans="8:31" x14ac:dyDescent="0.25">
      <c r="H1477" s="144"/>
      <c r="I1477" s="144"/>
      <c r="J1477" s="144"/>
      <c r="K1477" s="144"/>
      <c r="L1477" s="144"/>
      <c r="M1477" s="144"/>
      <c r="N1477" s="144"/>
      <c r="O1477" s="144"/>
      <c r="P1477" s="144"/>
      <c r="Q1477" s="144"/>
      <c r="R1477" s="144"/>
      <c r="S1477" s="144"/>
      <c r="T1477" s="144"/>
      <c r="U1477" s="144"/>
      <c r="V1477" s="144"/>
      <c r="W1477" s="144"/>
      <c r="X1477" s="144"/>
      <c r="Y1477" s="144"/>
      <c r="Z1477" s="144"/>
      <c r="AA1477" s="144"/>
      <c r="AB1477" s="144"/>
      <c r="AC1477" s="144"/>
      <c r="AD1477" s="144"/>
      <c r="AE1477" s="144"/>
    </row>
    <row r="1478" spans="8:31" x14ac:dyDescent="0.25">
      <c r="H1478" s="144"/>
      <c r="I1478" s="144"/>
      <c r="J1478" s="144"/>
      <c r="K1478" s="144"/>
      <c r="L1478" s="144"/>
      <c r="M1478" s="144"/>
      <c r="N1478" s="144"/>
      <c r="O1478" s="144"/>
      <c r="P1478" s="144"/>
      <c r="Q1478" s="144"/>
      <c r="R1478" s="144"/>
      <c r="S1478" s="144"/>
      <c r="T1478" s="144"/>
      <c r="U1478" s="144"/>
      <c r="V1478" s="144"/>
      <c r="W1478" s="144"/>
      <c r="X1478" s="144"/>
      <c r="Y1478" s="144"/>
      <c r="Z1478" s="144"/>
      <c r="AA1478" s="144"/>
      <c r="AB1478" s="144"/>
      <c r="AC1478" s="144"/>
      <c r="AD1478" s="144"/>
      <c r="AE1478" s="144"/>
    </row>
    <row r="1479" spans="8:31" x14ac:dyDescent="0.25">
      <c r="H1479" s="144"/>
      <c r="I1479" s="144"/>
      <c r="J1479" s="144"/>
      <c r="K1479" s="144"/>
      <c r="L1479" s="144"/>
      <c r="M1479" s="144"/>
      <c r="N1479" s="144"/>
      <c r="O1479" s="144"/>
      <c r="P1479" s="144"/>
      <c r="Q1479" s="144"/>
      <c r="R1479" s="144"/>
      <c r="S1479" s="144"/>
      <c r="T1479" s="144"/>
      <c r="U1479" s="144"/>
      <c r="V1479" s="144"/>
      <c r="W1479" s="144"/>
      <c r="X1479" s="144"/>
      <c r="Y1479" s="144"/>
      <c r="Z1479" s="144"/>
      <c r="AA1479" s="144"/>
      <c r="AB1479" s="144"/>
      <c r="AC1479" s="144"/>
      <c r="AD1479" s="144"/>
      <c r="AE1479" s="144"/>
    </row>
    <row r="1480" spans="8:31" x14ac:dyDescent="0.25">
      <c r="H1480" s="144"/>
      <c r="I1480" s="144"/>
      <c r="J1480" s="144"/>
      <c r="K1480" s="144"/>
      <c r="L1480" s="144"/>
      <c r="M1480" s="144"/>
      <c r="N1480" s="144"/>
      <c r="O1480" s="144"/>
      <c r="P1480" s="144"/>
      <c r="Q1480" s="144"/>
      <c r="R1480" s="144"/>
      <c r="S1480" s="144"/>
      <c r="T1480" s="144"/>
      <c r="U1480" s="144"/>
      <c r="V1480" s="144"/>
      <c r="W1480" s="144"/>
      <c r="X1480" s="144"/>
      <c r="Y1480" s="144"/>
      <c r="Z1480" s="144"/>
      <c r="AA1480" s="144"/>
      <c r="AB1480" s="144"/>
      <c r="AC1480" s="144"/>
      <c r="AD1480" s="144"/>
      <c r="AE1480" s="144"/>
    </row>
    <row r="1481" spans="8:31" x14ac:dyDescent="0.25">
      <c r="H1481" s="144"/>
      <c r="I1481" s="144"/>
      <c r="J1481" s="144"/>
      <c r="K1481" s="144"/>
      <c r="L1481" s="144"/>
      <c r="M1481" s="144"/>
      <c r="N1481" s="144"/>
      <c r="O1481" s="144"/>
      <c r="P1481" s="144"/>
      <c r="Q1481" s="144"/>
      <c r="R1481" s="144"/>
      <c r="S1481" s="144"/>
      <c r="T1481" s="144"/>
      <c r="U1481" s="144"/>
      <c r="V1481" s="144"/>
      <c r="W1481" s="144"/>
      <c r="X1481" s="144"/>
      <c r="Y1481" s="144"/>
      <c r="Z1481" s="144"/>
      <c r="AA1481" s="144"/>
      <c r="AB1481" s="144"/>
      <c r="AC1481" s="144"/>
      <c r="AD1481" s="144"/>
      <c r="AE1481" s="144"/>
    </row>
    <row r="1482" spans="8:31" x14ac:dyDescent="0.25">
      <c r="H1482" s="144"/>
      <c r="I1482" s="144"/>
      <c r="J1482" s="144"/>
      <c r="K1482" s="144"/>
      <c r="L1482" s="144"/>
      <c r="M1482" s="144"/>
      <c r="N1482" s="144"/>
      <c r="O1482" s="144"/>
      <c r="P1482" s="144"/>
      <c r="Q1482" s="144"/>
      <c r="R1482" s="144"/>
      <c r="S1482" s="144"/>
      <c r="T1482" s="144"/>
      <c r="U1482" s="144"/>
      <c r="V1482" s="144"/>
      <c r="W1482" s="144"/>
      <c r="X1482" s="144"/>
      <c r="Y1482" s="144"/>
      <c r="Z1482" s="144"/>
      <c r="AA1482" s="144"/>
      <c r="AB1482" s="144"/>
      <c r="AC1482" s="144"/>
      <c r="AD1482" s="144"/>
      <c r="AE1482" s="144"/>
    </row>
    <row r="1483" spans="8:31" x14ac:dyDescent="0.25">
      <c r="H1483" s="144"/>
      <c r="I1483" s="144"/>
      <c r="J1483" s="144"/>
      <c r="K1483" s="144"/>
      <c r="L1483" s="144"/>
      <c r="M1483" s="144"/>
      <c r="N1483" s="144"/>
      <c r="O1483" s="144"/>
      <c r="P1483" s="144"/>
      <c r="Q1483" s="144"/>
      <c r="R1483" s="144"/>
      <c r="S1483" s="144"/>
      <c r="T1483" s="144"/>
      <c r="U1483" s="144"/>
      <c r="V1483" s="144"/>
      <c r="W1483" s="144"/>
      <c r="X1483" s="144"/>
      <c r="Y1483" s="144"/>
      <c r="Z1483" s="144"/>
      <c r="AA1483" s="144"/>
      <c r="AB1483" s="144"/>
      <c r="AC1483" s="144"/>
      <c r="AD1483" s="144"/>
      <c r="AE1483" s="144"/>
    </row>
    <row r="1484" spans="8:31" x14ac:dyDescent="0.25">
      <c r="H1484" s="144"/>
      <c r="I1484" s="144"/>
      <c r="J1484" s="144"/>
      <c r="K1484" s="144"/>
      <c r="L1484" s="144"/>
      <c r="M1484" s="144"/>
      <c r="N1484" s="144"/>
      <c r="O1484" s="144"/>
      <c r="P1484" s="144"/>
      <c r="Q1484" s="144"/>
      <c r="R1484" s="144"/>
      <c r="S1484" s="144"/>
      <c r="T1484" s="144"/>
      <c r="U1484" s="144"/>
      <c r="V1484" s="144"/>
      <c r="W1484" s="144"/>
      <c r="X1484" s="144"/>
      <c r="Y1484" s="144"/>
      <c r="Z1484" s="144"/>
      <c r="AA1484" s="144"/>
      <c r="AB1484" s="144"/>
      <c r="AC1484" s="144"/>
      <c r="AD1484" s="144"/>
      <c r="AE1484" s="144"/>
    </row>
    <row r="1485" spans="8:31" x14ac:dyDescent="0.25">
      <c r="H1485" s="144"/>
      <c r="I1485" s="144"/>
      <c r="J1485" s="144"/>
      <c r="K1485" s="144"/>
      <c r="L1485" s="144"/>
      <c r="M1485" s="144"/>
      <c r="N1485" s="144"/>
      <c r="O1485" s="144"/>
      <c r="P1485" s="144"/>
      <c r="Q1485" s="144"/>
      <c r="R1485" s="144"/>
      <c r="S1485" s="144"/>
      <c r="T1485" s="144"/>
      <c r="U1485" s="144"/>
      <c r="V1485" s="144"/>
      <c r="W1485" s="144"/>
      <c r="X1485" s="144"/>
      <c r="Y1485" s="144"/>
      <c r="Z1485" s="144"/>
      <c r="AA1485" s="144"/>
      <c r="AB1485" s="144"/>
      <c r="AC1485" s="144"/>
      <c r="AD1485" s="144"/>
      <c r="AE1485" s="144"/>
    </row>
    <row r="1486" spans="8:31" x14ac:dyDescent="0.25">
      <c r="H1486" s="144"/>
      <c r="I1486" s="144"/>
      <c r="J1486" s="144"/>
      <c r="K1486" s="144"/>
      <c r="L1486" s="144"/>
      <c r="M1486" s="144"/>
      <c r="N1486" s="144"/>
      <c r="O1486" s="144"/>
      <c r="P1486" s="144"/>
      <c r="Q1486" s="144"/>
      <c r="R1486" s="144"/>
      <c r="S1486" s="144"/>
      <c r="T1486" s="144"/>
      <c r="U1486" s="144"/>
      <c r="V1486" s="144"/>
      <c r="W1486" s="144"/>
      <c r="X1486" s="144"/>
      <c r="Y1486" s="144"/>
      <c r="Z1486" s="144"/>
      <c r="AA1486" s="144"/>
      <c r="AB1486" s="144"/>
      <c r="AC1486" s="144"/>
      <c r="AD1486" s="144"/>
      <c r="AE1486" s="144"/>
    </row>
    <row r="1487" spans="8:31" x14ac:dyDescent="0.25">
      <c r="H1487" s="144"/>
      <c r="I1487" s="144"/>
      <c r="J1487" s="144"/>
      <c r="K1487" s="144"/>
      <c r="L1487" s="144"/>
      <c r="M1487" s="144"/>
      <c r="N1487" s="144"/>
      <c r="O1487" s="144"/>
      <c r="P1487" s="144"/>
      <c r="Q1487" s="144"/>
      <c r="R1487" s="144"/>
      <c r="S1487" s="144"/>
      <c r="T1487" s="144"/>
      <c r="U1487" s="144"/>
      <c r="V1487" s="144"/>
      <c r="W1487" s="144"/>
      <c r="X1487" s="144"/>
      <c r="Y1487" s="144"/>
      <c r="Z1487" s="144"/>
      <c r="AA1487" s="144"/>
      <c r="AB1487" s="144"/>
      <c r="AC1487" s="144"/>
      <c r="AD1487" s="144"/>
      <c r="AE1487" s="144"/>
    </row>
    <row r="1488" spans="8:31" x14ac:dyDescent="0.25">
      <c r="H1488" s="144"/>
      <c r="I1488" s="144"/>
      <c r="J1488" s="144"/>
      <c r="K1488" s="144"/>
      <c r="L1488" s="144"/>
      <c r="M1488" s="144"/>
      <c r="N1488" s="144"/>
      <c r="O1488" s="144"/>
      <c r="P1488" s="144"/>
      <c r="Q1488" s="144"/>
      <c r="R1488" s="144"/>
      <c r="S1488" s="144"/>
      <c r="T1488" s="144"/>
      <c r="U1488" s="144"/>
      <c r="V1488" s="144"/>
      <c r="W1488" s="144"/>
      <c r="X1488" s="144"/>
      <c r="Y1488" s="144"/>
      <c r="Z1488" s="144"/>
      <c r="AA1488" s="144"/>
      <c r="AB1488" s="144"/>
      <c r="AC1488" s="144"/>
      <c r="AD1488" s="144"/>
      <c r="AE1488" s="144"/>
    </row>
    <row r="1489" spans="8:31" x14ac:dyDescent="0.25">
      <c r="H1489" s="144"/>
      <c r="I1489" s="144"/>
      <c r="J1489" s="144"/>
      <c r="K1489" s="144"/>
      <c r="L1489" s="144"/>
      <c r="M1489" s="144"/>
      <c r="N1489" s="144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  <c r="AC1489" s="144"/>
      <c r="AD1489" s="144"/>
      <c r="AE1489" s="144"/>
    </row>
    <row r="1490" spans="8:31" x14ac:dyDescent="0.25">
      <c r="H1490" s="144"/>
      <c r="I1490" s="144"/>
      <c r="J1490" s="144"/>
      <c r="K1490" s="144"/>
      <c r="L1490" s="144"/>
      <c r="M1490" s="144"/>
      <c r="N1490" s="144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  <c r="AC1490" s="144"/>
      <c r="AD1490" s="144"/>
      <c r="AE1490" s="144"/>
    </row>
    <row r="1491" spans="8:31" x14ac:dyDescent="0.25">
      <c r="H1491" s="144"/>
      <c r="I1491" s="144"/>
      <c r="J1491" s="144"/>
      <c r="K1491" s="144"/>
      <c r="L1491" s="144"/>
      <c r="M1491" s="144"/>
      <c r="N1491" s="144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  <c r="AC1491" s="144"/>
      <c r="AD1491" s="144"/>
      <c r="AE1491" s="144"/>
    </row>
    <row r="1492" spans="8:31" x14ac:dyDescent="0.25">
      <c r="H1492" s="144"/>
      <c r="I1492" s="144"/>
      <c r="J1492" s="144"/>
      <c r="K1492" s="144"/>
      <c r="L1492" s="144"/>
      <c r="M1492" s="144"/>
      <c r="N1492" s="144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  <c r="AC1492" s="144"/>
      <c r="AD1492" s="144"/>
      <c r="AE1492" s="144"/>
    </row>
    <row r="1493" spans="8:31" x14ac:dyDescent="0.25">
      <c r="H1493" s="144"/>
      <c r="I1493" s="144"/>
      <c r="J1493" s="144"/>
      <c r="K1493" s="144"/>
      <c r="L1493" s="144"/>
      <c r="M1493" s="144"/>
      <c r="N1493" s="144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  <c r="AC1493" s="144"/>
      <c r="AD1493" s="144"/>
      <c r="AE1493" s="144"/>
    </row>
    <row r="1494" spans="8:31" x14ac:dyDescent="0.25">
      <c r="H1494" s="144"/>
      <c r="I1494" s="144"/>
      <c r="J1494" s="144"/>
      <c r="K1494" s="144"/>
      <c r="L1494" s="144"/>
      <c r="M1494" s="144"/>
      <c r="N1494" s="144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  <c r="AC1494" s="144"/>
      <c r="AD1494" s="144"/>
      <c r="AE1494" s="144"/>
    </row>
    <row r="1495" spans="8:31" x14ac:dyDescent="0.25">
      <c r="H1495" s="144"/>
      <c r="I1495" s="144"/>
      <c r="J1495" s="144"/>
      <c r="K1495" s="144"/>
      <c r="L1495" s="144"/>
      <c r="M1495" s="144"/>
      <c r="N1495" s="144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  <c r="AC1495" s="144"/>
      <c r="AD1495" s="144"/>
      <c r="AE1495" s="144"/>
    </row>
    <row r="1496" spans="8:31" x14ac:dyDescent="0.25">
      <c r="H1496" s="144"/>
      <c r="I1496" s="144"/>
      <c r="J1496" s="144"/>
      <c r="K1496" s="144"/>
      <c r="L1496" s="144"/>
      <c r="M1496" s="144"/>
      <c r="N1496" s="144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  <c r="AC1496" s="144"/>
      <c r="AD1496" s="144"/>
      <c r="AE1496" s="144"/>
    </row>
    <row r="1497" spans="8:31" x14ac:dyDescent="0.25">
      <c r="H1497" s="144"/>
      <c r="I1497" s="144"/>
      <c r="J1497" s="144"/>
      <c r="K1497" s="144"/>
      <c r="L1497" s="144"/>
      <c r="M1497" s="144"/>
      <c r="N1497" s="144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  <c r="AC1497" s="144"/>
      <c r="AD1497" s="144"/>
      <c r="AE1497" s="144"/>
    </row>
    <row r="1498" spans="8:31" x14ac:dyDescent="0.25">
      <c r="H1498" s="144"/>
      <c r="I1498" s="144"/>
      <c r="J1498" s="144"/>
      <c r="K1498" s="144"/>
      <c r="L1498" s="144"/>
      <c r="M1498" s="144"/>
      <c r="N1498" s="144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  <c r="AC1498" s="144"/>
      <c r="AD1498" s="144"/>
      <c r="AE1498" s="144"/>
    </row>
    <row r="1499" spans="8:31" x14ac:dyDescent="0.25">
      <c r="H1499" s="144"/>
      <c r="I1499" s="144"/>
      <c r="J1499" s="144"/>
      <c r="K1499" s="144"/>
      <c r="L1499" s="144"/>
      <c r="M1499" s="144"/>
      <c r="N1499" s="144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  <c r="AC1499" s="144"/>
      <c r="AD1499" s="144"/>
      <c r="AE1499" s="144"/>
    </row>
    <row r="1500" spans="8:31" x14ac:dyDescent="0.25">
      <c r="H1500" s="144"/>
      <c r="I1500" s="144"/>
      <c r="J1500" s="144"/>
      <c r="K1500" s="144"/>
      <c r="L1500" s="144"/>
      <c r="M1500" s="144"/>
      <c r="N1500" s="144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  <c r="AC1500" s="144"/>
      <c r="AD1500" s="144"/>
      <c r="AE1500" s="144"/>
    </row>
    <row r="1501" spans="8:31" x14ac:dyDescent="0.25">
      <c r="H1501" s="144"/>
      <c r="I1501" s="144"/>
      <c r="J1501" s="144"/>
      <c r="K1501" s="144"/>
      <c r="L1501" s="144"/>
      <c r="M1501" s="144"/>
      <c r="N1501" s="144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  <c r="AC1501" s="144"/>
      <c r="AD1501" s="144"/>
      <c r="AE1501" s="144"/>
    </row>
    <row r="1502" spans="8:31" x14ac:dyDescent="0.25">
      <c r="H1502" s="144"/>
      <c r="I1502" s="144"/>
      <c r="J1502" s="144"/>
      <c r="K1502" s="144"/>
      <c r="L1502" s="144"/>
      <c r="M1502" s="144"/>
      <c r="N1502" s="144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  <c r="AC1502" s="144"/>
      <c r="AD1502" s="144"/>
      <c r="AE1502" s="144"/>
    </row>
    <row r="1503" spans="8:31" x14ac:dyDescent="0.25">
      <c r="H1503" s="144"/>
      <c r="I1503" s="144"/>
      <c r="J1503" s="144"/>
      <c r="K1503" s="144"/>
      <c r="L1503" s="144"/>
      <c r="M1503" s="144"/>
      <c r="N1503" s="144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  <c r="AC1503" s="144"/>
      <c r="AD1503" s="144"/>
      <c r="AE1503" s="144"/>
    </row>
    <row r="1504" spans="8:31" x14ac:dyDescent="0.25">
      <c r="H1504" s="144"/>
      <c r="I1504" s="144"/>
      <c r="J1504" s="144"/>
      <c r="K1504" s="144"/>
      <c r="L1504" s="144"/>
      <c r="M1504" s="144"/>
      <c r="N1504" s="144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  <c r="AC1504" s="144"/>
      <c r="AD1504" s="144"/>
      <c r="AE1504" s="144"/>
    </row>
    <row r="1505" spans="8:31" x14ac:dyDescent="0.25">
      <c r="H1505" s="144"/>
      <c r="I1505" s="144"/>
      <c r="J1505" s="144"/>
      <c r="K1505" s="144"/>
      <c r="L1505" s="144"/>
      <c r="M1505" s="144"/>
      <c r="N1505" s="144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  <c r="AC1505" s="144"/>
      <c r="AD1505" s="144"/>
      <c r="AE1505" s="144"/>
    </row>
    <row r="1506" spans="8:31" x14ac:dyDescent="0.25">
      <c r="H1506" s="144"/>
      <c r="I1506" s="144"/>
      <c r="J1506" s="144"/>
      <c r="K1506" s="144"/>
      <c r="L1506" s="144"/>
      <c r="M1506" s="144"/>
      <c r="N1506" s="144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  <c r="AC1506" s="144"/>
      <c r="AD1506" s="144"/>
      <c r="AE1506" s="144"/>
    </row>
    <row r="1507" spans="8:31" x14ac:dyDescent="0.25">
      <c r="H1507" s="144"/>
      <c r="I1507" s="144"/>
      <c r="J1507" s="144"/>
      <c r="K1507" s="144"/>
      <c r="L1507" s="144"/>
      <c r="M1507" s="144"/>
      <c r="N1507" s="144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  <c r="AC1507" s="144"/>
      <c r="AD1507" s="144"/>
      <c r="AE1507" s="144"/>
    </row>
    <row r="1508" spans="8:31" x14ac:dyDescent="0.25">
      <c r="H1508" s="144"/>
      <c r="I1508" s="144"/>
      <c r="J1508" s="144"/>
      <c r="K1508" s="144"/>
      <c r="L1508" s="144"/>
      <c r="M1508" s="144"/>
      <c r="N1508" s="144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  <c r="AC1508" s="144"/>
      <c r="AD1508" s="144"/>
      <c r="AE1508" s="144"/>
    </row>
    <row r="1509" spans="8:31" x14ac:dyDescent="0.25">
      <c r="H1509" s="144"/>
      <c r="I1509" s="144"/>
      <c r="J1509" s="144"/>
      <c r="K1509" s="144"/>
      <c r="L1509" s="144"/>
      <c r="M1509" s="144"/>
      <c r="N1509" s="144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  <c r="AC1509" s="144"/>
      <c r="AD1509" s="144"/>
      <c r="AE1509" s="144"/>
    </row>
    <row r="1510" spans="8:31" x14ac:dyDescent="0.25">
      <c r="H1510" s="144"/>
      <c r="I1510" s="144"/>
      <c r="J1510" s="144"/>
      <c r="K1510" s="144"/>
      <c r="L1510" s="144"/>
      <c r="M1510" s="144"/>
      <c r="N1510" s="144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  <c r="AC1510" s="144"/>
      <c r="AD1510" s="144"/>
      <c r="AE1510" s="144"/>
    </row>
    <row r="1511" spans="8:31" x14ac:dyDescent="0.25">
      <c r="H1511" s="144"/>
      <c r="I1511" s="144"/>
      <c r="J1511" s="144"/>
      <c r="K1511" s="144"/>
      <c r="L1511" s="144"/>
      <c r="M1511" s="144"/>
      <c r="N1511" s="144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  <c r="AC1511" s="144"/>
      <c r="AD1511" s="144"/>
      <c r="AE1511" s="144"/>
    </row>
    <row r="1512" spans="8:31" x14ac:dyDescent="0.25">
      <c r="H1512" s="144"/>
      <c r="I1512" s="144"/>
      <c r="J1512" s="144"/>
      <c r="K1512" s="144"/>
      <c r="L1512" s="144"/>
      <c r="M1512" s="144"/>
      <c r="N1512" s="144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  <c r="AC1512" s="144"/>
      <c r="AD1512" s="144"/>
      <c r="AE1512" s="144"/>
    </row>
    <row r="1513" spans="8:31" x14ac:dyDescent="0.25">
      <c r="H1513" s="144"/>
      <c r="I1513" s="144"/>
      <c r="J1513" s="144"/>
      <c r="K1513" s="144"/>
      <c r="L1513" s="144"/>
      <c r="M1513" s="144"/>
      <c r="N1513" s="144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  <c r="AC1513" s="144"/>
      <c r="AD1513" s="144"/>
      <c r="AE1513" s="144"/>
    </row>
    <row r="1514" spans="8:31" x14ac:dyDescent="0.25">
      <c r="H1514" s="144"/>
      <c r="I1514" s="144"/>
      <c r="J1514" s="144"/>
      <c r="K1514" s="144"/>
      <c r="L1514" s="144"/>
      <c r="M1514" s="144"/>
      <c r="N1514" s="144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  <c r="AC1514" s="144"/>
      <c r="AD1514" s="144"/>
      <c r="AE1514" s="144"/>
    </row>
    <row r="1515" spans="8:31" x14ac:dyDescent="0.25">
      <c r="H1515" s="144"/>
      <c r="I1515" s="144"/>
      <c r="J1515" s="144"/>
      <c r="K1515" s="144"/>
      <c r="L1515" s="144"/>
      <c r="M1515" s="144"/>
      <c r="N1515" s="144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  <c r="AC1515" s="144"/>
      <c r="AD1515" s="144"/>
      <c r="AE1515" s="144"/>
    </row>
    <row r="1516" spans="8:31" x14ac:dyDescent="0.25">
      <c r="H1516" s="144"/>
      <c r="I1516" s="144"/>
      <c r="J1516" s="144"/>
      <c r="K1516" s="144"/>
      <c r="L1516" s="144"/>
      <c r="M1516" s="144"/>
      <c r="N1516" s="144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  <c r="AC1516" s="144"/>
      <c r="AD1516" s="144"/>
      <c r="AE1516" s="144"/>
    </row>
    <row r="1517" spans="8:31" x14ac:dyDescent="0.25">
      <c r="H1517" s="144"/>
      <c r="I1517" s="144"/>
      <c r="J1517" s="144"/>
      <c r="K1517" s="144"/>
      <c r="L1517" s="144"/>
      <c r="M1517" s="144"/>
      <c r="N1517" s="144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  <c r="AC1517" s="144"/>
      <c r="AD1517" s="144"/>
      <c r="AE1517" s="144"/>
    </row>
    <row r="1518" spans="8:31" x14ac:dyDescent="0.25">
      <c r="H1518" s="144"/>
      <c r="I1518" s="144"/>
      <c r="J1518" s="144"/>
      <c r="K1518" s="144"/>
      <c r="L1518" s="144"/>
      <c r="M1518" s="144"/>
      <c r="N1518" s="144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  <c r="AC1518" s="144"/>
      <c r="AD1518" s="144"/>
      <c r="AE1518" s="144"/>
    </row>
    <row r="1519" spans="8:31" x14ac:dyDescent="0.25">
      <c r="H1519" s="144"/>
      <c r="I1519" s="144"/>
      <c r="J1519" s="144"/>
      <c r="K1519" s="144"/>
      <c r="L1519" s="144"/>
      <c r="M1519" s="144"/>
      <c r="N1519" s="144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  <c r="AC1519" s="144"/>
      <c r="AD1519" s="144"/>
      <c r="AE1519" s="144"/>
    </row>
    <row r="1520" spans="8:31" x14ac:dyDescent="0.25">
      <c r="H1520" s="144"/>
      <c r="I1520" s="144"/>
      <c r="J1520" s="144"/>
      <c r="K1520" s="144"/>
      <c r="L1520" s="144"/>
      <c r="M1520" s="144"/>
      <c r="N1520" s="144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  <c r="AC1520" s="144"/>
      <c r="AD1520" s="144"/>
      <c r="AE1520" s="144"/>
    </row>
    <row r="1521" spans="8:31" x14ac:dyDescent="0.25">
      <c r="H1521" s="144"/>
      <c r="I1521" s="144"/>
      <c r="J1521" s="144"/>
      <c r="K1521" s="144"/>
      <c r="L1521" s="144"/>
      <c r="M1521" s="144"/>
      <c r="N1521" s="144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  <c r="AC1521" s="144"/>
      <c r="AD1521" s="144"/>
      <c r="AE1521" s="144"/>
    </row>
    <row r="1522" spans="8:31" x14ac:dyDescent="0.25">
      <c r="H1522" s="144"/>
      <c r="I1522" s="144"/>
      <c r="J1522" s="144"/>
      <c r="K1522" s="144"/>
      <c r="L1522" s="144"/>
      <c r="M1522" s="144"/>
      <c r="N1522" s="144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  <c r="AC1522" s="144"/>
      <c r="AD1522" s="144"/>
      <c r="AE1522" s="144"/>
    </row>
    <row r="1523" spans="8:31" x14ac:dyDescent="0.25">
      <c r="H1523" s="144"/>
      <c r="I1523" s="144"/>
      <c r="J1523" s="144"/>
      <c r="K1523" s="144"/>
      <c r="L1523" s="144"/>
      <c r="M1523" s="144"/>
      <c r="N1523" s="144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  <c r="AC1523" s="144"/>
      <c r="AD1523" s="144"/>
      <c r="AE1523" s="144"/>
    </row>
    <row r="1524" spans="8:31" x14ac:dyDescent="0.25">
      <c r="H1524" s="144"/>
      <c r="I1524" s="144"/>
      <c r="J1524" s="144"/>
      <c r="K1524" s="144"/>
      <c r="L1524" s="144"/>
      <c r="M1524" s="144"/>
      <c r="N1524" s="144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  <c r="AC1524" s="144"/>
      <c r="AD1524" s="144"/>
      <c r="AE1524" s="144"/>
    </row>
    <row r="1525" spans="8:31" x14ac:dyDescent="0.25">
      <c r="H1525" s="144"/>
      <c r="I1525" s="144"/>
      <c r="J1525" s="144"/>
      <c r="K1525" s="144"/>
      <c r="L1525" s="144"/>
      <c r="M1525" s="144"/>
      <c r="N1525" s="144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  <c r="AC1525" s="144"/>
      <c r="AD1525" s="144"/>
      <c r="AE1525" s="144"/>
    </row>
    <row r="1526" spans="8:31" x14ac:dyDescent="0.25">
      <c r="H1526" s="144"/>
      <c r="I1526" s="144"/>
      <c r="J1526" s="144"/>
      <c r="K1526" s="144"/>
      <c r="L1526" s="144"/>
      <c r="M1526" s="144"/>
      <c r="N1526" s="144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  <c r="AC1526" s="144"/>
      <c r="AD1526" s="144"/>
      <c r="AE1526" s="144"/>
    </row>
    <row r="1527" spans="8:31" x14ac:dyDescent="0.25">
      <c r="H1527" s="144"/>
      <c r="I1527" s="144"/>
      <c r="J1527" s="144"/>
      <c r="K1527" s="144"/>
      <c r="L1527" s="144"/>
      <c r="M1527" s="144"/>
      <c r="N1527" s="144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  <c r="AC1527" s="144"/>
      <c r="AD1527" s="144"/>
      <c r="AE1527" s="144"/>
    </row>
    <row r="1528" spans="8:31" x14ac:dyDescent="0.25">
      <c r="H1528" s="144"/>
      <c r="I1528" s="144"/>
      <c r="J1528" s="144"/>
      <c r="K1528" s="144"/>
      <c r="L1528" s="144"/>
      <c r="M1528" s="144"/>
      <c r="N1528" s="144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  <c r="AC1528" s="144"/>
      <c r="AD1528" s="144"/>
      <c r="AE1528" s="144"/>
    </row>
    <row r="1529" spans="8:31" x14ac:dyDescent="0.25">
      <c r="H1529" s="144"/>
      <c r="I1529" s="144"/>
      <c r="J1529" s="144"/>
      <c r="K1529" s="144"/>
      <c r="L1529" s="144"/>
      <c r="M1529" s="144"/>
      <c r="N1529" s="144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  <c r="AC1529" s="144"/>
      <c r="AD1529" s="144"/>
      <c r="AE1529" s="144"/>
    </row>
    <row r="1530" spans="8:31" x14ac:dyDescent="0.25">
      <c r="H1530" s="144"/>
      <c r="I1530" s="144"/>
      <c r="J1530" s="144"/>
      <c r="K1530" s="144"/>
      <c r="L1530" s="144"/>
      <c r="M1530" s="144"/>
      <c r="N1530" s="144"/>
      <c r="O1530" s="144"/>
      <c r="P1530" s="144"/>
      <c r="Q1530" s="144"/>
      <c r="R1530" s="144"/>
      <c r="S1530" s="144"/>
      <c r="T1530" s="144"/>
      <c r="U1530" s="144"/>
      <c r="V1530" s="144"/>
      <c r="W1530" s="144"/>
      <c r="X1530" s="144"/>
      <c r="Y1530" s="144"/>
      <c r="Z1530" s="144"/>
      <c r="AA1530" s="144"/>
      <c r="AB1530" s="144"/>
      <c r="AC1530" s="144"/>
      <c r="AD1530" s="144"/>
      <c r="AE1530" s="144"/>
    </row>
    <row r="1531" spans="8:31" x14ac:dyDescent="0.25">
      <c r="H1531" s="144"/>
      <c r="I1531" s="144"/>
      <c r="J1531" s="144"/>
      <c r="K1531" s="144"/>
      <c r="L1531" s="144"/>
      <c r="M1531" s="144"/>
      <c r="N1531" s="144"/>
      <c r="O1531" s="144"/>
      <c r="P1531" s="144"/>
      <c r="Q1531" s="144"/>
      <c r="R1531" s="144"/>
      <c r="S1531" s="144"/>
      <c r="T1531" s="144"/>
      <c r="U1531" s="144"/>
      <c r="V1531" s="144"/>
      <c r="W1531" s="144"/>
      <c r="X1531" s="144"/>
      <c r="Y1531" s="144"/>
      <c r="Z1531" s="144"/>
      <c r="AA1531" s="144"/>
      <c r="AB1531" s="144"/>
      <c r="AC1531" s="144"/>
      <c r="AD1531" s="144"/>
      <c r="AE1531" s="144"/>
    </row>
    <row r="1532" spans="8:31" x14ac:dyDescent="0.25">
      <c r="H1532" s="144"/>
      <c r="I1532" s="144"/>
      <c r="J1532" s="144"/>
      <c r="K1532" s="144"/>
      <c r="L1532" s="144"/>
      <c r="M1532" s="144"/>
      <c r="N1532" s="144"/>
      <c r="O1532" s="144"/>
      <c r="P1532" s="144"/>
      <c r="Q1532" s="144"/>
      <c r="R1532" s="144"/>
      <c r="S1532" s="144"/>
      <c r="T1532" s="144"/>
      <c r="U1532" s="144"/>
      <c r="V1532" s="144"/>
      <c r="W1532" s="144"/>
      <c r="X1532" s="144"/>
      <c r="Y1532" s="144"/>
      <c r="Z1532" s="144"/>
      <c r="AA1532" s="144"/>
      <c r="AB1532" s="144"/>
      <c r="AC1532" s="144"/>
      <c r="AD1532" s="144"/>
      <c r="AE1532" s="144"/>
    </row>
    <row r="1533" spans="8:31" x14ac:dyDescent="0.25">
      <c r="H1533" s="144"/>
      <c r="I1533" s="144"/>
      <c r="J1533" s="144"/>
      <c r="K1533" s="144"/>
      <c r="L1533" s="144"/>
      <c r="M1533" s="144"/>
      <c r="N1533" s="144"/>
      <c r="O1533" s="144"/>
      <c r="P1533" s="144"/>
      <c r="Q1533" s="144"/>
      <c r="R1533" s="144"/>
      <c r="S1533" s="144"/>
      <c r="T1533" s="144"/>
      <c r="U1533" s="144"/>
      <c r="V1533" s="144"/>
      <c r="W1533" s="144"/>
      <c r="X1533" s="144"/>
      <c r="Y1533" s="144"/>
      <c r="Z1533" s="144"/>
      <c r="AA1533" s="144"/>
      <c r="AB1533" s="144"/>
      <c r="AC1533" s="144"/>
      <c r="AD1533" s="144"/>
      <c r="AE1533" s="144"/>
    </row>
    <row r="1534" spans="8:31" x14ac:dyDescent="0.25">
      <c r="H1534" s="144"/>
      <c r="I1534" s="144"/>
      <c r="J1534" s="144"/>
      <c r="K1534" s="144"/>
      <c r="L1534" s="144"/>
      <c r="M1534" s="144"/>
      <c r="N1534" s="144"/>
      <c r="O1534" s="144"/>
      <c r="P1534" s="144"/>
      <c r="Q1534" s="144"/>
      <c r="R1534" s="144"/>
      <c r="S1534" s="144"/>
      <c r="T1534" s="144"/>
      <c r="U1534" s="144"/>
      <c r="V1534" s="144"/>
      <c r="W1534" s="144"/>
      <c r="X1534" s="144"/>
      <c r="Y1534" s="144"/>
      <c r="Z1534" s="144"/>
      <c r="AA1534" s="144"/>
      <c r="AB1534" s="144"/>
      <c r="AC1534" s="144"/>
      <c r="AD1534" s="144"/>
      <c r="AE1534" s="144"/>
    </row>
    <row r="1535" spans="8:31" x14ac:dyDescent="0.25">
      <c r="H1535" s="144"/>
      <c r="I1535" s="144"/>
      <c r="J1535" s="144"/>
      <c r="K1535" s="144"/>
      <c r="L1535" s="144"/>
      <c r="M1535" s="144"/>
      <c r="N1535" s="144"/>
      <c r="O1535" s="144"/>
      <c r="P1535" s="144"/>
      <c r="Q1535" s="144"/>
      <c r="R1535" s="144"/>
      <c r="S1535" s="144"/>
      <c r="T1535" s="144"/>
      <c r="U1535" s="144"/>
      <c r="V1535" s="144"/>
      <c r="W1535" s="144"/>
      <c r="X1535" s="144"/>
      <c r="Y1535" s="144"/>
      <c r="Z1535" s="144"/>
      <c r="AA1535" s="144"/>
      <c r="AB1535" s="144"/>
      <c r="AC1535" s="144"/>
      <c r="AD1535" s="144"/>
      <c r="AE1535" s="144"/>
    </row>
    <row r="1536" spans="8:31" x14ac:dyDescent="0.25">
      <c r="H1536" s="144"/>
      <c r="I1536" s="144"/>
      <c r="J1536" s="144"/>
      <c r="K1536" s="144"/>
      <c r="L1536" s="144"/>
      <c r="M1536" s="144"/>
      <c r="N1536" s="144"/>
      <c r="O1536" s="144"/>
      <c r="P1536" s="144"/>
      <c r="Q1536" s="144"/>
      <c r="R1536" s="144"/>
      <c r="S1536" s="144"/>
      <c r="T1536" s="144"/>
      <c r="U1536" s="144"/>
      <c r="V1536" s="144"/>
      <c r="W1536" s="144"/>
      <c r="X1536" s="144"/>
      <c r="Y1536" s="144"/>
      <c r="Z1536" s="144"/>
      <c r="AA1536" s="144"/>
      <c r="AB1536" s="144"/>
      <c r="AC1536" s="144"/>
      <c r="AD1536" s="144"/>
      <c r="AE1536" s="144"/>
    </row>
    <row r="1537" spans="8:31" x14ac:dyDescent="0.25">
      <c r="H1537" s="144"/>
      <c r="I1537" s="144"/>
      <c r="J1537" s="144"/>
      <c r="K1537" s="144"/>
      <c r="L1537" s="144"/>
      <c r="M1537" s="144"/>
      <c r="N1537" s="144"/>
      <c r="O1537" s="144"/>
      <c r="P1537" s="144"/>
      <c r="Q1537" s="144"/>
      <c r="R1537" s="144"/>
      <c r="S1537" s="144"/>
      <c r="T1537" s="144"/>
      <c r="U1537" s="144"/>
      <c r="V1537" s="144"/>
      <c r="W1537" s="144"/>
      <c r="X1537" s="144"/>
      <c r="Y1537" s="144"/>
      <c r="Z1537" s="144"/>
      <c r="AA1537" s="144"/>
      <c r="AB1537" s="144"/>
      <c r="AC1537" s="144"/>
      <c r="AD1537" s="144"/>
      <c r="AE1537" s="144"/>
    </row>
    <row r="1538" spans="8:31" x14ac:dyDescent="0.25">
      <c r="H1538" s="144"/>
      <c r="I1538" s="144"/>
      <c r="J1538" s="144"/>
      <c r="K1538" s="144"/>
      <c r="L1538" s="144"/>
      <c r="M1538" s="144"/>
      <c r="N1538" s="144"/>
      <c r="O1538" s="144"/>
      <c r="P1538" s="144"/>
      <c r="Q1538" s="144"/>
      <c r="R1538" s="144"/>
      <c r="S1538" s="144"/>
      <c r="T1538" s="144"/>
      <c r="U1538" s="144"/>
      <c r="V1538" s="144"/>
      <c r="W1538" s="144"/>
      <c r="X1538" s="144"/>
      <c r="Y1538" s="144"/>
      <c r="Z1538" s="144"/>
      <c r="AA1538" s="144"/>
      <c r="AB1538" s="144"/>
      <c r="AC1538" s="144"/>
      <c r="AD1538" s="144"/>
      <c r="AE1538" s="144"/>
    </row>
    <row r="1539" spans="8:31" x14ac:dyDescent="0.25">
      <c r="H1539" s="144"/>
      <c r="I1539" s="144"/>
      <c r="J1539" s="144"/>
      <c r="K1539" s="144"/>
      <c r="L1539" s="144"/>
      <c r="M1539" s="144"/>
      <c r="N1539" s="144"/>
      <c r="O1539" s="144"/>
      <c r="P1539" s="144"/>
      <c r="Q1539" s="144"/>
      <c r="R1539" s="144"/>
      <c r="S1539" s="144"/>
      <c r="T1539" s="144"/>
      <c r="U1539" s="144"/>
      <c r="V1539" s="144"/>
      <c r="W1539" s="144"/>
      <c r="X1539" s="144"/>
      <c r="Y1539" s="144"/>
      <c r="Z1539" s="144"/>
      <c r="AA1539" s="144"/>
      <c r="AB1539" s="144"/>
      <c r="AC1539" s="144"/>
      <c r="AD1539" s="144"/>
      <c r="AE1539" s="144"/>
    </row>
    <row r="1540" spans="8:31" x14ac:dyDescent="0.25">
      <c r="H1540" s="144"/>
      <c r="I1540" s="144"/>
      <c r="J1540" s="144"/>
      <c r="K1540" s="144"/>
      <c r="L1540" s="144"/>
      <c r="M1540" s="144"/>
      <c r="N1540" s="144"/>
      <c r="O1540" s="144"/>
      <c r="P1540" s="144"/>
      <c r="Q1540" s="144"/>
      <c r="R1540" s="144"/>
      <c r="S1540" s="144"/>
      <c r="T1540" s="144"/>
      <c r="U1540" s="144"/>
      <c r="V1540" s="144"/>
      <c r="W1540" s="144"/>
      <c r="X1540" s="144"/>
      <c r="Y1540" s="144"/>
      <c r="Z1540" s="144"/>
      <c r="AA1540" s="144"/>
      <c r="AB1540" s="144"/>
      <c r="AC1540" s="144"/>
      <c r="AD1540" s="144"/>
      <c r="AE1540" s="144"/>
    </row>
    <row r="1541" spans="8:31" x14ac:dyDescent="0.25">
      <c r="H1541" s="144"/>
      <c r="I1541" s="144"/>
      <c r="J1541" s="144"/>
      <c r="K1541" s="144"/>
      <c r="L1541" s="144"/>
      <c r="M1541" s="144"/>
      <c r="N1541" s="144"/>
      <c r="O1541" s="144"/>
      <c r="P1541" s="144"/>
      <c r="Q1541" s="144"/>
      <c r="R1541" s="144"/>
      <c r="S1541" s="144"/>
      <c r="T1541" s="144"/>
      <c r="U1541" s="144"/>
      <c r="V1541" s="144"/>
      <c r="W1541" s="144"/>
      <c r="X1541" s="144"/>
      <c r="Y1541" s="144"/>
      <c r="Z1541" s="144"/>
      <c r="AA1541" s="144"/>
      <c r="AB1541" s="144"/>
      <c r="AC1541" s="144"/>
      <c r="AD1541" s="144"/>
      <c r="AE1541" s="144"/>
    </row>
    <row r="1542" spans="8:31" x14ac:dyDescent="0.25">
      <c r="H1542" s="144"/>
      <c r="I1542" s="144"/>
      <c r="J1542" s="144"/>
      <c r="K1542" s="144"/>
      <c r="L1542" s="144"/>
      <c r="M1542" s="144"/>
      <c r="N1542" s="144"/>
      <c r="O1542" s="144"/>
      <c r="P1542" s="144"/>
      <c r="Q1542" s="144"/>
      <c r="R1542" s="144"/>
      <c r="S1542" s="144"/>
      <c r="T1542" s="144"/>
      <c r="U1542" s="144"/>
      <c r="V1542" s="144"/>
      <c r="W1542" s="144"/>
      <c r="X1542" s="144"/>
      <c r="Y1542" s="144"/>
      <c r="Z1542" s="144"/>
      <c r="AA1542" s="144"/>
      <c r="AB1542" s="144"/>
      <c r="AC1542" s="144"/>
      <c r="AD1542" s="144"/>
      <c r="AE1542" s="144"/>
    </row>
    <row r="1543" spans="8:31" x14ac:dyDescent="0.25">
      <c r="H1543" s="144"/>
      <c r="I1543" s="144"/>
      <c r="J1543" s="144"/>
      <c r="K1543" s="144"/>
      <c r="L1543" s="144"/>
      <c r="M1543" s="144"/>
      <c r="N1543" s="144"/>
      <c r="O1543" s="144"/>
      <c r="P1543" s="144"/>
      <c r="Q1543" s="144"/>
      <c r="R1543" s="144"/>
      <c r="S1543" s="144"/>
      <c r="T1543" s="144"/>
      <c r="U1543" s="144"/>
      <c r="V1543" s="144"/>
      <c r="W1543" s="144"/>
      <c r="X1543" s="144"/>
      <c r="Y1543" s="144"/>
      <c r="Z1543" s="144"/>
      <c r="AA1543" s="144"/>
      <c r="AB1543" s="144"/>
      <c r="AC1543" s="144"/>
      <c r="AD1543" s="144"/>
      <c r="AE1543" s="144"/>
    </row>
    <row r="1544" spans="8:31" x14ac:dyDescent="0.25">
      <c r="H1544" s="144"/>
      <c r="I1544" s="144"/>
      <c r="J1544" s="144"/>
      <c r="K1544" s="144"/>
      <c r="L1544" s="144"/>
      <c r="M1544" s="144"/>
      <c r="N1544" s="144"/>
      <c r="O1544" s="144"/>
      <c r="P1544" s="144"/>
      <c r="Q1544" s="144"/>
      <c r="R1544" s="144"/>
      <c r="S1544" s="144"/>
      <c r="T1544" s="144"/>
      <c r="U1544" s="144"/>
      <c r="V1544" s="144"/>
      <c r="W1544" s="144"/>
      <c r="X1544" s="144"/>
      <c r="Y1544" s="144"/>
      <c r="Z1544" s="144"/>
      <c r="AA1544" s="144"/>
      <c r="AB1544" s="144"/>
      <c r="AC1544" s="144"/>
      <c r="AD1544" s="144"/>
      <c r="AE1544" s="144"/>
    </row>
    <row r="1545" spans="8:31" x14ac:dyDescent="0.25">
      <c r="H1545" s="144"/>
      <c r="I1545" s="144"/>
      <c r="J1545" s="144"/>
      <c r="K1545" s="144"/>
      <c r="L1545" s="144"/>
      <c r="M1545" s="144"/>
      <c r="N1545" s="144"/>
      <c r="O1545" s="144"/>
      <c r="P1545" s="144"/>
      <c r="Q1545" s="144"/>
      <c r="R1545" s="144"/>
      <c r="S1545" s="144"/>
      <c r="T1545" s="144"/>
      <c r="U1545" s="144"/>
      <c r="V1545" s="144"/>
      <c r="W1545" s="144"/>
      <c r="X1545" s="144"/>
      <c r="Y1545" s="144"/>
      <c r="Z1545" s="144"/>
      <c r="AA1545" s="144"/>
      <c r="AB1545" s="144"/>
      <c r="AC1545" s="144"/>
      <c r="AD1545" s="144"/>
      <c r="AE1545" s="144"/>
    </row>
    <row r="1546" spans="8:31" x14ac:dyDescent="0.25">
      <c r="H1546" s="144"/>
      <c r="I1546" s="144"/>
      <c r="J1546" s="144"/>
      <c r="K1546" s="144"/>
      <c r="L1546" s="144"/>
      <c r="M1546" s="144"/>
      <c r="N1546" s="144"/>
      <c r="O1546" s="144"/>
      <c r="P1546" s="144"/>
      <c r="Q1546" s="144"/>
      <c r="R1546" s="144"/>
      <c r="S1546" s="144"/>
      <c r="T1546" s="144"/>
      <c r="U1546" s="144"/>
      <c r="V1546" s="144"/>
      <c r="W1546" s="144"/>
      <c r="X1546" s="144"/>
      <c r="Y1546" s="144"/>
      <c r="Z1546" s="144"/>
      <c r="AA1546" s="144"/>
      <c r="AB1546" s="144"/>
      <c r="AC1546" s="144"/>
      <c r="AD1546" s="144"/>
      <c r="AE1546" s="144"/>
    </row>
    <row r="1547" spans="8:31" x14ac:dyDescent="0.25">
      <c r="H1547" s="144"/>
      <c r="I1547" s="144"/>
      <c r="J1547" s="144"/>
      <c r="K1547" s="144"/>
      <c r="L1547" s="144"/>
      <c r="M1547" s="144"/>
      <c r="N1547" s="144"/>
      <c r="O1547" s="144"/>
      <c r="P1547" s="144"/>
      <c r="Q1547" s="144"/>
      <c r="R1547" s="144"/>
      <c r="S1547" s="144"/>
      <c r="T1547" s="144"/>
      <c r="U1547" s="144"/>
      <c r="V1547" s="144"/>
      <c r="W1547" s="144"/>
      <c r="X1547" s="144"/>
      <c r="Y1547" s="144"/>
      <c r="Z1547" s="144"/>
      <c r="AA1547" s="144"/>
      <c r="AB1547" s="144"/>
      <c r="AC1547" s="144"/>
      <c r="AD1547" s="144"/>
      <c r="AE1547" s="144"/>
    </row>
    <row r="1548" spans="8:31" x14ac:dyDescent="0.25">
      <c r="H1548" s="144"/>
      <c r="I1548" s="144"/>
      <c r="J1548" s="144"/>
      <c r="K1548" s="144"/>
      <c r="L1548" s="144"/>
      <c r="M1548" s="144"/>
      <c r="N1548" s="144"/>
      <c r="O1548" s="144"/>
      <c r="P1548" s="144"/>
      <c r="Q1548" s="144"/>
      <c r="R1548" s="144"/>
      <c r="S1548" s="144"/>
      <c r="T1548" s="144"/>
      <c r="U1548" s="144"/>
      <c r="V1548" s="144"/>
      <c r="W1548" s="144"/>
      <c r="X1548" s="144"/>
      <c r="Y1548" s="144"/>
      <c r="Z1548" s="144"/>
      <c r="AA1548" s="144"/>
      <c r="AB1548" s="144"/>
      <c r="AC1548" s="144"/>
      <c r="AD1548" s="144"/>
      <c r="AE1548" s="144"/>
    </row>
    <row r="1549" spans="8:31" x14ac:dyDescent="0.25">
      <c r="H1549" s="144"/>
      <c r="I1549" s="144"/>
      <c r="J1549" s="144"/>
      <c r="K1549" s="144"/>
      <c r="L1549" s="144"/>
      <c r="M1549" s="144"/>
      <c r="N1549" s="144"/>
      <c r="O1549" s="144"/>
      <c r="P1549" s="144"/>
      <c r="Q1549" s="144"/>
      <c r="R1549" s="144"/>
      <c r="S1549" s="144"/>
      <c r="T1549" s="144"/>
      <c r="U1549" s="144"/>
      <c r="V1549" s="144"/>
      <c r="W1549" s="144"/>
      <c r="X1549" s="144"/>
      <c r="Y1549" s="144"/>
      <c r="Z1549" s="144"/>
      <c r="AA1549" s="144"/>
      <c r="AB1549" s="144"/>
      <c r="AC1549" s="144"/>
      <c r="AD1549" s="144"/>
      <c r="AE1549" s="144"/>
    </row>
    <row r="1550" spans="8:31" x14ac:dyDescent="0.25">
      <c r="H1550" s="144"/>
      <c r="I1550" s="144"/>
      <c r="J1550" s="144"/>
      <c r="K1550" s="144"/>
      <c r="L1550" s="144"/>
      <c r="M1550" s="144"/>
      <c r="N1550" s="144"/>
      <c r="O1550" s="144"/>
      <c r="P1550" s="144"/>
      <c r="Q1550" s="144"/>
      <c r="R1550" s="144"/>
      <c r="S1550" s="144"/>
      <c r="T1550" s="144"/>
      <c r="U1550" s="144"/>
      <c r="V1550" s="144"/>
      <c r="W1550" s="144"/>
      <c r="X1550" s="144"/>
      <c r="Y1550" s="144"/>
      <c r="Z1550" s="144"/>
      <c r="AA1550" s="144"/>
      <c r="AB1550" s="144"/>
      <c r="AC1550" s="144"/>
      <c r="AD1550" s="144"/>
      <c r="AE1550" s="144"/>
    </row>
    <row r="1551" spans="8:31" x14ac:dyDescent="0.25">
      <c r="H1551" s="144"/>
      <c r="I1551" s="144"/>
      <c r="J1551" s="144"/>
      <c r="K1551" s="144"/>
      <c r="L1551" s="144"/>
      <c r="M1551" s="144"/>
      <c r="N1551" s="144"/>
      <c r="O1551" s="144"/>
      <c r="P1551" s="144"/>
      <c r="Q1551" s="144"/>
      <c r="R1551" s="144"/>
      <c r="S1551" s="144"/>
      <c r="T1551" s="144"/>
      <c r="U1551" s="144"/>
      <c r="V1551" s="144"/>
      <c r="W1551" s="144"/>
      <c r="X1551" s="144"/>
      <c r="Y1551" s="144"/>
      <c r="Z1551" s="144"/>
      <c r="AA1551" s="144"/>
      <c r="AB1551" s="144"/>
      <c r="AC1551" s="144"/>
      <c r="AD1551" s="144"/>
      <c r="AE1551" s="144"/>
    </row>
    <row r="1552" spans="8:31" x14ac:dyDescent="0.25">
      <c r="H1552" s="144"/>
      <c r="I1552" s="144"/>
      <c r="J1552" s="144"/>
      <c r="K1552" s="144"/>
      <c r="L1552" s="144"/>
      <c r="M1552" s="144"/>
      <c r="N1552" s="144"/>
      <c r="O1552" s="144"/>
      <c r="P1552" s="144"/>
      <c r="Q1552" s="144"/>
      <c r="R1552" s="144"/>
      <c r="S1552" s="144"/>
      <c r="T1552" s="144"/>
      <c r="U1552" s="144"/>
      <c r="V1552" s="144"/>
      <c r="W1552" s="144"/>
      <c r="X1552" s="144"/>
      <c r="Y1552" s="144"/>
      <c r="Z1552" s="144"/>
      <c r="AA1552" s="144"/>
      <c r="AB1552" s="144"/>
      <c r="AC1552" s="144"/>
      <c r="AD1552" s="144"/>
      <c r="AE1552" s="144"/>
    </row>
    <row r="1553" spans="8:31" x14ac:dyDescent="0.25">
      <c r="H1553" s="144"/>
      <c r="I1553" s="144"/>
      <c r="J1553" s="144"/>
      <c r="K1553" s="144"/>
      <c r="L1553" s="144"/>
      <c r="M1553" s="144"/>
      <c r="N1553" s="144"/>
      <c r="O1553" s="144"/>
      <c r="P1553" s="144"/>
      <c r="Q1553" s="144"/>
      <c r="R1553" s="144"/>
      <c r="S1553" s="144"/>
      <c r="T1553" s="144"/>
      <c r="U1553" s="144"/>
      <c r="V1553" s="144"/>
      <c r="W1553" s="144"/>
      <c r="X1553" s="144"/>
      <c r="Y1553" s="144"/>
      <c r="Z1553" s="144"/>
      <c r="AA1553" s="144"/>
      <c r="AB1553" s="144"/>
      <c r="AC1553" s="144"/>
      <c r="AD1553" s="144"/>
      <c r="AE1553" s="144"/>
    </row>
    <row r="1554" spans="8:31" x14ac:dyDescent="0.25">
      <c r="H1554" s="144"/>
      <c r="I1554" s="144"/>
      <c r="J1554" s="144"/>
      <c r="K1554" s="144"/>
      <c r="L1554" s="144"/>
      <c r="M1554" s="144"/>
      <c r="N1554" s="144"/>
      <c r="O1554" s="144"/>
      <c r="P1554" s="144"/>
      <c r="Q1554" s="144"/>
      <c r="R1554" s="144"/>
      <c r="S1554" s="144"/>
      <c r="T1554" s="144"/>
      <c r="U1554" s="144"/>
      <c r="V1554" s="144"/>
      <c r="W1554" s="144"/>
      <c r="X1554" s="144"/>
      <c r="Y1554" s="144"/>
      <c r="Z1554" s="144"/>
      <c r="AA1554" s="144"/>
      <c r="AB1554" s="144"/>
      <c r="AC1554" s="144"/>
      <c r="AD1554" s="144"/>
      <c r="AE1554" s="144"/>
    </row>
    <row r="1555" spans="8:31" x14ac:dyDescent="0.25">
      <c r="H1555" s="144"/>
      <c r="I1555" s="144"/>
      <c r="J1555" s="144"/>
      <c r="K1555" s="144"/>
      <c r="L1555" s="144"/>
      <c r="M1555" s="144"/>
      <c r="N1555" s="144"/>
      <c r="O1555" s="144"/>
      <c r="P1555" s="144"/>
      <c r="Q1555" s="144"/>
      <c r="R1555" s="144"/>
      <c r="S1555" s="144"/>
      <c r="T1555" s="144"/>
      <c r="U1555" s="144"/>
      <c r="V1555" s="144"/>
      <c r="W1555" s="144"/>
      <c r="X1555" s="144"/>
      <c r="Y1555" s="144"/>
      <c r="Z1555" s="144"/>
      <c r="AA1555" s="144"/>
      <c r="AB1555" s="144"/>
      <c r="AC1555" s="144"/>
      <c r="AD1555" s="144"/>
      <c r="AE1555" s="144"/>
    </row>
    <row r="1556" spans="8:31" x14ac:dyDescent="0.25">
      <c r="H1556" s="144"/>
      <c r="I1556" s="144"/>
      <c r="J1556" s="144"/>
      <c r="K1556" s="144"/>
      <c r="L1556" s="144"/>
      <c r="M1556" s="144"/>
      <c r="N1556" s="144"/>
      <c r="O1556" s="144"/>
      <c r="P1556" s="144"/>
      <c r="Q1556" s="144"/>
      <c r="R1556" s="144"/>
      <c r="S1556" s="144"/>
      <c r="T1556" s="144"/>
      <c r="U1556" s="144"/>
      <c r="V1556" s="144"/>
      <c r="W1556" s="144"/>
      <c r="X1556" s="144"/>
      <c r="Y1556" s="144"/>
      <c r="Z1556" s="144"/>
      <c r="AA1556" s="144"/>
      <c r="AB1556" s="144"/>
      <c r="AC1556" s="144"/>
      <c r="AD1556" s="144"/>
      <c r="AE1556" s="144"/>
    </row>
    <row r="1557" spans="8:31" x14ac:dyDescent="0.25">
      <c r="H1557" s="144"/>
      <c r="I1557" s="144"/>
      <c r="J1557" s="144"/>
      <c r="K1557" s="144"/>
      <c r="L1557" s="144"/>
      <c r="M1557" s="144"/>
      <c r="N1557" s="144"/>
      <c r="O1557" s="144"/>
      <c r="P1557" s="144"/>
      <c r="Q1557" s="144"/>
      <c r="R1557" s="144"/>
      <c r="S1557" s="144"/>
      <c r="T1557" s="144"/>
      <c r="U1557" s="144"/>
      <c r="V1557" s="144"/>
      <c r="W1557" s="144"/>
      <c r="X1557" s="144"/>
      <c r="Y1557" s="144"/>
      <c r="Z1557" s="144"/>
      <c r="AA1557" s="144"/>
      <c r="AB1557" s="144"/>
      <c r="AC1557" s="144"/>
      <c r="AD1557" s="144"/>
      <c r="AE1557" s="144"/>
    </row>
    <row r="1558" spans="8:31" x14ac:dyDescent="0.25">
      <c r="H1558" s="144"/>
      <c r="I1558" s="144"/>
      <c r="J1558" s="144"/>
      <c r="K1558" s="144"/>
      <c r="L1558" s="144"/>
      <c r="M1558" s="144"/>
      <c r="N1558" s="144"/>
      <c r="O1558" s="144"/>
      <c r="P1558" s="144"/>
      <c r="Q1558" s="144"/>
      <c r="R1558" s="144"/>
      <c r="S1558" s="144"/>
      <c r="T1558" s="144"/>
      <c r="U1558" s="144"/>
      <c r="V1558" s="144"/>
      <c r="W1558" s="144"/>
      <c r="X1558" s="144"/>
      <c r="Y1558" s="144"/>
      <c r="Z1558" s="144"/>
      <c r="AA1558" s="144"/>
      <c r="AB1558" s="144"/>
      <c r="AC1558" s="144"/>
      <c r="AD1558" s="144"/>
      <c r="AE1558" s="144"/>
    </row>
    <row r="1559" spans="8:31" x14ac:dyDescent="0.25">
      <c r="H1559" s="144"/>
      <c r="I1559" s="144"/>
      <c r="J1559" s="144"/>
      <c r="K1559" s="144"/>
      <c r="L1559" s="144"/>
      <c r="M1559" s="144"/>
      <c r="N1559" s="144"/>
      <c r="O1559" s="144"/>
      <c r="P1559" s="144"/>
      <c r="Q1559" s="144"/>
      <c r="R1559" s="144"/>
      <c r="S1559" s="144"/>
      <c r="T1559" s="144"/>
      <c r="U1559" s="144"/>
      <c r="V1559" s="144"/>
      <c r="W1559" s="144"/>
      <c r="X1559" s="144"/>
      <c r="Y1559" s="144"/>
      <c r="Z1559" s="144"/>
      <c r="AA1559" s="144"/>
      <c r="AB1559" s="144"/>
      <c r="AC1559" s="144"/>
      <c r="AD1559" s="144"/>
      <c r="AE1559" s="144"/>
    </row>
    <row r="1560" spans="8:31" x14ac:dyDescent="0.25">
      <c r="H1560" s="144"/>
      <c r="I1560" s="144"/>
      <c r="J1560" s="144"/>
      <c r="K1560" s="144"/>
      <c r="L1560" s="144"/>
      <c r="M1560" s="144"/>
      <c r="N1560" s="144"/>
      <c r="O1560" s="144"/>
      <c r="P1560" s="144"/>
      <c r="Q1560" s="144"/>
      <c r="R1560" s="144"/>
      <c r="S1560" s="144"/>
      <c r="T1560" s="144"/>
      <c r="U1560" s="144"/>
      <c r="V1560" s="144"/>
      <c r="W1560" s="144"/>
      <c r="X1560" s="144"/>
      <c r="Y1560" s="144"/>
      <c r="Z1560" s="144"/>
      <c r="AA1560" s="144"/>
      <c r="AB1560" s="144"/>
      <c r="AC1560" s="144"/>
      <c r="AD1560" s="144"/>
      <c r="AE1560" s="144"/>
    </row>
    <row r="1561" spans="8:31" x14ac:dyDescent="0.25">
      <c r="H1561" s="144"/>
      <c r="I1561" s="144"/>
      <c r="J1561" s="144"/>
      <c r="K1561" s="144"/>
      <c r="L1561" s="144"/>
      <c r="M1561" s="144"/>
      <c r="N1561" s="144"/>
      <c r="O1561" s="144"/>
      <c r="P1561" s="144"/>
      <c r="Q1561" s="144"/>
      <c r="R1561" s="144"/>
      <c r="S1561" s="144"/>
      <c r="T1561" s="144"/>
      <c r="U1561" s="144"/>
      <c r="V1561" s="144"/>
      <c r="W1561" s="144"/>
      <c r="X1561" s="144"/>
      <c r="Y1561" s="144"/>
      <c r="Z1561" s="144"/>
      <c r="AA1561" s="144"/>
      <c r="AB1561" s="144"/>
      <c r="AC1561" s="144"/>
      <c r="AD1561" s="144"/>
      <c r="AE1561" s="144"/>
    </row>
    <row r="1562" spans="8:31" x14ac:dyDescent="0.25">
      <c r="H1562" s="144"/>
      <c r="I1562" s="144"/>
      <c r="J1562" s="144"/>
      <c r="K1562" s="144"/>
      <c r="L1562" s="144"/>
      <c r="M1562" s="144"/>
      <c r="N1562" s="144"/>
      <c r="O1562" s="144"/>
      <c r="P1562" s="144"/>
      <c r="Q1562" s="144"/>
      <c r="R1562" s="144"/>
      <c r="S1562" s="144"/>
      <c r="T1562" s="144"/>
      <c r="U1562" s="144"/>
      <c r="V1562" s="144"/>
      <c r="W1562" s="144"/>
      <c r="X1562" s="144"/>
      <c r="Y1562" s="144"/>
      <c r="Z1562" s="144"/>
      <c r="AA1562" s="144"/>
      <c r="AB1562" s="144"/>
      <c r="AC1562" s="144"/>
      <c r="AD1562" s="144"/>
      <c r="AE1562" s="144"/>
    </row>
    <row r="1563" spans="8:31" x14ac:dyDescent="0.25">
      <c r="H1563" s="144"/>
      <c r="I1563" s="144"/>
      <c r="J1563" s="144"/>
      <c r="K1563" s="144"/>
      <c r="L1563" s="144"/>
      <c r="M1563" s="144"/>
      <c r="N1563" s="144"/>
      <c r="O1563" s="144"/>
      <c r="P1563" s="144"/>
      <c r="Q1563" s="144"/>
      <c r="R1563" s="144"/>
      <c r="S1563" s="144"/>
      <c r="T1563" s="144"/>
      <c r="U1563" s="144"/>
      <c r="V1563" s="144"/>
      <c r="W1563" s="144"/>
      <c r="X1563" s="144"/>
      <c r="Y1563" s="144"/>
      <c r="Z1563" s="144"/>
      <c r="AA1563" s="144"/>
      <c r="AB1563" s="144"/>
      <c r="AC1563" s="144"/>
      <c r="AD1563" s="144"/>
      <c r="AE1563" s="144"/>
    </row>
    <row r="1564" spans="8:31" x14ac:dyDescent="0.25">
      <c r="H1564" s="144"/>
      <c r="I1564" s="144"/>
      <c r="J1564" s="144"/>
      <c r="K1564" s="144"/>
      <c r="L1564" s="144"/>
      <c r="M1564" s="144"/>
      <c r="N1564" s="144"/>
      <c r="O1564" s="144"/>
      <c r="P1564" s="144"/>
      <c r="Q1564" s="144"/>
      <c r="R1564" s="144"/>
      <c r="S1564" s="144"/>
      <c r="T1564" s="144"/>
      <c r="U1564" s="144"/>
      <c r="V1564" s="144"/>
      <c r="W1564" s="144"/>
      <c r="X1564" s="144"/>
      <c r="Y1564" s="144"/>
      <c r="Z1564" s="144"/>
      <c r="AA1564" s="144"/>
      <c r="AB1564" s="144"/>
      <c r="AC1564" s="144"/>
      <c r="AD1564" s="144"/>
      <c r="AE1564" s="144"/>
    </row>
    <row r="1565" spans="8:31" x14ac:dyDescent="0.25">
      <c r="H1565" s="144"/>
      <c r="I1565" s="144"/>
      <c r="J1565" s="144"/>
      <c r="K1565" s="144"/>
      <c r="L1565" s="144"/>
      <c r="M1565" s="144"/>
      <c r="N1565" s="144"/>
      <c r="O1565" s="144"/>
      <c r="P1565" s="144"/>
      <c r="Q1565" s="144"/>
      <c r="R1565" s="144"/>
      <c r="S1565" s="144"/>
      <c r="T1565" s="144"/>
      <c r="U1565" s="144"/>
      <c r="V1565" s="144"/>
      <c r="W1565" s="144"/>
      <c r="X1565" s="144"/>
      <c r="Y1565" s="144"/>
      <c r="Z1565" s="144"/>
      <c r="AA1565" s="144"/>
      <c r="AB1565" s="144"/>
      <c r="AC1565" s="144"/>
      <c r="AD1565" s="144"/>
      <c r="AE1565" s="144"/>
    </row>
    <row r="1566" spans="8:31" x14ac:dyDescent="0.25">
      <c r="H1566" s="144"/>
      <c r="I1566" s="144"/>
      <c r="J1566" s="144"/>
      <c r="K1566" s="144"/>
      <c r="L1566" s="144"/>
      <c r="M1566" s="144"/>
      <c r="N1566" s="144"/>
      <c r="O1566" s="144"/>
      <c r="P1566" s="144"/>
      <c r="Q1566" s="144"/>
      <c r="R1566" s="144"/>
      <c r="S1566" s="144"/>
      <c r="T1566" s="144"/>
      <c r="U1566" s="144"/>
      <c r="V1566" s="144"/>
      <c r="W1566" s="144"/>
      <c r="X1566" s="144"/>
      <c r="Y1566" s="144"/>
      <c r="Z1566" s="144"/>
      <c r="AA1566" s="144"/>
      <c r="AB1566" s="144"/>
      <c r="AC1566" s="144"/>
      <c r="AD1566" s="144"/>
      <c r="AE1566" s="144"/>
    </row>
    <row r="1567" spans="8:31" x14ac:dyDescent="0.25">
      <c r="H1567" s="144"/>
      <c r="I1567" s="144"/>
      <c r="J1567" s="144"/>
      <c r="K1567" s="144"/>
      <c r="L1567" s="144"/>
      <c r="M1567" s="144"/>
      <c r="N1567" s="144"/>
      <c r="O1567" s="144"/>
      <c r="P1567" s="144"/>
      <c r="Q1567" s="144"/>
      <c r="R1567" s="144"/>
      <c r="S1567" s="144"/>
      <c r="T1567" s="144"/>
      <c r="U1567" s="144"/>
      <c r="V1567" s="144"/>
      <c r="W1567" s="144"/>
      <c r="X1567" s="144"/>
      <c r="Y1567" s="144"/>
      <c r="Z1567" s="144"/>
      <c r="AA1567" s="144"/>
      <c r="AB1567" s="144"/>
      <c r="AC1567" s="144"/>
      <c r="AD1567" s="144"/>
      <c r="AE1567" s="144"/>
    </row>
    <row r="1568" spans="8:31" x14ac:dyDescent="0.25">
      <c r="H1568" s="144"/>
      <c r="I1568" s="144"/>
      <c r="J1568" s="144"/>
      <c r="K1568" s="144"/>
      <c r="L1568" s="144"/>
      <c r="M1568" s="144"/>
      <c r="N1568" s="144"/>
      <c r="O1568" s="144"/>
      <c r="P1568" s="144"/>
      <c r="Q1568" s="144"/>
      <c r="R1568" s="144"/>
      <c r="S1568" s="144"/>
      <c r="T1568" s="144"/>
      <c r="U1568" s="144"/>
      <c r="V1568" s="144"/>
      <c r="W1568" s="144"/>
      <c r="X1568" s="144"/>
      <c r="Y1568" s="144"/>
      <c r="Z1568" s="144"/>
      <c r="AA1568" s="144"/>
      <c r="AB1568" s="144"/>
      <c r="AC1568" s="144"/>
      <c r="AD1568" s="144"/>
      <c r="AE1568" s="144"/>
    </row>
    <row r="1569" spans="8:31" x14ac:dyDescent="0.25">
      <c r="H1569" s="144"/>
      <c r="I1569" s="144"/>
      <c r="J1569" s="144"/>
      <c r="K1569" s="144"/>
      <c r="L1569" s="144"/>
      <c r="M1569" s="144"/>
      <c r="N1569" s="144"/>
      <c r="O1569" s="144"/>
      <c r="P1569" s="144"/>
      <c r="Q1569" s="144"/>
      <c r="R1569" s="144"/>
      <c r="S1569" s="144"/>
      <c r="T1569" s="144"/>
      <c r="U1569" s="144"/>
      <c r="V1569" s="144"/>
      <c r="W1569" s="144"/>
      <c r="X1569" s="144"/>
      <c r="Y1569" s="144"/>
      <c r="Z1569" s="144"/>
      <c r="AA1569" s="144"/>
      <c r="AB1569" s="144"/>
      <c r="AC1569" s="144"/>
      <c r="AD1569" s="144"/>
      <c r="AE1569" s="144"/>
    </row>
    <row r="1570" spans="8:31" x14ac:dyDescent="0.25">
      <c r="H1570" s="144"/>
      <c r="I1570" s="144"/>
      <c r="J1570" s="144"/>
      <c r="K1570" s="144"/>
      <c r="L1570" s="144"/>
      <c r="M1570" s="144"/>
      <c r="N1570" s="144"/>
      <c r="O1570" s="144"/>
      <c r="P1570" s="144"/>
      <c r="Q1570" s="144"/>
      <c r="R1570" s="144"/>
      <c r="S1570" s="144"/>
      <c r="T1570" s="144"/>
      <c r="U1570" s="144"/>
      <c r="V1570" s="144"/>
      <c r="W1570" s="144"/>
      <c r="X1570" s="144"/>
      <c r="Y1570" s="144"/>
      <c r="Z1570" s="144"/>
      <c r="AA1570" s="144"/>
      <c r="AB1570" s="144"/>
      <c r="AC1570" s="144"/>
      <c r="AD1570" s="144"/>
      <c r="AE1570" s="144"/>
    </row>
    <row r="1571" spans="8:31" x14ac:dyDescent="0.25">
      <c r="H1571" s="144"/>
      <c r="I1571" s="144"/>
      <c r="J1571" s="144"/>
      <c r="K1571" s="144"/>
      <c r="L1571" s="144"/>
      <c r="M1571" s="144"/>
      <c r="N1571" s="144"/>
      <c r="O1571" s="144"/>
      <c r="P1571" s="144"/>
      <c r="Q1571" s="144"/>
      <c r="R1571" s="144"/>
      <c r="S1571" s="144"/>
      <c r="T1571" s="144"/>
      <c r="U1571" s="144"/>
      <c r="V1571" s="144"/>
      <c r="W1571" s="144"/>
      <c r="X1571" s="144"/>
      <c r="Y1571" s="144"/>
      <c r="Z1571" s="144"/>
      <c r="AA1571" s="144"/>
      <c r="AB1571" s="144"/>
      <c r="AC1571" s="144"/>
      <c r="AD1571" s="144"/>
      <c r="AE1571" s="144"/>
    </row>
    <row r="1572" spans="8:31" x14ac:dyDescent="0.25">
      <c r="H1572" s="144"/>
      <c r="I1572" s="144"/>
      <c r="J1572" s="144"/>
      <c r="K1572" s="144"/>
      <c r="L1572" s="144"/>
      <c r="M1572" s="144"/>
      <c r="N1572" s="144"/>
      <c r="O1572" s="144"/>
      <c r="P1572" s="144"/>
      <c r="Q1572" s="144"/>
      <c r="R1572" s="144"/>
      <c r="S1572" s="144"/>
      <c r="T1572" s="144"/>
      <c r="U1572" s="144"/>
      <c r="V1572" s="144"/>
      <c r="W1572" s="144"/>
      <c r="X1572" s="144"/>
      <c r="Y1572" s="144"/>
      <c r="Z1572" s="144"/>
      <c r="AA1572" s="144"/>
      <c r="AB1572" s="144"/>
      <c r="AC1572" s="144"/>
      <c r="AD1572" s="144"/>
      <c r="AE1572" s="144"/>
    </row>
    <row r="1573" spans="8:31" x14ac:dyDescent="0.25">
      <c r="H1573" s="144"/>
      <c r="I1573" s="144"/>
      <c r="J1573" s="144"/>
      <c r="K1573" s="144"/>
      <c r="L1573" s="144"/>
      <c r="M1573" s="144"/>
      <c r="N1573" s="144"/>
      <c r="O1573" s="144"/>
      <c r="P1573" s="144"/>
      <c r="Q1573" s="144"/>
      <c r="R1573" s="144"/>
      <c r="S1573" s="144"/>
      <c r="T1573" s="144"/>
      <c r="U1573" s="144"/>
      <c r="V1573" s="144"/>
      <c r="W1573" s="144"/>
      <c r="X1573" s="144"/>
      <c r="Y1573" s="144"/>
      <c r="Z1573" s="144"/>
      <c r="AA1573" s="144"/>
      <c r="AB1573" s="144"/>
      <c r="AC1573" s="144"/>
      <c r="AD1573" s="144"/>
      <c r="AE1573" s="144"/>
    </row>
    <row r="1574" spans="8:31" x14ac:dyDescent="0.25">
      <c r="H1574" s="144"/>
      <c r="I1574" s="144"/>
      <c r="J1574" s="144"/>
      <c r="K1574" s="144"/>
      <c r="L1574" s="144"/>
      <c r="M1574" s="144"/>
      <c r="N1574" s="144"/>
      <c r="O1574" s="144"/>
      <c r="P1574" s="144"/>
      <c r="Q1574" s="144"/>
      <c r="R1574" s="144"/>
      <c r="S1574" s="144"/>
      <c r="T1574" s="144"/>
      <c r="U1574" s="144"/>
      <c r="V1574" s="144"/>
      <c r="W1574" s="144"/>
      <c r="X1574" s="144"/>
      <c r="Y1574" s="144"/>
      <c r="Z1574" s="144"/>
      <c r="AA1574" s="144"/>
      <c r="AB1574" s="144"/>
      <c r="AC1574" s="144"/>
      <c r="AD1574" s="144"/>
      <c r="AE1574" s="144"/>
    </row>
    <row r="1575" spans="8:31" x14ac:dyDescent="0.25">
      <c r="H1575" s="144"/>
      <c r="I1575" s="144"/>
      <c r="J1575" s="144"/>
      <c r="K1575" s="144"/>
      <c r="L1575" s="144"/>
      <c r="M1575" s="144"/>
      <c r="N1575" s="144"/>
      <c r="O1575" s="144"/>
      <c r="P1575" s="144"/>
      <c r="Q1575" s="144"/>
      <c r="R1575" s="144"/>
      <c r="S1575" s="144"/>
      <c r="T1575" s="144"/>
      <c r="U1575" s="144"/>
      <c r="V1575" s="144"/>
      <c r="W1575" s="144"/>
      <c r="X1575" s="144"/>
      <c r="Y1575" s="144"/>
      <c r="Z1575" s="144"/>
      <c r="AA1575" s="144"/>
      <c r="AB1575" s="144"/>
      <c r="AC1575" s="144"/>
      <c r="AD1575" s="144"/>
      <c r="AE1575" s="144"/>
    </row>
    <row r="1576" spans="8:31" x14ac:dyDescent="0.25">
      <c r="H1576" s="144"/>
      <c r="I1576" s="144"/>
      <c r="J1576" s="144"/>
      <c r="K1576" s="144"/>
      <c r="L1576" s="144"/>
      <c r="M1576" s="144"/>
      <c r="N1576" s="144"/>
      <c r="O1576" s="144"/>
      <c r="P1576" s="144"/>
      <c r="Q1576" s="144"/>
      <c r="R1576" s="144"/>
      <c r="S1576" s="144"/>
      <c r="T1576" s="144"/>
      <c r="U1576" s="144"/>
      <c r="V1576" s="144"/>
      <c r="W1576" s="144"/>
      <c r="X1576" s="144"/>
      <c r="Y1576" s="144"/>
      <c r="Z1576" s="144"/>
      <c r="AA1576" s="144"/>
      <c r="AB1576" s="144"/>
      <c r="AC1576" s="144"/>
      <c r="AD1576" s="144"/>
      <c r="AE1576" s="144"/>
    </row>
    <row r="1577" spans="8:31" x14ac:dyDescent="0.25">
      <c r="H1577" s="144"/>
      <c r="I1577" s="144"/>
      <c r="J1577" s="144"/>
      <c r="K1577" s="144"/>
      <c r="L1577" s="144"/>
      <c r="M1577" s="144"/>
      <c r="N1577" s="144"/>
      <c r="O1577" s="144"/>
      <c r="P1577" s="144"/>
      <c r="Q1577" s="144"/>
      <c r="R1577" s="144"/>
      <c r="S1577" s="144"/>
      <c r="T1577" s="144"/>
      <c r="U1577" s="144"/>
      <c r="V1577" s="144"/>
      <c r="W1577" s="144"/>
      <c r="X1577" s="144"/>
      <c r="Y1577" s="144"/>
      <c r="Z1577" s="144"/>
      <c r="AA1577" s="144"/>
      <c r="AB1577" s="144"/>
      <c r="AC1577" s="144"/>
      <c r="AD1577" s="144"/>
      <c r="AE1577" s="144"/>
    </row>
    <row r="1578" spans="8:31" x14ac:dyDescent="0.25">
      <c r="H1578" s="144"/>
      <c r="I1578" s="144"/>
      <c r="J1578" s="144"/>
      <c r="K1578" s="144"/>
      <c r="L1578" s="144"/>
      <c r="M1578" s="144"/>
      <c r="N1578" s="144"/>
      <c r="O1578" s="144"/>
      <c r="P1578" s="144"/>
      <c r="Q1578" s="144"/>
      <c r="R1578" s="144"/>
      <c r="S1578" s="144"/>
      <c r="T1578" s="144"/>
      <c r="U1578" s="144"/>
      <c r="V1578" s="144"/>
      <c r="W1578" s="144"/>
      <c r="X1578" s="144"/>
      <c r="Y1578" s="144"/>
      <c r="Z1578" s="144"/>
      <c r="AA1578" s="144"/>
      <c r="AB1578" s="144"/>
      <c r="AC1578" s="144"/>
      <c r="AD1578" s="144"/>
      <c r="AE1578" s="144"/>
    </row>
    <row r="1579" spans="8:31" x14ac:dyDescent="0.25">
      <c r="H1579" s="144"/>
      <c r="I1579" s="144"/>
      <c r="J1579" s="144"/>
      <c r="K1579" s="144"/>
      <c r="L1579" s="144"/>
      <c r="M1579" s="144"/>
      <c r="N1579" s="144"/>
      <c r="O1579" s="144"/>
      <c r="P1579" s="144"/>
      <c r="Q1579" s="144"/>
      <c r="R1579" s="144"/>
      <c r="S1579" s="144"/>
      <c r="T1579" s="144"/>
      <c r="U1579" s="144"/>
      <c r="V1579" s="144"/>
      <c r="W1579" s="144"/>
      <c r="X1579" s="144"/>
      <c r="Y1579" s="144"/>
      <c r="Z1579" s="144"/>
      <c r="AA1579" s="144"/>
      <c r="AB1579" s="144"/>
      <c r="AC1579" s="144"/>
      <c r="AD1579" s="144"/>
      <c r="AE1579" s="144"/>
    </row>
    <row r="1580" spans="8:31" x14ac:dyDescent="0.25">
      <c r="H1580" s="144"/>
      <c r="I1580" s="144"/>
      <c r="J1580" s="144"/>
      <c r="K1580" s="144"/>
      <c r="L1580" s="144"/>
      <c r="M1580" s="144"/>
      <c r="N1580" s="144"/>
      <c r="O1580" s="144"/>
      <c r="P1580" s="144"/>
      <c r="Q1580" s="144"/>
      <c r="R1580" s="144"/>
      <c r="S1580" s="144"/>
      <c r="T1580" s="144"/>
      <c r="U1580" s="144"/>
      <c r="V1580" s="144"/>
      <c r="W1580" s="144"/>
      <c r="X1580" s="144"/>
      <c r="Y1580" s="144"/>
      <c r="Z1580" s="144"/>
      <c r="AA1580" s="144"/>
      <c r="AB1580" s="144"/>
      <c r="AC1580" s="144"/>
      <c r="AD1580" s="144"/>
      <c r="AE1580" s="144"/>
    </row>
    <row r="1581" spans="8:31" x14ac:dyDescent="0.25">
      <c r="H1581" s="144"/>
      <c r="I1581" s="144"/>
      <c r="J1581" s="144"/>
      <c r="K1581" s="144"/>
      <c r="L1581" s="144"/>
      <c r="M1581" s="144"/>
      <c r="N1581" s="144"/>
      <c r="O1581" s="144"/>
      <c r="P1581" s="144"/>
      <c r="Q1581" s="144"/>
      <c r="R1581" s="144"/>
      <c r="S1581" s="144"/>
      <c r="T1581" s="144"/>
      <c r="U1581" s="144"/>
      <c r="V1581" s="144"/>
      <c r="W1581" s="144"/>
      <c r="X1581" s="144"/>
      <c r="Y1581" s="144"/>
      <c r="Z1581" s="144"/>
      <c r="AA1581" s="144"/>
      <c r="AB1581" s="144"/>
      <c r="AC1581" s="144"/>
      <c r="AD1581" s="144"/>
      <c r="AE1581" s="144"/>
    </row>
    <row r="1582" spans="8:31" x14ac:dyDescent="0.25">
      <c r="H1582" s="144"/>
      <c r="I1582" s="144"/>
      <c r="J1582" s="144"/>
      <c r="K1582" s="144"/>
      <c r="L1582" s="144"/>
      <c r="M1582" s="144"/>
      <c r="N1582" s="144"/>
      <c r="O1582" s="144"/>
      <c r="P1582" s="144"/>
      <c r="Q1582" s="144"/>
      <c r="R1582" s="144"/>
      <c r="S1582" s="144"/>
      <c r="T1582" s="144"/>
      <c r="U1582" s="144"/>
      <c r="V1582" s="144"/>
      <c r="W1582" s="144"/>
      <c r="X1582" s="144"/>
      <c r="Y1582" s="144"/>
      <c r="Z1582" s="144"/>
      <c r="AA1582" s="144"/>
      <c r="AB1582" s="144"/>
      <c r="AC1582" s="144"/>
      <c r="AD1582" s="144"/>
      <c r="AE1582" s="144"/>
    </row>
    <row r="1583" spans="8:31" x14ac:dyDescent="0.25">
      <c r="H1583" s="144"/>
      <c r="I1583" s="144"/>
      <c r="J1583" s="144"/>
      <c r="K1583" s="144"/>
      <c r="L1583" s="144"/>
      <c r="M1583" s="144"/>
      <c r="N1583" s="144"/>
      <c r="O1583" s="144"/>
      <c r="P1583" s="144"/>
      <c r="Q1583" s="144"/>
      <c r="R1583" s="144"/>
      <c r="S1583" s="144"/>
      <c r="T1583" s="144"/>
      <c r="U1583" s="144"/>
      <c r="V1583" s="144"/>
      <c r="W1583" s="144"/>
      <c r="X1583" s="144"/>
      <c r="Y1583" s="144"/>
      <c r="Z1583" s="144"/>
      <c r="AA1583" s="144"/>
      <c r="AB1583" s="144"/>
      <c r="AC1583" s="144"/>
      <c r="AD1583" s="144"/>
      <c r="AE1583" s="144"/>
    </row>
    <row r="1584" spans="8:31" x14ac:dyDescent="0.25">
      <c r="H1584" s="144"/>
      <c r="I1584" s="144"/>
      <c r="J1584" s="144"/>
      <c r="K1584" s="144"/>
      <c r="L1584" s="144"/>
      <c r="M1584" s="144"/>
      <c r="N1584" s="144"/>
      <c r="O1584" s="144"/>
      <c r="P1584" s="144"/>
      <c r="Q1584" s="144"/>
      <c r="R1584" s="144"/>
      <c r="S1584" s="144"/>
      <c r="T1584" s="144"/>
      <c r="U1584" s="144"/>
      <c r="V1584" s="144"/>
      <c r="W1584" s="144"/>
      <c r="X1584" s="144"/>
      <c r="Y1584" s="144"/>
      <c r="Z1584" s="144"/>
      <c r="AA1584" s="144"/>
      <c r="AB1584" s="144"/>
      <c r="AC1584" s="144"/>
      <c r="AD1584" s="144"/>
      <c r="AE1584" s="144"/>
    </row>
    <row r="1585" spans="8:31" x14ac:dyDescent="0.25">
      <c r="H1585" s="144"/>
      <c r="I1585" s="144"/>
      <c r="J1585" s="144"/>
      <c r="K1585" s="144"/>
      <c r="L1585" s="144"/>
      <c r="M1585" s="144"/>
      <c r="N1585" s="144"/>
      <c r="O1585" s="144"/>
      <c r="P1585" s="144"/>
      <c r="Q1585" s="144"/>
      <c r="R1585" s="144"/>
      <c r="S1585" s="144"/>
      <c r="T1585" s="144"/>
      <c r="U1585" s="144"/>
      <c r="V1585" s="144"/>
      <c r="W1585" s="144"/>
      <c r="X1585" s="144"/>
      <c r="Y1585" s="144"/>
      <c r="Z1585" s="144"/>
      <c r="AA1585" s="144"/>
      <c r="AB1585" s="144"/>
      <c r="AC1585" s="144"/>
      <c r="AD1585" s="144"/>
      <c r="AE1585" s="144"/>
    </row>
    <row r="1586" spans="8:31" x14ac:dyDescent="0.25">
      <c r="H1586" s="144"/>
      <c r="I1586" s="144"/>
      <c r="J1586" s="144"/>
      <c r="K1586" s="144"/>
      <c r="L1586" s="144"/>
      <c r="M1586" s="144"/>
      <c r="N1586" s="144"/>
      <c r="O1586" s="144"/>
      <c r="P1586" s="144"/>
      <c r="Q1586" s="144"/>
      <c r="R1586" s="144"/>
      <c r="S1586" s="144"/>
      <c r="T1586" s="144"/>
      <c r="U1586" s="144"/>
      <c r="V1586" s="144"/>
      <c r="W1586" s="144"/>
      <c r="X1586" s="144"/>
      <c r="Y1586" s="144"/>
      <c r="Z1586" s="144"/>
      <c r="AA1586" s="144"/>
      <c r="AB1586" s="144"/>
      <c r="AC1586" s="144"/>
      <c r="AD1586" s="144"/>
      <c r="AE1586" s="144"/>
    </row>
    <row r="1587" spans="8:31" x14ac:dyDescent="0.25">
      <c r="H1587" s="144"/>
      <c r="I1587" s="144"/>
      <c r="J1587" s="144"/>
      <c r="K1587" s="144"/>
      <c r="L1587" s="144"/>
      <c r="M1587" s="144"/>
      <c r="N1587" s="144"/>
      <c r="O1587" s="144"/>
      <c r="P1587" s="144"/>
      <c r="Q1587" s="144"/>
      <c r="R1587" s="144"/>
      <c r="S1587" s="144"/>
      <c r="T1587" s="144"/>
      <c r="U1587" s="144"/>
      <c r="V1587" s="144"/>
      <c r="W1587" s="144"/>
      <c r="X1587" s="144"/>
      <c r="Y1587" s="144"/>
      <c r="Z1587" s="144"/>
      <c r="AA1587" s="144"/>
      <c r="AB1587" s="144"/>
      <c r="AC1587" s="144"/>
      <c r="AD1587" s="144"/>
      <c r="AE1587" s="144"/>
    </row>
    <row r="1588" spans="8:31" x14ac:dyDescent="0.25">
      <c r="H1588" s="144"/>
      <c r="I1588" s="144"/>
      <c r="J1588" s="144"/>
      <c r="K1588" s="144"/>
      <c r="L1588" s="144"/>
      <c r="M1588" s="144"/>
      <c r="N1588" s="144"/>
      <c r="O1588" s="144"/>
      <c r="P1588" s="144"/>
      <c r="Q1588" s="144"/>
      <c r="R1588" s="144"/>
      <c r="S1588" s="144"/>
      <c r="T1588" s="144"/>
      <c r="U1588" s="144"/>
      <c r="V1588" s="144"/>
      <c r="W1588" s="144"/>
      <c r="X1588" s="144"/>
      <c r="Y1588" s="144"/>
      <c r="Z1588" s="144"/>
      <c r="AA1588" s="144"/>
      <c r="AB1588" s="144"/>
      <c r="AC1588" s="144"/>
      <c r="AD1588" s="144"/>
      <c r="AE1588" s="144"/>
    </row>
    <row r="1589" spans="8:31" x14ac:dyDescent="0.25">
      <c r="H1589" s="144"/>
      <c r="I1589" s="144"/>
      <c r="J1589" s="144"/>
      <c r="K1589" s="144"/>
      <c r="L1589" s="144"/>
      <c r="M1589" s="144"/>
      <c r="N1589" s="144"/>
      <c r="O1589" s="144"/>
      <c r="P1589" s="144"/>
      <c r="Q1589" s="144"/>
      <c r="R1589" s="144"/>
      <c r="S1589" s="144"/>
      <c r="T1589" s="144"/>
      <c r="U1589" s="144"/>
      <c r="V1589" s="144"/>
      <c r="W1589" s="144"/>
      <c r="X1589" s="144"/>
      <c r="Y1589" s="144"/>
      <c r="Z1589" s="144"/>
      <c r="AA1589" s="144"/>
      <c r="AB1589" s="144"/>
      <c r="AC1589" s="144"/>
      <c r="AD1589" s="144"/>
      <c r="AE1589" s="144"/>
    </row>
    <row r="1590" spans="8:31" x14ac:dyDescent="0.25">
      <c r="H1590" s="144"/>
      <c r="I1590" s="144"/>
      <c r="J1590" s="144"/>
      <c r="K1590" s="144"/>
      <c r="L1590" s="144"/>
      <c r="M1590" s="144"/>
      <c r="N1590" s="144"/>
      <c r="O1590" s="144"/>
      <c r="P1590" s="144"/>
      <c r="Q1590" s="144"/>
      <c r="R1590" s="144"/>
      <c r="S1590" s="144"/>
      <c r="T1590" s="144"/>
      <c r="U1590" s="144"/>
      <c r="V1590" s="144"/>
      <c r="W1590" s="144"/>
      <c r="X1590" s="144"/>
      <c r="Y1590" s="144"/>
      <c r="Z1590" s="144"/>
      <c r="AA1590" s="144"/>
      <c r="AB1590" s="144"/>
      <c r="AC1590" s="144"/>
      <c r="AD1590" s="144"/>
      <c r="AE1590" s="144"/>
    </row>
    <row r="1591" spans="8:31" x14ac:dyDescent="0.25">
      <c r="H1591" s="144"/>
      <c r="I1591" s="144"/>
      <c r="J1591" s="144"/>
      <c r="K1591" s="144"/>
      <c r="L1591" s="144"/>
      <c r="M1591" s="144"/>
      <c r="N1591" s="144"/>
      <c r="O1591" s="144"/>
      <c r="P1591" s="144"/>
      <c r="Q1591" s="144"/>
      <c r="R1591" s="144"/>
      <c r="S1591" s="144"/>
      <c r="T1591" s="144"/>
      <c r="U1591" s="144"/>
      <c r="V1591" s="144"/>
      <c r="W1591" s="144"/>
      <c r="X1591" s="144"/>
      <c r="Y1591" s="144"/>
      <c r="Z1591" s="144"/>
      <c r="AA1591" s="144"/>
      <c r="AB1591" s="144"/>
      <c r="AC1591" s="144"/>
      <c r="AD1591" s="144"/>
      <c r="AE1591" s="144"/>
    </row>
    <row r="1592" spans="8:31" x14ac:dyDescent="0.25">
      <c r="H1592" s="144"/>
      <c r="I1592" s="144"/>
      <c r="J1592" s="144"/>
      <c r="K1592" s="144"/>
      <c r="L1592" s="144"/>
      <c r="M1592" s="144"/>
      <c r="N1592" s="144"/>
      <c r="O1592" s="144"/>
      <c r="P1592" s="144"/>
      <c r="Q1592" s="144"/>
      <c r="R1592" s="144"/>
      <c r="S1592" s="144"/>
      <c r="T1592" s="144"/>
      <c r="U1592" s="144"/>
      <c r="V1592" s="144"/>
      <c r="W1592" s="144"/>
      <c r="X1592" s="144"/>
      <c r="Y1592" s="144"/>
      <c r="Z1592" s="144"/>
      <c r="AA1592" s="144"/>
      <c r="AB1592" s="144"/>
      <c r="AC1592" s="144"/>
      <c r="AD1592" s="144"/>
      <c r="AE1592" s="144"/>
    </row>
    <row r="1593" spans="8:31" x14ac:dyDescent="0.25">
      <c r="H1593" s="144"/>
      <c r="I1593" s="144"/>
      <c r="J1593" s="144"/>
      <c r="K1593" s="144"/>
      <c r="L1593" s="144"/>
      <c r="M1593" s="144"/>
      <c r="N1593" s="144"/>
      <c r="O1593" s="144"/>
      <c r="P1593" s="144"/>
      <c r="Q1593" s="144"/>
      <c r="R1593" s="144"/>
      <c r="S1593" s="144"/>
      <c r="T1593" s="144"/>
      <c r="U1593" s="144"/>
      <c r="V1593" s="144"/>
      <c r="W1593" s="144"/>
      <c r="X1593" s="144"/>
      <c r="Y1593" s="144"/>
      <c r="Z1593" s="144"/>
      <c r="AA1593" s="144"/>
      <c r="AB1593" s="144"/>
      <c r="AC1593" s="144"/>
      <c r="AD1593" s="144"/>
      <c r="AE1593" s="144"/>
    </row>
    <row r="1594" spans="8:31" x14ac:dyDescent="0.25">
      <c r="H1594" s="144"/>
      <c r="I1594" s="144"/>
      <c r="J1594" s="144"/>
      <c r="K1594" s="144"/>
      <c r="L1594" s="144"/>
      <c r="M1594" s="144"/>
      <c r="N1594" s="144"/>
      <c r="O1594" s="144"/>
      <c r="P1594" s="144"/>
      <c r="Q1594" s="144"/>
      <c r="R1594" s="144"/>
      <c r="S1594" s="144"/>
      <c r="T1594" s="144"/>
      <c r="U1594" s="144"/>
      <c r="V1594" s="144"/>
      <c r="W1594" s="144"/>
      <c r="X1594" s="144"/>
      <c r="Y1594" s="144"/>
      <c r="Z1594" s="144"/>
      <c r="AA1594" s="144"/>
      <c r="AB1594" s="144"/>
      <c r="AC1594" s="144"/>
      <c r="AD1594" s="144"/>
      <c r="AE1594" s="144"/>
    </row>
    <row r="1595" spans="8:31" x14ac:dyDescent="0.25">
      <c r="H1595" s="144"/>
      <c r="I1595" s="144"/>
      <c r="J1595" s="144"/>
      <c r="K1595" s="144"/>
      <c r="L1595" s="144"/>
      <c r="M1595" s="144"/>
      <c r="N1595" s="144"/>
      <c r="O1595" s="144"/>
      <c r="P1595" s="144"/>
      <c r="Q1595" s="144"/>
      <c r="R1595" s="144"/>
      <c r="S1595" s="144"/>
      <c r="T1595" s="144"/>
      <c r="U1595" s="144"/>
      <c r="V1595" s="144"/>
      <c r="W1595" s="144"/>
      <c r="X1595" s="144"/>
      <c r="Y1595" s="144"/>
      <c r="Z1595" s="144"/>
      <c r="AA1595" s="144"/>
      <c r="AB1595" s="144"/>
      <c r="AC1595" s="144"/>
      <c r="AD1595" s="144"/>
      <c r="AE1595" s="144"/>
    </row>
    <row r="1596" spans="8:31" x14ac:dyDescent="0.25">
      <c r="H1596" s="144"/>
      <c r="I1596" s="144"/>
      <c r="J1596" s="144"/>
      <c r="K1596" s="144"/>
      <c r="L1596" s="144"/>
      <c r="M1596" s="144"/>
      <c r="N1596" s="144"/>
      <c r="O1596" s="144"/>
      <c r="P1596" s="144"/>
      <c r="Q1596" s="144"/>
      <c r="R1596" s="144"/>
      <c r="S1596" s="144"/>
      <c r="T1596" s="144"/>
      <c r="U1596" s="144"/>
      <c r="V1596" s="144"/>
      <c r="W1596" s="144"/>
      <c r="X1596" s="144"/>
      <c r="Y1596" s="144"/>
      <c r="Z1596" s="144"/>
      <c r="AA1596" s="144"/>
      <c r="AB1596" s="144"/>
      <c r="AC1596" s="144"/>
      <c r="AD1596" s="144"/>
      <c r="AE1596" s="144"/>
    </row>
    <row r="1597" spans="8:31" x14ac:dyDescent="0.25">
      <c r="H1597" s="144"/>
      <c r="I1597" s="144"/>
      <c r="J1597" s="144"/>
      <c r="K1597" s="144"/>
      <c r="L1597" s="144"/>
      <c r="M1597" s="144"/>
      <c r="N1597" s="144"/>
      <c r="O1597" s="144"/>
      <c r="P1597" s="144"/>
      <c r="Q1597" s="144"/>
      <c r="R1597" s="144"/>
      <c r="S1597" s="144"/>
      <c r="T1597" s="144"/>
      <c r="U1597" s="144"/>
      <c r="V1597" s="144"/>
      <c r="W1597" s="144"/>
      <c r="X1597" s="144"/>
      <c r="Y1597" s="144"/>
      <c r="Z1597" s="144"/>
      <c r="AA1597" s="144"/>
      <c r="AB1597" s="144"/>
      <c r="AC1597" s="144"/>
      <c r="AD1597" s="144"/>
      <c r="AE1597" s="144"/>
    </row>
    <row r="1598" spans="8:31" x14ac:dyDescent="0.25">
      <c r="H1598" s="144"/>
      <c r="I1598" s="144"/>
      <c r="J1598" s="144"/>
      <c r="K1598" s="144"/>
      <c r="L1598" s="144"/>
      <c r="M1598" s="144"/>
      <c r="N1598" s="144"/>
      <c r="O1598" s="144"/>
      <c r="P1598" s="144"/>
      <c r="Q1598" s="144"/>
      <c r="R1598" s="144"/>
      <c r="S1598" s="144"/>
      <c r="T1598" s="144"/>
      <c r="U1598" s="144"/>
      <c r="V1598" s="144"/>
      <c r="W1598" s="144"/>
      <c r="X1598" s="144"/>
      <c r="Y1598" s="144"/>
      <c r="Z1598" s="144"/>
      <c r="AA1598" s="144"/>
      <c r="AB1598" s="144"/>
      <c r="AC1598" s="144"/>
      <c r="AD1598" s="144"/>
      <c r="AE1598" s="144"/>
    </row>
    <row r="1599" spans="8:31" x14ac:dyDescent="0.25">
      <c r="H1599" s="144"/>
      <c r="I1599" s="144"/>
      <c r="J1599" s="144"/>
      <c r="K1599" s="144"/>
      <c r="L1599" s="144"/>
      <c r="M1599" s="144"/>
      <c r="N1599" s="144"/>
      <c r="O1599" s="144"/>
      <c r="P1599" s="144"/>
      <c r="Q1599" s="144"/>
      <c r="R1599" s="144"/>
      <c r="S1599" s="144"/>
      <c r="T1599" s="144"/>
      <c r="U1599" s="144"/>
      <c r="V1599" s="144"/>
      <c r="W1599" s="144"/>
      <c r="X1599" s="144"/>
      <c r="Y1599" s="144"/>
      <c r="Z1599" s="144"/>
      <c r="AA1599" s="144"/>
      <c r="AB1599" s="144"/>
      <c r="AC1599" s="144"/>
      <c r="AD1599" s="144"/>
      <c r="AE1599" s="144"/>
    </row>
    <row r="1600" spans="8:31" x14ac:dyDescent="0.25">
      <c r="H1600" s="144"/>
      <c r="I1600" s="144"/>
      <c r="J1600" s="144"/>
      <c r="K1600" s="144"/>
      <c r="L1600" s="144"/>
      <c r="M1600" s="144"/>
      <c r="N1600" s="144"/>
      <c r="O1600" s="144"/>
      <c r="P1600" s="144"/>
      <c r="Q1600" s="144"/>
      <c r="R1600" s="144"/>
      <c r="S1600" s="144"/>
      <c r="T1600" s="144"/>
      <c r="U1600" s="144"/>
      <c r="V1600" s="144"/>
      <c r="W1600" s="144"/>
      <c r="X1600" s="144"/>
      <c r="Y1600" s="144"/>
      <c r="Z1600" s="144"/>
      <c r="AA1600" s="144"/>
      <c r="AB1600" s="144"/>
      <c r="AC1600" s="144"/>
      <c r="AD1600" s="144"/>
      <c r="AE1600" s="144"/>
    </row>
    <row r="1601" spans="8:31" x14ac:dyDescent="0.25">
      <c r="H1601" s="144"/>
      <c r="I1601" s="144"/>
      <c r="J1601" s="144"/>
      <c r="K1601" s="144"/>
      <c r="L1601" s="144"/>
      <c r="M1601" s="144"/>
      <c r="N1601" s="144"/>
      <c r="O1601" s="144"/>
      <c r="P1601" s="144"/>
      <c r="Q1601" s="144"/>
      <c r="R1601" s="144"/>
      <c r="S1601" s="144"/>
      <c r="T1601" s="144"/>
      <c r="U1601" s="144"/>
      <c r="V1601" s="144"/>
      <c r="W1601" s="144"/>
      <c r="X1601" s="144"/>
      <c r="Y1601" s="144"/>
      <c r="Z1601" s="144"/>
      <c r="AA1601" s="144"/>
      <c r="AB1601" s="144"/>
      <c r="AC1601" s="144"/>
      <c r="AD1601" s="144"/>
      <c r="AE1601" s="144"/>
    </row>
    <row r="1602" spans="8:31" x14ac:dyDescent="0.25">
      <c r="H1602" s="144"/>
      <c r="I1602" s="144"/>
      <c r="J1602" s="144"/>
      <c r="K1602" s="144"/>
      <c r="L1602" s="144"/>
      <c r="M1602" s="144"/>
      <c r="N1602" s="144"/>
      <c r="O1602" s="144"/>
      <c r="P1602" s="144"/>
      <c r="Q1602" s="144"/>
      <c r="R1602" s="144"/>
      <c r="S1602" s="144"/>
      <c r="T1602" s="144"/>
      <c r="U1602" s="144"/>
      <c r="V1602" s="144"/>
      <c r="W1602" s="144"/>
      <c r="X1602" s="144"/>
      <c r="Y1602" s="144"/>
      <c r="Z1602" s="144"/>
      <c r="AA1602" s="144"/>
      <c r="AB1602" s="144"/>
      <c r="AC1602" s="144"/>
      <c r="AD1602" s="144"/>
      <c r="AE1602" s="144"/>
    </row>
    <row r="1603" spans="8:31" x14ac:dyDescent="0.25">
      <c r="H1603" s="144"/>
      <c r="I1603" s="144"/>
      <c r="J1603" s="144"/>
      <c r="K1603" s="144"/>
      <c r="L1603" s="144"/>
      <c r="M1603" s="144"/>
      <c r="N1603" s="144"/>
      <c r="O1603" s="144"/>
      <c r="P1603" s="144"/>
      <c r="Q1603" s="144"/>
      <c r="R1603" s="144"/>
      <c r="S1603" s="144"/>
      <c r="T1603" s="144"/>
      <c r="U1603" s="144"/>
      <c r="V1603" s="144"/>
      <c r="W1603" s="144"/>
      <c r="X1603" s="144"/>
      <c r="Y1603" s="144"/>
      <c r="Z1603" s="144"/>
      <c r="AA1603" s="144"/>
      <c r="AB1603" s="144"/>
      <c r="AC1603" s="144"/>
      <c r="AD1603" s="144"/>
      <c r="AE1603" s="144"/>
    </row>
    <row r="1604" spans="8:31" x14ac:dyDescent="0.25">
      <c r="H1604" s="144"/>
      <c r="I1604" s="144"/>
      <c r="J1604" s="144"/>
      <c r="K1604" s="144"/>
      <c r="L1604" s="144"/>
      <c r="M1604" s="144"/>
      <c r="N1604" s="144"/>
      <c r="O1604" s="144"/>
      <c r="P1604" s="144"/>
      <c r="Q1604" s="144"/>
      <c r="R1604" s="144"/>
      <c r="S1604" s="144"/>
      <c r="T1604" s="144"/>
      <c r="U1604" s="144"/>
      <c r="V1604" s="144"/>
      <c r="W1604" s="144"/>
      <c r="X1604" s="144"/>
      <c r="Y1604" s="144"/>
      <c r="Z1604" s="144"/>
      <c r="AA1604" s="144"/>
      <c r="AB1604" s="144"/>
      <c r="AC1604" s="144"/>
      <c r="AD1604" s="144"/>
      <c r="AE1604" s="144"/>
    </row>
    <row r="1605" spans="8:31" x14ac:dyDescent="0.25">
      <c r="H1605" s="144"/>
      <c r="I1605" s="144"/>
      <c r="J1605" s="144"/>
      <c r="K1605" s="144"/>
      <c r="L1605" s="144"/>
      <c r="M1605" s="144"/>
      <c r="N1605" s="144"/>
      <c r="O1605" s="144"/>
      <c r="P1605" s="144"/>
      <c r="Q1605" s="144"/>
      <c r="R1605" s="144"/>
      <c r="S1605" s="144"/>
      <c r="T1605" s="144"/>
      <c r="U1605" s="144"/>
      <c r="V1605" s="144"/>
      <c r="W1605" s="144"/>
      <c r="X1605" s="144"/>
      <c r="Y1605" s="144"/>
      <c r="Z1605" s="144"/>
      <c r="AA1605" s="144"/>
      <c r="AB1605" s="144"/>
      <c r="AC1605" s="144"/>
      <c r="AD1605" s="144"/>
      <c r="AE1605" s="144"/>
    </row>
    <row r="1606" spans="8:31" x14ac:dyDescent="0.25">
      <c r="H1606" s="144"/>
      <c r="I1606" s="144"/>
      <c r="J1606" s="144"/>
      <c r="K1606" s="144"/>
      <c r="L1606" s="144"/>
      <c r="M1606" s="144"/>
      <c r="N1606" s="144"/>
      <c r="O1606" s="144"/>
      <c r="P1606" s="144"/>
      <c r="Q1606" s="144"/>
      <c r="R1606" s="144"/>
      <c r="S1606" s="144"/>
      <c r="T1606" s="144"/>
      <c r="U1606" s="144"/>
      <c r="V1606" s="144"/>
      <c r="W1606" s="144"/>
      <c r="X1606" s="144"/>
      <c r="Y1606" s="144"/>
      <c r="Z1606" s="144"/>
      <c r="AA1606" s="144"/>
      <c r="AB1606" s="144"/>
      <c r="AC1606" s="144"/>
      <c r="AD1606" s="144"/>
      <c r="AE1606" s="144"/>
    </row>
    <row r="1607" spans="8:31" x14ac:dyDescent="0.25">
      <c r="H1607" s="144"/>
      <c r="I1607" s="144"/>
      <c r="J1607" s="144"/>
      <c r="K1607" s="144"/>
      <c r="L1607" s="144"/>
      <c r="M1607" s="144"/>
      <c r="N1607" s="144"/>
      <c r="O1607" s="144"/>
      <c r="P1607" s="144"/>
      <c r="Q1607" s="144"/>
      <c r="R1607" s="144"/>
      <c r="S1607" s="144"/>
      <c r="T1607" s="144"/>
      <c r="U1607" s="144"/>
      <c r="V1607" s="144"/>
      <c r="W1607" s="144"/>
      <c r="X1607" s="144"/>
      <c r="Y1607" s="144"/>
      <c r="Z1607" s="144"/>
      <c r="AA1607" s="144"/>
      <c r="AB1607" s="144"/>
      <c r="AC1607" s="144"/>
      <c r="AD1607" s="144"/>
      <c r="AE1607" s="144"/>
    </row>
    <row r="1608" spans="8:31" x14ac:dyDescent="0.25">
      <c r="H1608" s="144"/>
      <c r="I1608" s="144"/>
      <c r="J1608" s="144"/>
      <c r="K1608" s="144"/>
      <c r="L1608" s="144"/>
      <c r="M1608" s="144"/>
      <c r="N1608" s="144"/>
      <c r="O1608" s="144"/>
      <c r="P1608" s="144"/>
      <c r="Q1608" s="144"/>
      <c r="R1608" s="144"/>
      <c r="S1608" s="144"/>
      <c r="T1608" s="144"/>
      <c r="U1608" s="144"/>
      <c r="V1608" s="144"/>
      <c r="W1608" s="144"/>
      <c r="X1608" s="144"/>
      <c r="Y1608" s="144"/>
      <c r="Z1608" s="144"/>
      <c r="AA1608" s="144"/>
      <c r="AB1608" s="144"/>
      <c r="AC1608" s="144"/>
      <c r="AD1608" s="144"/>
      <c r="AE1608" s="144"/>
    </row>
    <row r="1609" spans="8:31" x14ac:dyDescent="0.25">
      <c r="H1609" s="144"/>
      <c r="I1609" s="144"/>
      <c r="J1609" s="144"/>
      <c r="K1609" s="144"/>
      <c r="L1609" s="144"/>
      <c r="M1609" s="144"/>
      <c r="N1609" s="144"/>
      <c r="O1609" s="144"/>
      <c r="P1609" s="144"/>
      <c r="Q1609" s="144"/>
      <c r="R1609" s="144"/>
      <c r="S1609" s="144"/>
      <c r="T1609" s="144"/>
      <c r="U1609" s="144"/>
      <c r="V1609" s="144"/>
      <c r="W1609" s="144"/>
      <c r="X1609" s="144"/>
      <c r="Y1609" s="144"/>
      <c r="Z1609" s="144"/>
      <c r="AA1609" s="144"/>
      <c r="AB1609" s="144"/>
      <c r="AC1609" s="144"/>
      <c r="AD1609" s="144"/>
      <c r="AE1609" s="144"/>
    </row>
    <row r="1610" spans="8:31" x14ac:dyDescent="0.25">
      <c r="H1610" s="144"/>
      <c r="I1610" s="144"/>
      <c r="J1610" s="144"/>
      <c r="K1610" s="144"/>
      <c r="L1610" s="144"/>
      <c r="M1610" s="144"/>
      <c r="N1610" s="144"/>
      <c r="O1610" s="144"/>
      <c r="P1610" s="144"/>
      <c r="Q1610" s="144"/>
      <c r="R1610" s="144"/>
      <c r="S1610" s="144"/>
      <c r="T1610" s="144"/>
      <c r="U1610" s="144"/>
      <c r="V1610" s="144"/>
      <c r="W1610" s="144"/>
      <c r="X1610" s="144"/>
      <c r="Y1610" s="144"/>
      <c r="Z1610" s="144"/>
      <c r="AA1610" s="144"/>
      <c r="AB1610" s="144"/>
      <c r="AC1610" s="144"/>
      <c r="AD1610" s="144"/>
      <c r="AE1610" s="144"/>
    </row>
    <row r="1611" spans="8:31" x14ac:dyDescent="0.25">
      <c r="H1611" s="144"/>
      <c r="I1611" s="144"/>
      <c r="J1611" s="144"/>
      <c r="K1611" s="144"/>
      <c r="L1611" s="144"/>
      <c r="M1611" s="144"/>
      <c r="N1611" s="144"/>
      <c r="O1611" s="144"/>
      <c r="P1611" s="144"/>
      <c r="Q1611" s="144"/>
      <c r="R1611" s="144"/>
      <c r="S1611" s="144"/>
      <c r="T1611" s="144"/>
      <c r="U1611" s="144"/>
      <c r="V1611" s="144"/>
      <c r="W1611" s="144"/>
      <c r="X1611" s="144"/>
      <c r="Y1611" s="144"/>
      <c r="Z1611" s="144"/>
      <c r="AA1611" s="144"/>
      <c r="AB1611" s="144"/>
      <c r="AC1611" s="144"/>
      <c r="AD1611" s="144"/>
      <c r="AE1611" s="144"/>
    </row>
    <row r="1612" spans="8:31" x14ac:dyDescent="0.25">
      <c r="H1612" s="144"/>
      <c r="I1612" s="144"/>
      <c r="J1612" s="144"/>
      <c r="K1612" s="144"/>
      <c r="L1612" s="144"/>
      <c r="M1612" s="144"/>
      <c r="N1612" s="144"/>
      <c r="O1612" s="144"/>
      <c r="P1612" s="144"/>
      <c r="Q1612" s="144"/>
      <c r="R1612" s="144"/>
      <c r="S1612" s="144"/>
      <c r="T1612" s="144"/>
      <c r="U1612" s="144"/>
      <c r="V1612" s="144"/>
      <c r="W1612" s="144"/>
      <c r="X1612" s="144"/>
      <c r="Y1612" s="144"/>
      <c r="Z1612" s="144"/>
      <c r="AA1612" s="144"/>
      <c r="AB1612" s="144"/>
      <c r="AC1612" s="144"/>
      <c r="AD1612" s="144"/>
      <c r="AE1612" s="144"/>
    </row>
    <row r="1613" spans="8:31" x14ac:dyDescent="0.25">
      <c r="H1613" s="144"/>
      <c r="I1613" s="144"/>
      <c r="J1613" s="144"/>
      <c r="K1613" s="144"/>
      <c r="L1613" s="144"/>
      <c r="M1613" s="144"/>
      <c r="N1613" s="144"/>
      <c r="O1613" s="144"/>
      <c r="P1613" s="144"/>
      <c r="Q1613" s="144"/>
      <c r="R1613" s="144"/>
      <c r="S1613" s="144"/>
      <c r="T1613" s="144"/>
      <c r="U1613" s="144"/>
      <c r="V1613" s="144"/>
      <c r="W1613" s="144"/>
      <c r="X1613" s="144"/>
      <c r="Y1613" s="144"/>
      <c r="Z1613" s="144"/>
      <c r="AA1613" s="144"/>
      <c r="AB1613" s="144"/>
      <c r="AC1613" s="144"/>
      <c r="AD1613" s="144"/>
      <c r="AE1613" s="144"/>
    </row>
    <row r="1614" spans="8:31" x14ac:dyDescent="0.25">
      <c r="H1614" s="144"/>
      <c r="I1614" s="144"/>
      <c r="J1614" s="144"/>
      <c r="K1614" s="144"/>
      <c r="L1614" s="144"/>
      <c r="M1614" s="144"/>
      <c r="N1614" s="144"/>
      <c r="O1614" s="144"/>
      <c r="P1614" s="144"/>
      <c r="Q1614" s="144"/>
      <c r="R1614" s="144"/>
      <c r="S1614" s="144"/>
      <c r="T1614" s="144"/>
      <c r="U1614" s="144"/>
      <c r="V1614" s="144"/>
      <c r="W1614" s="144"/>
      <c r="X1614" s="144"/>
      <c r="Y1614" s="144"/>
      <c r="Z1614" s="144"/>
      <c r="AA1614" s="144"/>
      <c r="AB1614" s="144"/>
      <c r="AC1614" s="144"/>
      <c r="AD1614" s="144"/>
      <c r="AE1614" s="144"/>
    </row>
    <row r="1615" spans="8:31" x14ac:dyDescent="0.25">
      <c r="H1615" s="144"/>
      <c r="I1615" s="144"/>
      <c r="J1615" s="144"/>
      <c r="K1615" s="144"/>
      <c r="L1615" s="144"/>
      <c r="M1615" s="144"/>
      <c r="N1615" s="144"/>
      <c r="O1615" s="144"/>
      <c r="P1615" s="144"/>
      <c r="Q1615" s="144"/>
      <c r="R1615" s="144"/>
      <c r="S1615" s="144"/>
      <c r="T1615" s="144"/>
      <c r="U1615" s="144"/>
      <c r="V1615" s="144"/>
      <c r="W1615" s="144"/>
      <c r="X1615" s="144"/>
      <c r="Y1615" s="144"/>
      <c r="Z1615" s="144"/>
      <c r="AA1615" s="144"/>
      <c r="AB1615" s="144"/>
      <c r="AC1615" s="144"/>
      <c r="AD1615" s="144"/>
      <c r="AE1615" s="144"/>
    </row>
    <row r="1616" spans="8:31" x14ac:dyDescent="0.25">
      <c r="H1616" s="144"/>
      <c r="I1616" s="144"/>
      <c r="J1616" s="144"/>
      <c r="K1616" s="144"/>
      <c r="L1616" s="144"/>
      <c r="M1616" s="144"/>
      <c r="N1616" s="144"/>
      <c r="O1616" s="144"/>
      <c r="P1616" s="144"/>
      <c r="Q1616" s="144"/>
      <c r="R1616" s="144"/>
      <c r="S1616" s="144"/>
      <c r="T1616" s="144"/>
      <c r="U1616" s="144"/>
      <c r="V1616" s="144"/>
      <c r="W1616" s="144"/>
      <c r="X1616" s="144"/>
      <c r="Y1616" s="144"/>
      <c r="Z1616" s="144"/>
      <c r="AA1616" s="144"/>
      <c r="AB1616" s="144"/>
      <c r="AC1616" s="144"/>
      <c r="AD1616" s="144"/>
      <c r="AE1616" s="144"/>
    </row>
    <row r="1617" spans="8:31" x14ac:dyDescent="0.25">
      <c r="H1617" s="144"/>
      <c r="I1617" s="144"/>
      <c r="J1617" s="144"/>
      <c r="K1617" s="144"/>
      <c r="L1617" s="144"/>
      <c r="M1617" s="144"/>
      <c r="N1617" s="144"/>
      <c r="O1617" s="144"/>
      <c r="P1617" s="144"/>
      <c r="Q1617" s="144"/>
      <c r="R1617" s="144"/>
      <c r="S1617" s="144"/>
      <c r="T1617" s="144"/>
      <c r="U1617" s="144"/>
      <c r="V1617" s="144"/>
      <c r="W1617" s="144"/>
      <c r="X1617" s="144"/>
      <c r="Y1617" s="144"/>
      <c r="Z1617" s="144"/>
      <c r="AA1617" s="144"/>
      <c r="AB1617" s="144"/>
      <c r="AC1617" s="144"/>
      <c r="AD1617" s="144"/>
      <c r="AE1617" s="144"/>
    </row>
    <row r="1618" spans="8:31" x14ac:dyDescent="0.25">
      <c r="H1618" s="144"/>
      <c r="I1618" s="144"/>
      <c r="J1618" s="144"/>
      <c r="K1618" s="144"/>
      <c r="L1618" s="144"/>
      <c r="M1618" s="144"/>
      <c r="N1618" s="144"/>
      <c r="O1618" s="144"/>
      <c r="P1618" s="144"/>
      <c r="Q1618" s="144"/>
      <c r="R1618" s="144"/>
      <c r="S1618" s="144"/>
      <c r="T1618" s="144"/>
      <c r="U1618" s="144"/>
      <c r="V1618" s="144"/>
      <c r="W1618" s="144"/>
      <c r="X1618" s="144"/>
      <c r="Y1618" s="144"/>
      <c r="Z1618" s="144"/>
      <c r="AA1618" s="144"/>
      <c r="AB1618" s="144"/>
      <c r="AC1618" s="144"/>
      <c r="AD1618" s="144"/>
      <c r="AE1618" s="144"/>
    </row>
    <row r="1619" spans="8:31" x14ac:dyDescent="0.25">
      <c r="H1619" s="144"/>
      <c r="I1619" s="144"/>
      <c r="J1619" s="144"/>
      <c r="K1619" s="144"/>
      <c r="L1619" s="144"/>
      <c r="M1619" s="144"/>
      <c r="N1619" s="144"/>
      <c r="O1619" s="144"/>
      <c r="P1619" s="144"/>
      <c r="Q1619" s="144"/>
      <c r="R1619" s="144"/>
      <c r="S1619" s="144"/>
      <c r="T1619" s="144"/>
      <c r="U1619" s="144"/>
      <c r="V1619" s="144"/>
      <c r="W1619" s="144"/>
      <c r="X1619" s="144"/>
      <c r="Y1619" s="144"/>
      <c r="Z1619" s="144"/>
      <c r="AA1619" s="144"/>
      <c r="AB1619" s="144"/>
      <c r="AC1619" s="144"/>
      <c r="AD1619" s="144"/>
      <c r="AE1619" s="144"/>
    </row>
    <row r="1620" spans="8:31" x14ac:dyDescent="0.25">
      <c r="H1620" s="144"/>
      <c r="I1620" s="144"/>
      <c r="J1620" s="144"/>
      <c r="K1620" s="144"/>
      <c r="L1620" s="144"/>
      <c r="M1620" s="144"/>
      <c r="N1620" s="144"/>
      <c r="O1620" s="144"/>
      <c r="P1620" s="144"/>
      <c r="Q1620" s="144"/>
      <c r="R1620" s="144"/>
      <c r="S1620" s="144"/>
      <c r="T1620" s="144"/>
      <c r="U1620" s="144"/>
      <c r="V1620" s="144"/>
      <c r="W1620" s="144"/>
      <c r="X1620" s="144"/>
      <c r="Y1620" s="144"/>
      <c r="Z1620" s="144"/>
      <c r="AA1620" s="144"/>
      <c r="AB1620" s="144"/>
      <c r="AC1620" s="144"/>
      <c r="AD1620" s="144"/>
      <c r="AE1620" s="144"/>
    </row>
    <row r="1621" spans="8:31" x14ac:dyDescent="0.25">
      <c r="H1621" s="144"/>
      <c r="I1621" s="144"/>
      <c r="J1621" s="144"/>
      <c r="K1621" s="144"/>
      <c r="L1621" s="144"/>
      <c r="M1621" s="144"/>
      <c r="N1621" s="144"/>
      <c r="O1621" s="144"/>
      <c r="P1621" s="144"/>
      <c r="Q1621" s="144"/>
      <c r="R1621" s="144"/>
      <c r="S1621" s="144"/>
      <c r="T1621" s="144"/>
      <c r="U1621" s="144"/>
      <c r="V1621" s="144"/>
      <c r="W1621" s="144"/>
      <c r="X1621" s="144"/>
      <c r="Y1621" s="144"/>
      <c r="Z1621" s="144"/>
      <c r="AA1621" s="144"/>
      <c r="AB1621" s="144"/>
      <c r="AC1621" s="144"/>
      <c r="AD1621" s="144"/>
      <c r="AE1621" s="144"/>
    </row>
    <row r="1622" spans="8:31" x14ac:dyDescent="0.25">
      <c r="H1622" s="144"/>
      <c r="I1622" s="144"/>
      <c r="J1622" s="144"/>
      <c r="K1622" s="144"/>
      <c r="L1622" s="144"/>
      <c r="M1622" s="144"/>
      <c r="N1622" s="144"/>
      <c r="O1622" s="144"/>
      <c r="P1622" s="144"/>
      <c r="Q1622" s="144"/>
      <c r="R1622" s="144"/>
      <c r="S1622" s="144"/>
      <c r="T1622" s="144"/>
      <c r="U1622" s="144"/>
      <c r="V1622" s="144"/>
      <c r="W1622" s="144"/>
      <c r="X1622" s="144"/>
      <c r="Y1622" s="144"/>
      <c r="Z1622" s="144"/>
      <c r="AA1622" s="144"/>
      <c r="AB1622" s="144"/>
      <c r="AC1622" s="144"/>
      <c r="AD1622" s="144"/>
      <c r="AE1622" s="144"/>
    </row>
    <row r="1623" spans="8:31" x14ac:dyDescent="0.25">
      <c r="H1623" s="144"/>
      <c r="I1623" s="144"/>
      <c r="J1623" s="144"/>
      <c r="K1623" s="144"/>
      <c r="L1623" s="144"/>
      <c r="M1623" s="144"/>
      <c r="N1623" s="144"/>
      <c r="O1623" s="144"/>
      <c r="P1623" s="144"/>
      <c r="Q1623" s="144"/>
      <c r="R1623" s="144"/>
      <c r="S1623" s="144"/>
      <c r="T1623" s="144"/>
      <c r="U1623" s="144"/>
      <c r="V1623" s="144"/>
      <c r="W1623" s="144"/>
      <c r="X1623" s="144"/>
      <c r="Y1623" s="144"/>
      <c r="Z1623" s="144"/>
      <c r="AA1623" s="144"/>
      <c r="AB1623" s="144"/>
      <c r="AC1623" s="144"/>
      <c r="AD1623" s="144"/>
      <c r="AE1623" s="144"/>
    </row>
    <row r="1624" spans="8:31" x14ac:dyDescent="0.25">
      <c r="H1624" s="144"/>
      <c r="I1624" s="144"/>
      <c r="J1624" s="144"/>
      <c r="K1624" s="144"/>
      <c r="L1624" s="144"/>
      <c r="M1624" s="144"/>
      <c r="N1624" s="144"/>
      <c r="O1624" s="144"/>
      <c r="P1624" s="144"/>
      <c r="Q1624" s="144"/>
      <c r="R1624" s="144"/>
      <c r="S1624" s="144"/>
      <c r="T1624" s="144"/>
      <c r="U1624" s="144"/>
      <c r="V1624" s="144"/>
      <c r="W1624" s="144"/>
      <c r="X1624" s="144"/>
      <c r="Y1624" s="144"/>
      <c r="Z1624" s="144"/>
      <c r="AA1624" s="144"/>
      <c r="AB1624" s="144"/>
      <c r="AC1624" s="144"/>
      <c r="AD1624" s="144"/>
      <c r="AE1624" s="144"/>
    </row>
    <row r="1625" spans="8:31" x14ac:dyDescent="0.25">
      <c r="H1625" s="144"/>
      <c r="I1625" s="144"/>
      <c r="J1625" s="144"/>
      <c r="K1625" s="144"/>
      <c r="L1625" s="144"/>
      <c r="M1625" s="144"/>
      <c r="N1625" s="144"/>
      <c r="O1625" s="144"/>
      <c r="P1625" s="144"/>
      <c r="Q1625" s="144"/>
      <c r="R1625" s="144"/>
      <c r="S1625" s="144"/>
      <c r="T1625" s="144"/>
      <c r="U1625" s="144"/>
      <c r="V1625" s="144"/>
      <c r="W1625" s="144"/>
      <c r="X1625" s="144"/>
      <c r="Y1625" s="144"/>
      <c r="Z1625" s="144"/>
      <c r="AA1625" s="144"/>
      <c r="AB1625" s="144"/>
      <c r="AC1625" s="144"/>
      <c r="AD1625" s="144"/>
      <c r="AE1625" s="144"/>
    </row>
    <row r="1626" spans="8:31" x14ac:dyDescent="0.25">
      <c r="H1626" s="144"/>
      <c r="I1626" s="144"/>
      <c r="J1626" s="144"/>
      <c r="K1626" s="144"/>
      <c r="L1626" s="144"/>
      <c r="M1626" s="144"/>
      <c r="N1626" s="144"/>
      <c r="O1626" s="144"/>
      <c r="P1626" s="144"/>
      <c r="Q1626" s="144"/>
      <c r="R1626" s="144"/>
      <c r="S1626" s="144"/>
      <c r="T1626" s="144"/>
      <c r="U1626" s="144"/>
      <c r="V1626" s="144"/>
      <c r="W1626" s="144"/>
      <c r="X1626" s="144"/>
      <c r="Y1626" s="144"/>
      <c r="Z1626" s="144"/>
      <c r="AA1626" s="144"/>
      <c r="AB1626" s="144"/>
      <c r="AC1626" s="144"/>
      <c r="AD1626" s="144"/>
      <c r="AE1626" s="144"/>
    </row>
    <row r="1627" spans="8:31" x14ac:dyDescent="0.25">
      <c r="H1627" s="144"/>
      <c r="I1627" s="144"/>
      <c r="J1627" s="144"/>
      <c r="K1627" s="144"/>
      <c r="L1627" s="144"/>
      <c r="M1627" s="144"/>
      <c r="N1627" s="144"/>
      <c r="O1627" s="144"/>
      <c r="P1627" s="144"/>
      <c r="Q1627" s="144"/>
      <c r="R1627" s="144"/>
      <c r="S1627" s="144"/>
      <c r="T1627" s="144"/>
      <c r="U1627" s="144"/>
      <c r="V1627" s="144"/>
      <c r="W1627" s="144"/>
      <c r="X1627" s="144"/>
      <c r="Y1627" s="144"/>
      <c r="Z1627" s="144"/>
      <c r="AA1627" s="144"/>
      <c r="AB1627" s="144"/>
      <c r="AC1627" s="144"/>
      <c r="AD1627" s="144"/>
      <c r="AE1627" s="144"/>
    </row>
    <row r="1628" spans="8:31" x14ac:dyDescent="0.25">
      <c r="H1628" s="144"/>
      <c r="I1628" s="144"/>
      <c r="J1628" s="144"/>
      <c r="K1628" s="144"/>
      <c r="L1628" s="144"/>
      <c r="M1628" s="144"/>
      <c r="N1628" s="144"/>
      <c r="O1628" s="144"/>
      <c r="P1628" s="144"/>
      <c r="Q1628" s="144"/>
      <c r="R1628" s="144"/>
      <c r="S1628" s="144"/>
      <c r="T1628" s="144"/>
      <c r="U1628" s="144"/>
      <c r="V1628" s="144"/>
      <c r="W1628" s="144"/>
      <c r="X1628" s="144"/>
      <c r="Y1628" s="144"/>
      <c r="Z1628" s="144"/>
      <c r="AA1628" s="144"/>
      <c r="AB1628" s="144"/>
      <c r="AC1628" s="144"/>
      <c r="AD1628" s="144"/>
      <c r="AE1628" s="144"/>
    </row>
    <row r="1629" spans="8:31" x14ac:dyDescent="0.25">
      <c r="H1629" s="144"/>
      <c r="I1629" s="144"/>
      <c r="J1629" s="144"/>
      <c r="K1629" s="144"/>
      <c r="L1629" s="144"/>
      <c r="M1629" s="144"/>
      <c r="N1629" s="144"/>
      <c r="O1629" s="144"/>
      <c r="P1629" s="144"/>
      <c r="Q1629" s="144"/>
      <c r="R1629" s="144"/>
      <c r="S1629" s="144"/>
      <c r="T1629" s="144"/>
      <c r="U1629" s="144"/>
      <c r="V1629" s="144"/>
      <c r="W1629" s="144"/>
      <c r="X1629" s="144"/>
      <c r="Y1629" s="144"/>
      <c r="Z1629" s="144"/>
      <c r="AA1629" s="144"/>
      <c r="AB1629" s="144"/>
      <c r="AC1629" s="144"/>
      <c r="AD1629" s="144"/>
      <c r="AE1629" s="144"/>
    </row>
    <row r="1630" spans="8:31" x14ac:dyDescent="0.25">
      <c r="H1630" s="144"/>
      <c r="I1630" s="144"/>
      <c r="J1630" s="144"/>
      <c r="K1630" s="144"/>
      <c r="L1630" s="144"/>
      <c r="M1630" s="144"/>
      <c r="N1630" s="144"/>
      <c r="O1630" s="144"/>
      <c r="P1630" s="144"/>
      <c r="Q1630" s="144"/>
      <c r="R1630" s="144"/>
      <c r="S1630" s="144"/>
      <c r="T1630" s="144"/>
      <c r="U1630" s="144"/>
      <c r="V1630" s="144"/>
      <c r="W1630" s="144"/>
      <c r="X1630" s="144"/>
      <c r="Y1630" s="144"/>
      <c r="Z1630" s="144"/>
      <c r="AA1630" s="144"/>
      <c r="AB1630" s="144"/>
      <c r="AC1630" s="144"/>
      <c r="AD1630" s="144"/>
      <c r="AE1630" s="144"/>
    </row>
    <row r="1631" spans="8:31" x14ac:dyDescent="0.25">
      <c r="H1631" s="144"/>
      <c r="I1631" s="144"/>
      <c r="J1631" s="144"/>
      <c r="K1631" s="144"/>
      <c r="L1631" s="144"/>
      <c r="M1631" s="144"/>
      <c r="N1631" s="144"/>
      <c r="O1631" s="144"/>
      <c r="P1631" s="144"/>
      <c r="Q1631" s="144"/>
      <c r="R1631" s="144"/>
      <c r="S1631" s="144"/>
      <c r="T1631" s="144"/>
      <c r="U1631" s="144"/>
      <c r="V1631" s="144"/>
      <c r="W1631" s="144"/>
      <c r="X1631" s="144"/>
      <c r="Y1631" s="144"/>
      <c r="Z1631" s="144"/>
      <c r="AA1631" s="144"/>
      <c r="AB1631" s="144"/>
      <c r="AC1631" s="144"/>
      <c r="AD1631" s="144"/>
      <c r="AE1631" s="144"/>
    </row>
    <row r="1632" spans="8:31" x14ac:dyDescent="0.25">
      <c r="H1632" s="144"/>
      <c r="I1632" s="144"/>
      <c r="J1632" s="144"/>
      <c r="K1632" s="144"/>
      <c r="L1632" s="144"/>
      <c r="M1632" s="144"/>
      <c r="N1632" s="144"/>
      <c r="O1632" s="144"/>
      <c r="P1632" s="144"/>
      <c r="Q1632" s="144"/>
      <c r="R1632" s="144"/>
      <c r="S1632" s="144"/>
      <c r="T1632" s="144"/>
      <c r="U1632" s="144"/>
      <c r="V1632" s="144"/>
      <c r="W1632" s="144"/>
      <c r="X1632" s="144"/>
      <c r="Y1632" s="144"/>
      <c r="Z1632" s="144"/>
      <c r="AA1632" s="144"/>
      <c r="AB1632" s="144"/>
      <c r="AC1632" s="144"/>
      <c r="AD1632" s="144"/>
      <c r="AE1632" s="144"/>
    </row>
    <row r="1633" spans="8:31" x14ac:dyDescent="0.25">
      <c r="H1633" s="144"/>
      <c r="I1633" s="144"/>
      <c r="J1633" s="144"/>
      <c r="K1633" s="144"/>
      <c r="L1633" s="144"/>
      <c r="M1633" s="144"/>
      <c r="N1633" s="144"/>
      <c r="O1633" s="144"/>
      <c r="P1633" s="144"/>
      <c r="Q1633" s="144"/>
      <c r="R1633" s="144"/>
      <c r="S1633" s="144"/>
      <c r="T1633" s="144"/>
      <c r="U1633" s="144"/>
      <c r="V1633" s="144"/>
      <c r="W1633" s="144"/>
      <c r="X1633" s="144"/>
      <c r="Y1633" s="144"/>
      <c r="Z1633" s="144"/>
      <c r="AA1633" s="144"/>
      <c r="AB1633" s="144"/>
      <c r="AC1633" s="144"/>
      <c r="AD1633" s="144"/>
      <c r="AE1633" s="144"/>
    </row>
    <row r="1634" spans="8:31" x14ac:dyDescent="0.25">
      <c r="H1634" s="144"/>
      <c r="I1634" s="144"/>
      <c r="J1634" s="144"/>
      <c r="K1634" s="144"/>
      <c r="L1634" s="144"/>
      <c r="M1634" s="144"/>
      <c r="N1634" s="144"/>
      <c r="O1634" s="144"/>
      <c r="P1634" s="144"/>
      <c r="Q1634" s="144"/>
      <c r="R1634" s="144"/>
      <c r="S1634" s="144"/>
      <c r="T1634" s="144"/>
      <c r="U1634" s="144"/>
      <c r="V1634" s="144"/>
      <c r="W1634" s="144"/>
      <c r="X1634" s="144"/>
      <c r="Y1634" s="144"/>
      <c r="Z1634" s="144"/>
      <c r="AA1634" s="144"/>
      <c r="AB1634" s="144"/>
      <c r="AC1634" s="144"/>
      <c r="AD1634" s="144"/>
      <c r="AE1634" s="144"/>
    </row>
    <row r="1635" spans="8:31" x14ac:dyDescent="0.25">
      <c r="H1635" s="144"/>
      <c r="I1635" s="144"/>
      <c r="J1635" s="144"/>
      <c r="K1635" s="144"/>
      <c r="L1635" s="144"/>
      <c r="M1635" s="144"/>
      <c r="N1635" s="144"/>
      <c r="O1635" s="144"/>
      <c r="P1635" s="144"/>
      <c r="Q1635" s="144"/>
      <c r="R1635" s="144"/>
      <c r="S1635" s="144"/>
      <c r="T1635" s="144"/>
      <c r="U1635" s="144"/>
      <c r="V1635" s="144"/>
      <c r="W1635" s="144"/>
      <c r="X1635" s="144"/>
      <c r="Y1635" s="144"/>
      <c r="Z1635" s="144"/>
      <c r="AA1635" s="144"/>
      <c r="AB1635" s="144"/>
      <c r="AC1635" s="144"/>
      <c r="AD1635" s="144"/>
      <c r="AE1635" s="144"/>
    </row>
    <row r="1636" spans="8:31" x14ac:dyDescent="0.25">
      <c r="H1636" s="144"/>
      <c r="I1636" s="144"/>
      <c r="J1636" s="144"/>
      <c r="K1636" s="144"/>
      <c r="L1636" s="144"/>
      <c r="M1636" s="144"/>
      <c r="N1636" s="144"/>
      <c r="O1636" s="144"/>
      <c r="P1636" s="144"/>
      <c r="Q1636" s="144"/>
      <c r="R1636" s="144"/>
      <c r="S1636" s="144"/>
      <c r="T1636" s="144"/>
      <c r="U1636" s="144"/>
      <c r="V1636" s="144"/>
      <c r="W1636" s="144"/>
      <c r="X1636" s="144"/>
      <c r="Y1636" s="144"/>
      <c r="Z1636" s="144"/>
      <c r="AA1636" s="144"/>
      <c r="AB1636" s="144"/>
      <c r="AC1636" s="144"/>
      <c r="AD1636" s="144"/>
      <c r="AE1636" s="144"/>
    </row>
    <row r="1637" spans="8:31" x14ac:dyDescent="0.25">
      <c r="H1637" s="144"/>
      <c r="I1637" s="144"/>
      <c r="J1637" s="144"/>
      <c r="K1637" s="144"/>
      <c r="L1637" s="144"/>
      <c r="M1637" s="144"/>
      <c r="N1637" s="144"/>
      <c r="O1637" s="144"/>
      <c r="P1637" s="144"/>
      <c r="Q1637" s="144"/>
      <c r="R1637" s="144"/>
      <c r="S1637" s="144"/>
      <c r="T1637" s="144"/>
      <c r="U1637" s="144"/>
      <c r="V1637" s="144"/>
      <c r="W1637" s="144"/>
      <c r="X1637" s="144"/>
      <c r="Y1637" s="144"/>
      <c r="Z1637" s="144"/>
      <c r="AA1637" s="144"/>
      <c r="AB1637" s="144"/>
      <c r="AC1637" s="144"/>
      <c r="AD1637" s="144"/>
      <c r="AE1637" s="144"/>
    </row>
    <row r="1638" spans="8:31" x14ac:dyDescent="0.25">
      <c r="H1638" s="144"/>
      <c r="I1638" s="144"/>
      <c r="J1638" s="144"/>
      <c r="K1638" s="144"/>
      <c r="L1638" s="144"/>
      <c r="M1638" s="144"/>
      <c r="N1638" s="144"/>
      <c r="O1638" s="144"/>
      <c r="P1638" s="144"/>
      <c r="Q1638" s="144"/>
      <c r="R1638" s="144"/>
      <c r="S1638" s="144"/>
      <c r="T1638" s="144"/>
      <c r="U1638" s="144"/>
      <c r="V1638" s="144"/>
      <c r="W1638" s="144"/>
      <c r="X1638" s="144"/>
      <c r="Y1638" s="144"/>
      <c r="Z1638" s="144"/>
      <c r="AA1638" s="144"/>
      <c r="AB1638" s="144"/>
      <c r="AC1638" s="144"/>
      <c r="AD1638" s="144"/>
      <c r="AE1638" s="144"/>
    </row>
    <row r="1639" spans="8:31" x14ac:dyDescent="0.25">
      <c r="H1639" s="144"/>
      <c r="I1639" s="144"/>
      <c r="J1639" s="144"/>
      <c r="K1639" s="144"/>
      <c r="L1639" s="144"/>
      <c r="M1639" s="144"/>
      <c r="N1639" s="144"/>
      <c r="O1639" s="144"/>
      <c r="P1639" s="144"/>
      <c r="Q1639" s="144"/>
      <c r="R1639" s="144"/>
      <c r="S1639" s="144"/>
      <c r="T1639" s="144"/>
      <c r="U1639" s="144"/>
      <c r="V1639" s="144"/>
      <c r="W1639" s="144"/>
      <c r="X1639" s="144"/>
      <c r="Y1639" s="144"/>
      <c r="Z1639" s="144"/>
      <c r="AA1639" s="144"/>
      <c r="AB1639" s="144"/>
      <c r="AC1639" s="144"/>
      <c r="AD1639" s="144"/>
      <c r="AE1639" s="144"/>
    </row>
    <row r="1640" spans="8:31" x14ac:dyDescent="0.25">
      <c r="H1640" s="144"/>
      <c r="I1640" s="144"/>
      <c r="J1640" s="144"/>
      <c r="K1640" s="144"/>
      <c r="L1640" s="144"/>
      <c r="M1640" s="144"/>
      <c r="N1640" s="144"/>
      <c r="O1640" s="144"/>
      <c r="P1640" s="144"/>
      <c r="Q1640" s="144"/>
      <c r="R1640" s="144"/>
      <c r="S1640" s="144"/>
      <c r="T1640" s="144"/>
      <c r="U1640" s="144"/>
      <c r="V1640" s="144"/>
      <c r="W1640" s="144"/>
      <c r="X1640" s="144"/>
      <c r="Y1640" s="144"/>
      <c r="Z1640" s="144"/>
      <c r="AA1640" s="144"/>
      <c r="AB1640" s="144"/>
      <c r="AC1640" s="144"/>
      <c r="AD1640" s="144"/>
      <c r="AE1640" s="144"/>
    </row>
    <row r="1641" spans="8:31" x14ac:dyDescent="0.25">
      <c r="H1641" s="144"/>
      <c r="I1641" s="144"/>
      <c r="J1641" s="144"/>
      <c r="K1641" s="144"/>
      <c r="L1641" s="144"/>
      <c r="M1641" s="144"/>
      <c r="N1641" s="144"/>
      <c r="O1641" s="144"/>
      <c r="P1641" s="144"/>
      <c r="Q1641" s="144"/>
      <c r="R1641" s="144"/>
      <c r="S1641" s="144"/>
      <c r="T1641" s="144"/>
      <c r="U1641" s="144"/>
      <c r="V1641" s="144"/>
      <c r="W1641" s="144"/>
      <c r="X1641" s="144"/>
      <c r="Y1641" s="144"/>
      <c r="Z1641" s="144"/>
      <c r="AA1641" s="144"/>
      <c r="AB1641" s="144"/>
      <c r="AC1641" s="144"/>
      <c r="AD1641" s="144"/>
      <c r="AE1641" s="144"/>
    </row>
    <row r="1642" spans="8:31" x14ac:dyDescent="0.25">
      <c r="H1642" s="144"/>
      <c r="I1642" s="144"/>
      <c r="J1642" s="144"/>
      <c r="K1642" s="144"/>
      <c r="L1642" s="144"/>
      <c r="M1642" s="144"/>
      <c r="N1642" s="144"/>
      <c r="O1642" s="144"/>
      <c r="P1642" s="144"/>
      <c r="Q1642" s="144"/>
      <c r="R1642" s="144"/>
      <c r="S1642" s="144"/>
      <c r="T1642" s="144"/>
      <c r="U1642" s="144"/>
      <c r="V1642" s="144"/>
      <c r="W1642" s="144"/>
      <c r="X1642" s="144"/>
      <c r="Y1642" s="144"/>
      <c r="Z1642" s="144"/>
      <c r="AA1642" s="144"/>
      <c r="AB1642" s="144"/>
      <c r="AC1642" s="144"/>
      <c r="AD1642" s="144"/>
      <c r="AE1642" s="144"/>
    </row>
    <row r="1643" spans="8:31" x14ac:dyDescent="0.25">
      <c r="H1643" s="144"/>
      <c r="I1643" s="144"/>
      <c r="J1643" s="144"/>
      <c r="K1643" s="144"/>
      <c r="L1643" s="144"/>
      <c r="M1643" s="144"/>
      <c r="N1643" s="144"/>
      <c r="O1643" s="144"/>
      <c r="P1643" s="144"/>
      <c r="Q1643" s="144"/>
      <c r="R1643" s="144"/>
      <c r="S1643" s="144"/>
      <c r="T1643" s="144"/>
      <c r="U1643" s="144"/>
      <c r="V1643" s="144"/>
      <c r="W1643" s="144"/>
      <c r="X1643" s="144"/>
      <c r="Y1643" s="144"/>
      <c r="Z1643" s="144"/>
      <c r="AA1643" s="144"/>
      <c r="AB1643" s="144"/>
      <c r="AC1643" s="144"/>
      <c r="AD1643" s="144"/>
      <c r="AE1643" s="144"/>
    </row>
    <row r="1644" spans="8:31" x14ac:dyDescent="0.25">
      <c r="H1644" s="144"/>
      <c r="I1644" s="144"/>
      <c r="J1644" s="144"/>
      <c r="K1644" s="144"/>
      <c r="L1644" s="144"/>
      <c r="M1644" s="144"/>
      <c r="N1644" s="144"/>
      <c r="O1644" s="144"/>
      <c r="P1644" s="144"/>
      <c r="Q1644" s="144"/>
      <c r="R1644" s="144"/>
      <c r="S1644" s="144"/>
      <c r="T1644" s="144"/>
      <c r="U1644" s="144"/>
      <c r="V1644" s="144"/>
      <c r="W1644" s="144"/>
      <c r="X1644" s="144"/>
      <c r="Y1644" s="144"/>
      <c r="Z1644" s="144"/>
      <c r="AA1644" s="144"/>
      <c r="AB1644" s="144"/>
      <c r="AC1644" s="144"/>
      <c r="AD1644" s="144"/>
      <c r="AE1644" s="144"/>
    </row>
    <row r="1645" spans="8:31" x14ac:dyDescent="0.25">
      <c r="H1645" s="144"/>
      <c r="I1645" s="144"/>
      <c r="J1645" s="144"/>
      <c r="K1645" s="144"/>
      <c r="L1645" s="144"/>
      <c r="M1645" s="144"/>
      <c r="N1645" s="144"/>
      <c r="O1645" s="144"/>
      <c r="P1645" s="144"/>
      <c r="Q1645" s="144"/>
      <c r="R1645" s="144"/>
      <c r="S1645" s="144"/>
      <c r="T1645" s="144"/>
      <c r="U1645" s="144"/>
      <c r="V1645" s="144"/>
      <c r="W1645" s="144"/>
      <c r="X1645" s="144"/>
      <c r="Y1645" s="144"/>
      <c r="Z1645" s="144"/>
      <c r="AA1645" s="144"/>
      <c r="AB1645" s="144"/>
      <c r="AC1645" s="144"/>
      <c r="AD1645" s="144"/>
      <c r="AE1645" s="144"/>
    </row>
    <row r="1646" spans="8:31" x14ac:dyDescent="0.25">
      <c r="H1646" s="144"/>
      <c r="I1646" s="144"/>
      <c r="J1646" s="144"/>
      <c r="K1646" s="144"/>
      <c r="L1646" s="144"/>
      <c r="M1646" s="144"/>
      <c r="N1646" s="144"/>
      <c r="O1646" s="144"/>
      <c r="P1646" s="144"/>
      <c r="Q1646" s="144"/>
      <c r="R1646" s="144"/>
      <c r="S1646" s="144"/>
      <c r="T1646" s="144"/>
      <c r="U1646" s="144"/>
      <c r="V1646" s="144"/>
      <c r="W1646" s="144"/>
      <c r="X1646" s="144"/>
      <c r="Y1646" s="144"/>
      <c r="Z1646" s="144"/>
      <c r="AA1646" s="144"/>
      <c r="AB1646" s="144"/>
      <c r="AC1646" s="144"/>
      <c r="AD1646" s="144"/>
      <c r="AE1646" s="144"/>
    </row>
    <row r="1647" spans="8:31" x14ac:dyDescent="0.25">
      <c r="H1647" s="144"/>
      <c r="I1647" s="144"/>
      <c r="J1647" s="144"/>
      <c r="K1647" s="144"/>
      <c r="L1647" s="144"/>
      <c r="M1647" s="144"/>
      <c r="N1647" s="144"/>
      <c r="O1647" s="144"/>
      <c r="P1647" s="144"/>
      <c r="Q1647" s="144"/>
      <c r="R1647" s="144"/>
      <c r="S1647" s="144"/>
      <c r="T1647" s="144"/>
      <c r="U1647" s="144"/>
      <c r="V1647" s="144"/>
      <c r="W1647" s="144"/>
      <c r="X1647" s="144"/>
      <c r="Y1647" s="144"/>
      <c r="Z1647" s="144"/>
      <c r="AA1647" s="144"/>
      <c r="AB1647" s="144"/>
      <c r="AC1647" s="144"/>
      <c r="AD1647" s="144"/>
      <c r="AE1647" s="144"/>
    </row>
    <row r="1648" spans="8:31" x14ac:dyDescent="0.25">
      <c r="H1648" s="144"/>
      <c r="I1648" s="144"/>
      <c r="J1648" s="144"/>
      <c r="K1648" s="144"/>
      <c r="L1648" s="144"/>
      <c r="M1648" s="144"/>
      <c r="N1648" s="144"/>
      <c r="O1648" s="144"/>
      <c r="P1648" s="144"/>
      <c r="Q1648" s="144"/>
      <c r="R1648" s="144"/>
      <c r="S1648" s="144"/>
      <c r="T1648" s="144"/>
      <c r="U1648" s="144"/>
      <c r="V1648" s="144"/>
      <c r="W1648" s="144"/>
      <c r="X1648" s="144"/>
      <c r="Y1648" s="144"/>
      <c r="Z1648" s="144"/>
      <c r="AA1648" s="144"/>
      <c r="AB1648" s="144"/>
      <c r="AC1648" s="144"/>
      <c r="AD1648" s="144"/>
      <c r="AE1648" s="144"/>
    </row>
    <row r="1649" spans="8:31" x14ac:dyDescent="0.25">
      <c r="H1649" s="144"/>
      <c r="I1649" s="144"/>
      <c r="J1649" s="144"/>
      <c r="K1649" s="144"/>
      <c r="L1649" s="144"/>
      <c r="M1649" s="144"/>
      <c r="N1649" s="144"/>
      <c r="O1649" s="144"/>
      <c r="P1649" s="144"/>
      <c r="Q1649" s="144"/>
      <c r="R1649" s="144"/>
      <c r="S1649" s="144"/>
      <c r="T1649" s="144"/>
      <c r="U1649" s="144"/>
      <c r="V1649" s="144"/>
      <c r="W1649" s="144"/>
      <c r="X1649" s="144"/>
      <c r="Y1649" s="144"/>
      <c r="Z1649" s="144"/>
      <c r="AA1649" s="144"/>
      <c r="AB1649" s="144"/>
      <c r="AC1649" s="144"/>
      <c r="AD1649" s="144"/>
      <c r="AE1649" s="144"/>
    </row>
    <row r="1650" spans="8:31" x14ac:dyDescent="0.25">
      <c r="H1650" s="144"/>
      <c r="I1650" s="144"/>
      <c r="J1650" s="144"/>
      <c r="K1650" s="144"/>
      <c r="L1650" s="144"/>
      <c r="M1650" s="144"/>
      <c r="N1650" s="144"/>
      <c r="O1650" s="144"/>
      <c r="P1650" s="144"/>
      <c r="Q1650" s="144"/>
      <c r="R1650" s="144"/>
      <c r="S1650" s="144"/>
      <c r="T1650" s="144"/>
      <c r="U1650" s="144"/>
      <c r="V1650" s="144"/>
      <c r="W1650" s="144"/>
      <c r="X1650" s="144"/>
      <c r="Y1650" s="144"/>
      <c r="Z1650" s="144"/>
      <c r="AA1650" s="144"/>
      <c r="AB1650" s="144"/>
      <c r="AC1650" s="144"/>
      <c r="AD1650" s="144"/>
      <c r="AE1650" s="144"/>
    </row>
    <row r="1651" spans="8:31" x14ac:dyDescent="0.25">
      <c r="H1651" s="144"/>
      <c r="I1651" s="144"/>
      <c r="J1651" s="144"/>
      <c r="K1651" s="144"/>
      <c r="L1651" s="144"/>
      <c r="M1651" s="144"/>
      <c r="N1651" s="144"/>
      <c r="O1651" s="144"/>
      <c r="P1651" s="144"/>
      <c r="Q1651" s="144"/>
      <c r="R1651" s="144"/>
      <c r="S1651" s="144"/>
      <c r="T1651" s="144"/>
      <c r="U1651" s="144"/>
      <c r="V1651" s="144"/>
      <c r="W1651" s="144"/>
      <c r="X1651" s="144"/>
      <c r="Y1651" s="144"/>
      <c r="Z1651" s="144"/>
      <c r="AA1651" s="144"/>
      <c r="AB1651" s="144"/>
      <c r="AC1651" s="144"/>
      <c r="AD1651" s="144"/>
      <c r="AE1651" s="144"/>
    </row>
    <row r="1652" spans="8:31" x14ac:dyDescent="0.25">
      <c r="H1652" s="144"/>
      <c r="I1652" s="144"/>
      <c r="J1652" s="144"/>
      <c r="K1652" s="144"/>
      <c r="L1652" s="144"/>
      <c r="M1652" s="144"/>
      <c r="N1652" s="144"/>
      <c r="O1652" s="144"/>
      <c r="P1652" s="144"/>
      <c r="Q1652" s="144"/>
      <c r="R1652" s="144"/>
      <c r="S1652" s="144"/>
      <c r="T1652" s="144"/>
      <c r="U1652" s="144"/>
      <c r="V1652" s="144"/>
      <c r="W1652" s="144"/>
      <c r="X1652" s="144"/>
      <c r="Y1652" s="144"/>
      <c r="Z1652" s="144"/>
      <c r="AA1652" s="144"/>
      <c r="AB1652" s="144"/>
      <c r="AC1652" s="144"/>
      <c r="AD1652" s="144"/>
      <c r="AE1652" s="144"/>
    </row>
    <row r="1653" spans="8:31" x14ac:dyDescent="0.25">
      <c r="H1653" s="144"/>
      <c r="I1653" s="144"/>
      <c r="J1653" s="144"/>
      <c r="K1653" s="144"/>
      <c r="L1653" s="144"/>
      <c r="M1653" s="144"/>
      <c r="N1653" s="144"/>
      <c r="O1653" s="144"/>
      <c r="P1653" s="144"/>
      <c r="Q1653" s="144"/>
      <c r="R1653" s="144"/>
      <c r="S1653" s="144"/>
      <c r="T1653" s="144"/>
      <c r="U1653" s="144"/>
      <c r="V1653" s="144"/>
      <c r="W1653" s="144"/>
      <c r="X1653" s="144"/>
      <c r="Y1653" s="144"/>
      <c r="Z1653" s="144"/>
      <c r="AA1653" s="144"/>
      <c r="AB1653" s="144"/>
      <c r="AC1653" s="144"/>
      <c r="AD1653" s="144"/>
      <c r="AE1653" s="144"/>
    </row>
    <row r="1654" spans="8:31" x14ac:dyDescent="0.25">
      <c r="H1654" s="144"/>
      <c r="I1654" s="144"/>
      <c r="J1654" s="144"/>
      <c r="K1654" s="144"/>
      <c r="L1654" s="144"/>
      <c r="M1654" s="144"/>
      <c r="N1654" s="144"/>
      <c r="O1654" s="144"/>
      <c r="P1654" s="144"/>
      <c r="Q1654" s="144"/>
      <c r="R1654" s="144"/>
      <c r="S1654" s="144"/>
      <c r="T1654" s="144"/>
      <c r="U1654" s="144"/>
      <c r="V1654" s="144"/>
      <c r="W1654" s="144"/>
      <c r="X1654" s="144"/>
      <c r="Y1654" s="144"/>
      <c r="Z1654" s="144"/>
      <c r="AA1654" s="144"/>
      <c r="AB1654" s="144"/>
      <c r="AC1654" s="144"/>
      <c r="AD1654" s="144"/>
      <c r="AE1654" s="144"/>
    </row>
    <row r="1655" spans="8:31" x14ac:dyDescent="0.25">
      <c r="H1655" s="144"/>
      <c r="I1655" s="144"/>
      <c r="J1655" s="144"/>
      <c r="K1655" s="144"/>
      <c r="L1655" s="144"/>
      <c r="M1655" s="144"/>
      <c r="N1655" s="144"/>
      <c r="O1655" s="144"/>
      <c r="P1655" s="144"/>
      <c r="Q1655" s="144"/>
      <c r="R1655" s="144"/>
      <c r="S1655" s="144"/>
      <c r="T1655" s="144"/>
      <c r="U1655" s="144"/>
      <c r="V1655" s="144"/>
      <c r="W1655" s="144"/>
      <c r="X1655" s="144"/>
      <c r="Y1655" s="144"/>
      <c r="Z1655" s="144"/>
      <c r="AA1655" s="144"/>
      <c r="AB1655" s="144"/>
      <c r="AC1655" s="144"/>
      <c r="AD1655" s="144"/>
      <c r="AE1655" s="144"/>
    </row>
    <row r="1656" spans="8:31" x14ac:dyDescent="0.25">
      <c r="H1656" s="144"/>
      <c r="I1656" s="144"/>
      <c r="J1656" s="144"/>
      <c r="K1656" s="144"/>
      <c r="L1656" s="144"/>
      <c r="M1656" s="144"/>
      <c r="N1656" s="144"/>
      <c r="O1656" s="144"/>
      <c r="P1656" s="144"/>
      <c r="Q1656" s="144"/>
      <c r="R1656" s="144"/>
      <c r="S1656" s="144"/>
      <c r="T1656" s="144"/>
      <c r="U1656" s="144"/>
      <c r="V1656" s="144"/>
      <c r="W1656" s="144"/>
      <c r="X1656" s="144"/>
      <c r="Y1656" s="144"/>
      <c r="Z1656" s="144"/>
      <c r="AA1656" s="144"/>
      <c r="AB1656" s="144"/>
      <c r="AC1656" s="144"/>
      <c r="AD1656" s="144"/>
      <c r="AE1656" s="144"/>
    </row>
    <row r="1657" spans="8:31" x14ac:dyDescent="0.25">
      <c r="H1657" s="144"/>
      <c r="I1657" s="144"/>
      <c r="J1657" s="144"/>
      <c r="K1657" s="144"/>
      <c r="L1657" s="144"/>
      <c r="M1657" s="144"/>
      <c r="N1657" s="144"/>
      <c r="O1657" s="144"/>
      <c r="P1657" s="144"/>
      <c r="Q1657" s="144"/>
      <c r="R1657" s="144"/>
      <c r="S1657" s="144"/>
      <c r="T1657" s="144"/>
      <c r="U1657" s="144"/>
      <c r="V1657" s="144"/>
      <c r="W1657" s="144"/>
      <c r="X1657" s="144"/>
      <c r="Y1657" s="144"/>
      <c r="Z1657" s="144"/>
      <c r="AA1657" s="144"/>
      <c r="AB1657" s="144"/>
      <c r="AC1657" s="144"/>
      <c r="AD1657" s="144"/>
      <c r="AE1657" s="144"/>
    </row>
    <row r="1658" spans="8:31" x14ac:dyDescent="0.25">
      <c r="H1658" s="144"/>
      <c r="I1658" s="144"/>
      <c r="J1658" s="144"/>
      <c r="K1658" s="144"/>
      <c r="L1658" s="144"/>
      <c r="M1658" s="144"/>
      <c r="N1658" s="144"/>
      <c r="O1658" s="144"/>
      <c r="P1658" s="144"/>
      <c r="Q1658" s="144"/>
      <c r="R1658" s="144"/>
      <c r="S1658" s="144"/>
      <c r="T1658" s="144"/>
      <c r="U1658" s="144"/>
      <c r="V1658" s="144"/>
      <c r="W1658" s="144"/>
      <c r="X1658" s="144"/>
      <c r="Y1658" s="144"/>
      <c r="Z1658" s="144"/>
      <c r="AA1658" s="144"/>
      <c r="AB1658" s="144"/>
      <c r="AC1658" s="144"/>
      <c r="AD1658" s="144"/>
      <c r="AE1658" s="144"/>
    </row>
    <row r="1659" spans="8:31" x14ac:dyDescent="0.25">
      <c r="H1659" s="144"/>
      <c r="I1659" s="144"/>
      <c r="J1659" s="144"/>
      <c r="K1659" s="144"/>
      <c r="L1659" s="144"/>
      <c r="M1659" s="144"/>
      <c r="N1659" s="144"/>
      <c r="O1659" s="144"/>
      <c r="P1659" s="144"/>
      <c r="Q1659" s="144"/>
      <c r="R1659" s="144"/>
      <c r="S1659" s="144"/>
      <c r="T1659" s="144"/>
      <c r="U1659" s="144"/>
      <c r="V1659" s="144"/>
      <c r="W1659" s="144"/>
      <c r="X1659" s="144"/>
      <c r="Y1659" s="144"/>
      <c r="Z1659" s="144"/>
      <c r="AA1659" s="144"/>
      <c r="AB1659" s="144"/>
      <c r="AC1659" s="144"/>
      <c r="AD1659" s="144"/>
      <c r="AE1659" s="144"/>
    </row>
    <row r="1660" spans="8:31" x14ac:dyDescent="0.25">
      <c r="H1660" s="144"/>
      <c r="I1660" s="144"/>
      <c r="J1660" s="144"/>
      <c r="K1660" s="144"/>
      <c r="L1660" s="144"/>
      <c r="M1660" s="144"/>
      <c r="N1660" s="144"/>
      <c r="O1660" s="144"/>
      <c r="P1660" s="144"/>
      <c r="Q1660" s="144"/>
      <c r="R1660" s="144"/>
      <c r="S1660" s="144"/>
      <c r="T1660" s="144"/>
      <c r="U1660" s="144"/>
      <c r="V1660" s="144"/>
      <c r="W1660" s="144"/>
      <c r="X1660" s="144"/>
      <c r="Y1660" s="144"/>
      <c r="Z1660" s="144"/>
      <c r="AA1660" s="144"/>
      <c r="AB1660" s="144"/>
      <c r="AC1660" s="144"/>
      <c r="AD1660" s="144"/>
      <c r="AE1660" s="144"/>
    </row>
    <row r="1661" spans="8:31" x14ac:dyDescent="0.25">
      <c r="H1661" s="144"/>
      <c r="I1661" s="144"/>
      <c r="J1661" s="144"/>
      <c r="K1661" s="144"/>
      <c r="L1661" s="144"/>
      <c r="M1661" s="144"/>
      <c r="N1661" s="144"/>
      <c r="O1661" s="144"/>
      <c r="P1661" s="144"/>
      <c r="Q1661" s="144"/>
      <c r="R1661" s="144"/>
      <c r="S1661" s="144"/>
      <c r="T1661" s="144"/>
      <c r="U1661" s="144"/>
      <c r="V1661" s="144"/>
      <c r="W1661" s="144"/>
      <c r="X1661" s="144"/>
      <c r="Y1661" s="144"/>
      <c r="Z1661" s="144"/>
      <c r="AA1661" s="144"/>
      <c r="AB1661" s="144"/>
      <c r="AC1661" s="144"/>
      <c r="AD1661" s="144"/>
      <c r="AE1661" s="144"/>
    </row>
    <row r="1662" spans="8:31" x14ac:dyDescent="0.25">
      <c r="H1662" s="144"/>
      <c r="I1662" s="144"/>
      <c r="J1662" s="144"/>
      <c r="K1662" s="144"/>
      <c r="L1662" s="144"/>
      <c r="M1662" s="144"/>
      <c r="N1662" s="144"/>
      <c r="O1662" s="144"/>
      <c r="P1662" s="144"/>
      <c r="Q1662" s="144"/>
      <c r="R1662" s="144"/>
      <c r="S1662" s="144"/>
      <c r="T1662" s="144"/>
      <c r="U1662" s="144"/>
      <c r="V1662" s="144"/>
      <c r="W1662" s="144"/>
      <c r="X1662" s="144"/>
      <c r="Y1662" s="144"/>
      <c r="Z1662" s="144"/>
      <c r="AA1662" s="144"/>
      <c r="AB1662" s="144"/>
      <c r="AC1662" s="144"/>
      <c r="AD1662" s="144"/>
      <c r="AE1662" s="144"/>
    </row>
    <row r="1663" spans="8:31" x14ac:dyDescent="0.25">
      <c r="H1663" s="144"/>
      <c r="I1663" s="144"/>
      <c r="J1663" s="144"/>
      <c r="K1663" s="144"/>
      <c r="L1663" s="144"/>
      <c r="M1663" s="144"/>
      <c r="N1663" s="144"/>
      <c r="O1663" s="144"/>
      <c r="P1663" s="144"/>
      <c r="Q1663" s="144"/>
      <c r="R1663" s="144"/>
      <c r="S1663" s="144"/>
      <c r="T1663" s="144"/>
      <c r="U1663" s="144"/>
      <c r="V1663" s="144"/>
      <c r="W1663" s="144"/>
      <c r="X1663" s="144"/>
      <c r="Y1663" s="144"/>
      <c r="Z1663" s="144"/>
      <c r="AA1663" s="144"/>
      <c r="AB1663" s="144"/>
      <c r="AC1663" s="144"/>
      <c r="AD1663" s="144"/>
      <c r="AE1663" s="144"/>
    </row>
    <row r="1664" spans="8:31" x14ac:dyDescent="0.25">
      <c r="H1664" s="144"/>
      <c r="I1664" s="144"/>
      <c r="J1664" s="144"/>
      <c r="K1664" s="144"/>
      <c r="L1664" s="144"/>
      <c r="M1664" s="144"/>
      <c r="N1664" s="144"/>
      <c r="O1664" s="144"/>
      <c r="P1664" s="144"/>
      <c r="Q1664" s="144"/>
      <c r="R1664" s="144"/>
      <c r="S1664" s="144"/>
      <c r="T1664" s="144"/>
      <c r="U1664" s="144"/>
      <c r="V1664" s="144"/>
      <c r="W1664" s="144"/>
      <c r="X1664" s="144"/>
      <c r="Y1664" s="144"/>
      <c r="Z1664" s="144"/>
      <c r="AA1664" s="144"/>
      <c r="AB1664" s="144"/>
      <c r="AC1664" s="144"/>
      <c r="AD1664" s="144"/>
      <c r="AE1664" s="144"/>
    </row>
    <row r="1665" spans="8:31" x14ac:dyDescent="0.25">
      <c r="H1665" s="144"/>
      <c r="I1665" s="144"/>
      <c r="J1665" s="144"/>
      <c r="K1665" s="144"/>
      <c r="L1665" s="144"/>
      <c r="M1665" s="144"/>
      <c r="N1665" s="144"/>
      <c r="O1665" s="144"/>
      <c r="P1665" s="144"/>
      <c r="Q1665" s="144"/>
      <c r="R1665" s="144"/>
      <c r="S1665" s="144"/>
      <c r="T1665" s="144"/>
      <c r="U1665" s="144"/>
      <c r="V1665" s="144"/>
      <c r="W1665" s="144"/>
      <c r="X1665" s="144"/>
      <c r="Y1665" s="144"/>
      <c r="Z1665" s="144"/>
      <c r="AA1665" s="144"/>
      <c r="AB1665" s="144"/>
      <c r="AC1665" s="144"/>
      <c r="AD1665" s="144"/>
      <c r="AE1665" s="144"/>
    </row>
    <row r="1666" spans="8:31" x14ac:dyDescent="0.25">
      <c r="H1666" s="144"/>
      <c r="I1666" s="144"/>
      <c r="J1666" s="144"/>
      <c r="K1666" s="144"/>
      <c r="L1666" s="144"/>
      <c r="M1666" s="144"/>
      <c r="N1666" s="144"/>
      <c r="O1666" s="144"/>
      <c r="P1666" s="144"/>
      <c r="Q1666" s="144"/>
      <c r="R1666" s="144"/>
      <c r="S1666" s="144"/>
      <c r="T1666" s="144"/>
      <c r="U1666" s="144"/>
      <c r="V1666" s="144"/>
      <c r="W1666" s="144"/>
      <c r="X1666" s="144"/>
      <c r="Y1666" s="144"/>
      <c r="Z1666" s="144"/>
      <c r="AA1666" s="144"/>
      <c r="AB1666" s="144"/>
      <c r="AC1666" s="144"/>
      <c r="AD1666" s="144"/>
      <c r="AE1666" s="144"/>
    </row>
    <row r="1667" spans="8:31" x14ac:dyDescent="0.25">
      <c r="H1667" s="144"/>
      <c r="I1667" s="144"/>
      <c r="J1667" s="144"/>
      <c r="K1667" s="144"/>
      <c r="L1667" s="144"/>
      <c r="M1667" s="144"/>
      <c r="N1667" s="144"/>
      <c r="O1667" s="144"/>
      <c r="P1667" s="144"/>
      <c r="Q1667" s="144"/>
      <c r="R1667" s="144"/>
      <c r="S1667" s="144"/>
      <c r="T1667" s="144"/>
      <c r="U1667" s="144"/>
      <c r="V1667" s="144"/>
      <c r="W1667" s="144"/>
      <c r="X1667" s="144"/>
      <c r="Y1667" s="144"/>
      <c r="Z1667" s="144"/>
      <c r="AA1667" s="144"/>
      <c r="AB1667" s="144"/>
      <c r="AC1667" s="144"/>
      <c r="AD1667" s="144"/>
      <c r="AE1667" s="144"/>
    </row>
    <row r="1668" spans="8:31" x14ac:dyDescent="0.25">
      <c r="H1668" s="144"/>
      <c r="I1668" s="144"/>
      <c r="J1668" s="144"/>
      <c r="K1668" s="144"/>
      <c r="L1668" s="144"/>
      <c r="M1668" s="144"/>
      <c r="N1668" s="144"/>
      <c r="O1668" s="144"/>
      <c r="P1668" s="144"/>
      <c r="Q1668" s="144"/>
      <c r="R1668" s="144"/>
      <c r="S1668" s="144"/>
      <c r="T1668" s="144"/>
      <c r="U1668" s="144"/>
      <c r="V1668" s="144"/>
      <c r="W1668" s="144"/>
      <c r="X1668" s="144"/>
      <c r="Y1668" s="144"/>
      <c r="Z1668" s="144"/>
      <c r="AA1668" s="144"/>
      <c r="AB1668" s="144"/>
      <c r="AC1668" s="144"/>
      <c r="AD1668" s="144"/>
      <c r="AE1668" s="144"/>
    </row>
    <row r="1669" spans="8:31" x14ac:dyDescent="0.25">
      <c r="H1669" s="144"/>
      <c r="I1669" s="144"/>
      <c r="J1669" s="144"/>
      <c r="K1669" s="144"/>
      <c r="L1669" s="144"/>
      <c r="M1669" s="144"/>
      <c r="N1669" s="144"/>
      <c r="O1669" s="144"/>
      <c r="P1669" s="144"/>
      <c r="Q1669" s="144"/>
      <c r="R1669" s="144"/>
      <c r="S1669" s="144"/>
      <c r="T1669" s="144"/>
      <c r="U1669" s="144"/>
      <c r="V1669" s="144"/>
      <c r="W1669" s="144"/>
      <c r="X1669" s="144"/>
      <c r="Y1669" s="144"/>
      <c r="Z1669" s="144"/>
      <c r="AA1669" s="144"/>
      <c r="AB1669" s="144"/>
      <c r="AC1669" s="144"/>
      <c r="AD1669" s="144"/>
      <c r="AE1669" s="144"/>
    </row>
    <row r="1670" spans="8:31" x14ac:dyDescent="0.25">
      <c r="H1670" s="144"/>
      <c r="I1670" s="144"/>
      <c r="J1670" s="144"/>
      <c r="K1670" s="144"/>
      <c r="L1670" s="144"/>
      <c r="M1670" s="144"/>
      <c r="N1670" s="144"/>
      <c r="O1670" s="144"/>
      <c r="P1670" s="144"/>
      <c r="Q1670" s="144"/>
      <c r="R1670" s="144"/>
      <c r="S1670" s="144"/>
      <c r="T1670" s="144"/>
      <c r="U1670" s="144"/>
      <c r="V1670" s="144"/>
      <c r="W1670" s="144"/>
      <c r="X1670" s="144"/>
      <c r="Y1670" s="144"/>
      <c r="Z1670" s="144"/>
      <c r="AA1670" s="144"/>
      <c r="AB1670" s="144"/>
      <c r="AC1670" s="144"/>
      <c r="AD1670" s="144"/>
      <c r="AE1670" s="144"/>
    </row>
    <row r="1671" spans="8:31" x14ac:dyDescent="0.25">
      <c r="H1671" s="144"/>
      <c r="I1671" s="144"/>
      <c r="J1671" s="144"/>
      <c r="K1671" s="144"/>
      <c r="L1671" s="144"/>
      <c r="M1671" s="144"/>
      <c r="N1671" s="144"/>
      <c r="O1671" s="144"/>
      <c r="P1671" s="144"/>
      <c r="Q1671" s="144"/>
      <c r="R1671" s="144"/>
      <c r="S1671" s="144"/>
      <c r="T1671" s="144"/>
      <c r="U1671" s="144"/>
      <c r="V1671" s="144"/>
      <c r="W1671" s="144"/>
      <c r="X1671" s="144"/>
      <c r="Y1671" s="144"/>
      <c r="Z1671" s="144"/>
      <c r="AA1671" s="144"/>
      <c r="AB1671" s="144"/>
      <c r="AC1671" s="144"/>
      <c r="AD1671" s="144"/>
      <c r="AE1671" s="144"/>
    </row>
    <row r="1672" spans="8:31" x14ac:dyDescent="0.25">
      <c r="H1672" s="144"/>
      <c r="I1672" s="144"/>
      <c r="J1672" s="144"/>
      <c r="K1672" s="144"/>
      <c r="L1672" s="144"/>
      <c r="M1672" s="144"/>
      <c r="N1672" s="144"/>
      <c r="O1672" s="144"/>
      <c r="P1672" s="144"/>
      <c r="Q1672" s="144"/>
      <c r="R1672" s="144"/>
      <c r="S1672" s="144"/>
      <c r="T1672" s="144"/>
      <c r="U1672" s="144"/>
      <c r="V1672" s="144"/>
      <c r="W1672" s="144"/>
      <c r="X1672" s="144"/>
      <c r="Y1672" s="144"/>
      <c r="Z1672" s="144"/>
      <c r="AA1672" s="144"/>
      <c r="AB1672" s="144"/>
      <c r="AC1672" s="144"/>
      <c r="AD1672" s="144"/>
      <c r="AE1672" s="144"/>
    </row>
    <row r="1673" spans="8:31" x14ac:dyDescent="0.25">
      <c r="H1673" s="144"/>
      <c r="I1673" s="144"/>
      <c r="J1673" s="144"/>
      <c r="K1673" s="144"/>
      <c r="L1673" s="144"/>
      <c r="M1673" s="144"/>
      <c r="N1673" s="144"/>
      <c r="O1673" s="144"/>
      <c r="P1673" s="144"/>
      <c r="Q1673" s="144"/>
      <c r="R1673" s="144"/>
      <c r="S1673" s="144"/>
      <c r="T1673" s="144"/>
      <c r="U1673" s="144"/>
      <c r="V1673" s="144"/>
      <c r="W1673" s="144"/>
      <c r="X1673" s="144"/>
      <c r="Y1673" s="144"/>
      <c r="Z1673" s="144"/>
      <c r="AA1673" s="144"/>
      <c r="AB1673" s="144"/>
      <c r="AC1673" s="144"/>
      <c r="AD1673" s="144"/>
      <c r="AE1673" s="144"/>
    </row>
    <row r="1674" spans="8:31" x14ac:dyDescent="0.25">
      <c r="H1674" s="144"/>
      <c r="I1674" s="144"/>
      <c r="J1674" s="144"/>
      <c r="K1674" s="144"/>
      <c r="L1674" s="144"/>
      <c r="M1674" s="144"/>
      <c r="N1674" s="144"/>
      <c r="O1674" s="144"/>
      <c r="P1674" s="144"/>
      <c r="Q1674" s="144"/>
      <c r="R1674" s="144"/>
      <c r="S1674" s="144"/>
      <c r="T1674" s="144"/>
      <c r="U1674" s="144"/>
      <c r="V1674" s="144"/>
      <c r="W1674" s="144"/>
      <c r="X1674" s="144"/>
      <c r="Y1674" s="144"/>
      <c r="Z1674" s="144"/>
      <c r="AA1674" s="144"/>
      <c r="AB1674" s="144"/>
      <c r="AC1674" s="144"/>
      <c r="AD1674" s="144"/>
      <c r="AE1674" s="144"/>
    </row>
    <row r="1675" spans="8:31" x14ac:dyDescent="0.25">
      <c r="H1675" s="144"/>
      <c r="I1675" s="144"/>
      <c r="J1675" s="144"/>
      <c r="K1675" s="144"/>
      <c r="L1675" s="144"/>
      <c r="M1675" s="144"/>
      <c r="N1675" s="144"/>
      <c r="O1675" s="144"/>
      <c r="P1675" s="144"/>
      <c r="Q1675" s="144"/>
      <c r="R1675" s="144"/>
      <c r="S1675" s="144"/>
      <c r="T1675" s="144"/>
      <c r="U1675" s="144"/>
      <c r="V1675" s="144"/>
      <c r="W1675" s="144"/>
      <c r="X1675" s="144"/>
      <c r="Y1675" s="144"/>
      <c r="Z1675" s="144"/>
      <c r="AA1675" s="144"/>
      <c r="AB1675" s="144"/>
      <c r="AC1675" s="144"/>
      <c r="AD1675" s="144"/>
      <c r="AE1675" s="144"/>
    </row>
    <row r="1676" spans="8:31" x14ac:dyDescent="0.25">
      <c r="H1676" s="144"/>
      <c r="I1676" s="144"/>
      <c r="J1676" s="144"/>
      <c r="K1676" s="144"/>
      <c r="L1676" s="144"/>
      <c r="M1676" s="144"/>
      <c r="N1676" s="144"/>
      <c r="O1676" s="144"/>
      <c r="P1676" s="144"/>
      <c r="Q1676" s="144"/>
      <c r="R1676" s="144"/>
      <c r="S1676" s="144"/>
      <c r="T1676" s="144"/>
      <c r="U1676" s="144"/>
      <c r="V1676" s="144"/>
      <c r="W1676" s="144"/>
      <c r="X1676" s="144"/>
      <c r="Y1676" s="144"/>
      <c r="Z1676" s="144"/>
      <c r="AA1676" s="144"/>
      <c r="AB1676" s="144"/>
      <c r="AC1676" s="144"/>
      <c r="AD1676" s="144"/>
      <c r="AE1676" s="144"/>
    </row>
    <row r="1677" spans="8:31" x14ac:dyDescent="0.25">
      <c r="H1677" s="144"/>
      <c r="I1677" s="144"/>
      <c r="J1677" s="144"/>
      <c r="K1677" s="144"/>
      <c r="L1677" s="144"/>
      <c r="M1677" s="144"/>
      <c r="N1677" s="144"/>
      <c r="O1677" s="144"/>
      <c r="P1677" s="144"/>
      <c r="Q1677" s="144"/>
      <c r="R1677" s="144"/>
      <c r="S1677" s="144"/>
      <c r="T1677" s="144"/>
      <c r="U1677" s="144"/>
      <c r="V1677" s="144"/>
      <c r="W1677" s="144"/>
      <c r="X1677" s="144"/>
      <c r="Y1677" s="144"/>
      <c r="Z1677" s="144"/>
      <c r="AA1677" s="144"/>
      <c r="AB1677" s="144"/>
      <c r="AC1677" s="144"/>
      <c r="AD1677" s="144"/>
      <c r="AE1677" s="144"/>
    </row>
    <row r="1678" spans="8:31" x14ac:dyDescent="0.25">
      <c r="H1678" s="144"/>
      <c r="I1678" s="144"/>
      <c r="J1678" s="144"/>
      <c r="K1678" s="144"/>
      <c r="L1678" s="144"/>
      <c r="M1678" s="144"/>
      <c r="N1678" s="144"/>
      <c r="O1678" s="144"/>
      <c r="P1678" s="144"/>
      <c r="Q1678" s="144"/>
      <c r="R1678" s="144"/>
      <c r="S1678" s="144"/>
      <c r="T1678" s="144"/>
      <c r="U1678" s="144"/>
      <c r="V1678" s="144"/>
      <c r="W1678" s="144"/>
      <c r="X1678" s="144"/>
      <c r="Y1678" s="144"/>
      <c r="Z1678" s="144"/>
      <c r="AA1678" s="144"/>
      <c r="AB1678" s="144"/>
      <c r="AC1678" s="144"/>
      <c r="AD1678" s="144"/>
      <c r="AE1678" s="144"/>
    </row>
    <row r="1679" spans="8:31" x14ac:dyDescent="0.25">
      <c r="H1679" s="144"/>
      <c r="I1679" s="144"/>
      <c r="J1679" s="144"/>
      <c r="K1679" s="144"/>
      <c r="L1679" s="144"/>
      <c r="M1679" s="144"/>
      <c r="N1679" s="144"/>
      <c r="O1679" s="144"/>
      <c r="P1679" s="144"/>
      <c r="Q1679" s="144"/>
      <c r="R1679" s="144"/>
      <c r="S1679" s="144"/>
      <c r="T1679" s="144"/>
      <c r="U1679" s="144"/>
      <c r="V1679" s="144"/>
      <c r="W1679" s="144"/>
      <c r="X1679" s="144"/>
      <c r="Y1679" s="144"/>
      <c r="Z1679" s="144"/>
      <c r="AA1679" s="144"/>
      <c r="AB1679" s="144"/>
      <c r="AC1679" s="144"/>
      <c r="AD1679" s="144"/>
      <c r="AE1679" s="144"/>
    </row>
    <row r="1680" spans="8:31" x14ac:dyDescent="0.25">
      <c r="H1680" s="144"/>
      <c r="I1680" s="144"/>
      <c r="J1680" s="144"/>
      <c r="K1680" s="144"/>
      <c r="L1680" s="144"/>
      <c r="M1680" s="144"/>
      <c r="N1680" s="144"/>
      <c r="O1680" s="144"/>
      <c r="P1680" s="144"/>
      <c r="Q1680" s="144"/>
      <c r="R1680" s="144"/>
      <c r="S1680" s="144"/>
      <c r="T1680" s="144"/>
      <c r="U1680" s="144"/>
      <c r="V1680" s="144"/>
      <c r="W1680" s="144"/>
      <c r="X1680" s="144"/>
      <c r="Y1680" s="144"/>
      <c r="Z1680" s="144"/>
      <c r="AA1680" s="144"/>
      <c r="AB1680" s="144"/>
      <c r="AC1680" s="144"/>
      <c r="AD1680" s="144"/>
      <c r="AE1680" s="144"/>
    </row>
    <row r="1681" spans="8:31" x14ac:dyDescent="0.25">
      <c r="H1681" s="144"/>
      <c r="I1681" s="144"/>
      <c r="J1681" s="144"/>
      <c r="K1681" s="144"/>
      <c r="L1681" s="144"/>
      <c r="M1681" s="144"/>
      <c r="N1681" s="144"/>
      <c r="O1681" s="144"/>
      <c r="P1681" s="144"/>
      <c r="Q1681" s="144"/>
      <c r="R1681" s="144"/>
      <c r="S1681" s="144"/>
      <c r="T1681" s="144"/>
      <c r="U1681" s="144"/>
      <c r="V1681" s="144"/>
      <c r="W1681" s="144"/>
      <c r="X1681" s="144"/>
      <c r="Y1681" s="144"/>
      <c r="Z1681" s="144"/>
      <c r="AA1681" s="144"/>
      <c r="AB1681" s="144"/>
      <c r="AC1681" s="144"/>
      <c r="AD1681" s="144"/>
      <c r="AE1681" s="144"/>
    </row>
    <row r="1682" spans="8:31" x14ac:dyDescent="0.25">
      <c r="H1682" s="144"/>
      <c r="I1682" s="144"/>
      <c r="J1682" s="144"/>
      <c r="K1682" s="144"/>
      <c r="L1682" s="144"/>
      <c r="M1682" s="144"/>
      <c r="N1682" s="144"/>
      <c r="O1682" s="144"/>
      <c r="P1682" s="144"/>
      <c r="Q1682" s="144"/>
      <c r="R1682" s="144"/>
      <c r="S1682" s="144"/>
      <c r="T1682" s="144"/>
      <c r="U1682" s="144"/>
      <c r="V1682" s="144"/>
      <c r="W1682" s="144"/>
      <c r="X1682" s="144"/>
      <c r="Y1682" s="144"/>
      <c r="Z1682" s="144"/>
      <c r="AA1682" s="144"/>
      <c r="AB1682" s="144"/>
      <c r="AC1682" s="144"/>
      <c r="AD1682" s="144"/>
      <c r="AE1682" s="144"/>
    </row>
    <row r="1683" spans="8:31" x14ac:dyDescent="0.25">
      <c r="H1683" s="144"/>
      <c r="I1683" s="144"/>
      <c r="J1683" s="144"/>
      <c r="K1683" s="144"/>
      <c r="L1683" s="144"/>
      <c r="M1683" s="144"/>
      <c r="N1683" s="144"/>
      <c r="O1683" s="144"/>
      <c r="P1683" s="144"/>
      <c r="Q1683" s="144"/>
      <c r="R1683" s="144"/>
      <c r="S1683" s="144"/>
      <c r="T1683" s="144"/>
      <c r="U1683" s="144"/>
      <c r="V1683" s="144"/>
      <c r="W1683" s="144"/>
      <c r="X1683" s="144"/>
      <c r="Y1683" s="144"/>
      <c r="Z1683" s="144"/>
      <c r="AA1683" s="144"/>
      <c r="AB1683" s="144"/>
      <c r="AC1683" s="144"/>
      <c r="AD1683" s="144"/>
      <c r="AE1683" s="144"/>
    </row>
    <row r="1684" spans="8:31" x14ac:dyDescent="0.25">
      <c r="H1684" s="144"/>
      <c r="I1684" s="144"/>
      <c r="J1684" s="144"/>
      <c r="K1684" s="144"/>
      <c r="L1684" s="144"/>
      <c r="M1684" s="144"/>
      <c r="N1684" s="144"/>
      <c r="O1684" s="144"/>
      <c r="P1684" s="144"/>
      <c r="Q1684" s="144"/>
      <c r="R1684" s="144"/>
      <c r="S1684" s="144"/>
      <c r="T1684" s="144"/>
      <c r="U1684" s="144"/>
      <c r="V1684" s="144"/>
      <c r="W1684" s="144"/>
      <c r="X1684" s="144"/>
      <c r="Y1684" s="144"/>
      <c r="Z1684" s="144"/>
      <c r="AA1684" s="144"/>
      <c r="AB1684" s="144"/>
      <c r="AC1684" s="144"/>
      <c r="AD1684" s="144"/>
      <c r="AE1684" s="144"/>
    </row>
    <row r="1685" spans="8:31" x14ac:dyDescent="0.25">
      <c r="H1685" s="144"/>
      <c r="I1685" s="144"/>
      <c r="J1685" s="144"/>
      <c r="K1685" s="144"/>
      <c r="L1685" s="144"/>
      <c r="M1685" s="144"/>
      <c r="N1685" s="144"/>
      <c r="O1685" s="144"/>
      <c r="P1685" s="144"/>
      <c r="Q1685" s="144"/>
      <c r="R1685" s="144"/>
      <c r="S1685" s="144"/>
      <c r="T1685" s="144"/>
      <c r="U1685" s="144"/>
      <c r="V1685" s="144"/>
      <c r="W1685" s="144"/>
      <c r="X1685" s="144"/>
      <c r="Y1685" s="144"/>
      <c r="Z1685" s="144"/>
      <c r="AA1685" s="144"/>
      <c r="AB1685" s="144"/>
      <c r="AC1685" s="144"/>
      <c r="AD1685" s="144"/>
      <c r="AE1685" s="144"/>
    </row>
    <row r="1686" spans="8:31" x14ac:dyDescent="0.25">
      <c r="H1686" s="144"/>
      <c r="I1686" s="144"/>
      <c r="J1686" s="144"/>
      <c r="K1686" s="144"/>
      <c r="L1686" s="144"/>
      <c r="M1686" s="144"/>
      <c r="N1686" s="144"/>
      <c r="O1686" s="144"/>
      <c r="P1686" s="144"/>
      <c r="Q1686" s="144"/>
      <c r="R1686" s="144"/>
      <c r="S1686" s="144"/>
      <c r="T1686" s="144"/>
      <c r="U1686" s="144"/>
      <c r="V1686" s="144"/>
      <c r="W1686" s="144"/>
      <c r="X1686" s="144"/>
      <c r="Y1686" s="144"/>
      <c r="Z1686" s="144"/>
      <c r="AA1686" s="144"/>
      <c r="AB1686" s="144"/>
      <c r="AC1686" s="144"/>
      <c r="AD1686" s="144"/>
      <c r="AE1686" s="144"/>
    </row>
    <row r="1687" spans="8:31" x14ac:dyDescent="0.25">
      <c r="H1687" s="144"/>
      <c r="I1687" s="144"/>
      <c r="J1687" s="144"/>
      <c r="K1687" s="144"/>
      <c r="L1687" s="144"/>
      <c r="M1687" s="144"/>
      <c r="N1687" s="144"/>
      <c r="O1687" s="144"/>
      <c r="P1687" s="144"/>
      <c r="Q1687" s="144"/>
      <c r="R1687" s="144"/>
      <c r="S1687" s="144"/>
      <c r="T1687" s="144"/>
      <c r="U1687" s="144"/>
      <c r="V1687" s="144"/>
      <c r="W1687" s="144"/>
      <c r="X1687" s="144"/>
      <c r="Y1687" s="144"/>
      <c r="Z1687" s="144"/>
      <c r="AA1687" s="144"/>
      <c r="AB1687" s="144"/>
      <c r="AC1687" s="144"/>
      <c r="AD1687" s="144"/>
      <c r="AE1687" s="144"/>
    </row>
    <row r="1688" spans="8:31" x14ac:dyDescent="0.25">
      <c r="H1688" s="144"/>
      <c r="I1688" s="144"/>
      <c r="J1688" s="144"/>
      <c r="K1688" s="144"/>
      <c r="L1688" s="144"/>
      <c r="M1688" s="144"/>
      <c r="N1688" s="144"/>
      <c r="O1688" s="144"/>
      <c r="P1688" s="144"/>
      <c r="Q1688" s="144"/>
      <c r="R1688" s="144"/>
      <c r="S1688" s="144"/>
      <c r="T1688" s="144"/>
      <c r="U1688" s="144"/>
      <c r="V1688" s="144"/>
      <c r="W1688" s="144"/>
      <c r="X1688" s="144"/>
      <c r="Y1688" s="144"/>
      <c r="Z1688" s="144"/>
      <c r="AA1688" s="144"/>
      <c r="AB1688" s="144"/>
      <c r="AC1688" s="144"/>
      <c r="AD1688" s="144"/>
      <c r="AE1688" s="144"/>
    </row>
    <row r="1689" spans="8:31" x14ac:dyDescent="0.25">
      <c r="H1689" s="144"/>
      <c r="I1689" s="144"/>
      <c r="J1689" s="144"/>
      <c r="K1689" s="144"/>
      <c r="L1689" s="144"/>
      <c r="M1689" s="144"/>
      <c r="N1689" s="144"/>
      <c r="O1689" s="144"/>
      <c r="P1689" s="144"/>
      <c r="Q1689" s="144"/>
      <c r="R1689" s="144"/>
      <c r="S1689" s="144"/>
      <c r="T1689" s="144"/>
      <c r="U1689" s="144"/>
      <c r="V1689" s="144"/>
      <c r="W1689" s="144"/>
      <c r="X1689" s="144"/>
      <c r="Y1689" s="144"/>
      <c r="Z1689" s="144"/>
      <c r="AA1689" s="144"/>
      <c r="AB1689" s="144"/>
      <c r="AC1689" s="144"/>
      <c r="AD1689" s="144"/>
      <c r="AE1689" s="144"/>
    </row>
    <row r="1690" spans="8:31" x14ac:dyDescent="0.25">
      <c r="H1690" s="144"/>
      <c r="I1690" s="144"/>
      <c r="J1690" s="144"/>
      <c r="K1690" s="144"/>
      <c r="L1690" s="144"/>
      <c r="M1690" s="144"/>
      <c r="N1690" s="144"/>
      <c r="O1690" s="144"/>
      <c r="P1690" s="144"/>
      <c r="Q1690" s="144"/>
      <c r="R1690" s="144"/>
      <c r="S1690" s="144"/>
      <c r="T1690" s="144"/>
      <c r="U1690" s="144"/>
      <c r="V1690" s="144"/>
      <c r="W1690" s="144"/>
      <c r="X1690" s="144"/>
      <c r="Y1690" s="144"/>
      <c r="Z1690" s="144"/>
      <c r="AA1690" s="144"/>
      <c r="AB1690" s="144"/>
      <c r="AC1690" s="144"/>
      <c r="AD1690" s="144"/>
      <c r="AE1690" s="144"/>
    </row>
    <row r="1691" spans="8:31" x14ac:dyDescent="0.25">
      <c r="H1691" s="144"/>
      <c r="I1691" s="144"/>
      <c r="J1691" s="144"/>
      <c r="K1691" s="144"/>
      <c r="L1691" s="144"/>
      <c r="M1691" s="144"/>
      <c r="N1691" s="144"/>
      <c r="O1691" s="144"/>
      <c r="P1691" s="144"/>
      <c r="Q1691" s="144"/>
      <c r="R1691" s="144"/>
      <c r="S1691" s="144"/>
      <c r="T1691" s="144"/>
      <c r="U1691" s="144"/>
      <c r="V1691" s="144"/>
      <c r="W1691" s="144"/>
      <c r="X1691" s="144"/>
      <c r="Y1691" s="144"/>
      <c r="Z1691" s="144"/>
      <c r="AA1691" s="144"/>
      <c r="AB1691" s="144"/>
      <c r="AC1691" s="144"/>
      <c r="AD1691" s="144"/>
      <c r="AE1691" s="144"/>
    </row>
    <row r="1692" spans="8:31" x14ac:dyDescent="0.25">
      <c r="H1692" s="144"/>
      <c r="I1692" s="144"/>
      <c r="J1692" s="144"/>
      <c r="K1692" s="144"/>
      <c r="L1692" s="144"/>
      <c r="M1692" s="144"/>
      <c r="N1692" s="144"/>
      <c r="O1692" s="144"/>
      <c r="P1692" s="144"/>
      <c r="Q1692" s="144"/>
      <c r="R1692" s="144"/>
      <c r="S1692" s="144"/>
      <c r="T1692" s="144"/>
      <c r="U1692" s="144"/>
      <c r="V1692" s="144"/>
      <c r="W1692" s="144"/>
      <c r="X1692" s="144"/>
      <c r="Y1692" s="144"/>
      <c r="Z1692" s="144"/>
      <c r="AA1692" s="144"/>
      <c r="AB1692" s="144"/>
      <c r="AC1692" s="144"/>
      <c r="AD1692" s="144"/>
      <c r="AE1692" s="144"/>
    </row>
    <row r="1693" spans="8:31" x14ac:dyDescent="0.25">
      <c r="H1693" s="144"/>
      <c r="I1693" s="144"/>
      <c r="J1693" s="144"/>
      <c r="K1693" s="144"/>
      <c r="L1693" s="144"/>
      <c r="M1693" s="144"/>
      <c r="N1693" s="144"/>
      <c r="O1693" s="144"/>
      <c r="P1693" s="144"/>
      <c r="Q1693" s="144"/>
      <c r="R1693" s="144"/>
      <c r="S1693" s="144"/>
      <c r="T1693" s="144"/>
      <c r="U1693" s="144"/>
      <c r="V1693" s="144"/>
      <c r="W1693" s="144"/>
      <c r="X1693" s="144"/>
      <c r="Y1693" s="144"/>
      <c r="Z1693" s="144"/>
      <c r="AA1693" s="144"/>
      <c r="AB1693" s="144"/>
      <c r="AC1693" s="144"/>
      <c r="AD1693" s="144"/>
      <c r="AE1693" s="144"/>
    </row>
    <row r="1694" spans="8:31" x14ac:dyDescent="0.25">
      <c r="H1694" s="144"/>
      <c r="I1694" s="144"/>
      <c r="J1694" s="144"/>
      <c r="K1694" s="144"/>
      <c r="L1694" s="144"/>
      <c r="M1694" s="144"/>
      <c r="N1694" s="144"/>
      <c r="O1694" s="144"/>
      <c r="P1694" s="144"/>
      <c r="Q1694" s="144"/>
      <c r="R1694" s="144"/>
      <c r="S1694" s="144"/>
      <c r="T1694" s="144"/>
      <c r="U1694" s="144"/>
      <c r="V1694" s="144"/>
      <c r="W1694" s="144"/>
      <c r="X1694" s="144"/>
      <c r="Y1694" s="144"/>
      <c r="Z1694" s="144"/>
      <c r="AA1694" s="144"/>
      <c r="AB1694" s="144"/>
      <c r="AC1694" s="144"/>
      <c r="AD1694" s="144"/>
      <c r="AE1694" s="144"/>
    </row>
    <row r="1695" spans="8:31" x14ac:dyDescent="0.25">
      <c r="H1695" s="144"/>
      <c r="I1695" s="144"/>
      <c r="J1695" s="144"/>
      <c r="K1695" s="144"/>
      <c r="L1695" s="144"/>
      <c r="M1695" s="144"/>
      <c r="N1695" s="144"/>
      <c r="O1695" s="144"/>
      <c r="P1695" s="144"/>
      <c r="Q1695" s="144"/>
      <c r="R1695" s="144"/>
      <c r="S1695" s="144"/>
      <c r="T1695" s="144"/>
      <c r="U1695" s="144"/>
      <c r="V1695" s="144"/>
      <c r="W1695" s="144"/>
      <c r="X1695" s="144"/>
      <c r="Y1695" s="144"/>
      <c r="Z1695" s="144"/>
      <c r="AA1695" s="144"/>
      <c r="AB1695" s="144"/>
      <c r="AC1695" s="144"/>
      <c r="AD1695" s="144"/>
      <c r="AE1695" s="144"/>
    </row>
    <row r="1696" spans="8:31" x14ac:dyDescent="0.25">
      <c r="H1696" s="144"/>
      <c r="I1696" s="144"/>
      <c r="J1696" s="144"/>
      <c r="K1696" s="144"/>
      <c r="L1696" s="144"/>
      <c r="M1696" s="144"/>
      <c r="N1696" s="144"/>
      <c r="O1696" s="144"/>
      <c r="P1696" s="144"/>
      <c r="Q1696" s="144"/>
      <c r="R1696" s="144"/>
      <c r="S1696" s="144"/>
      <c r="T1696" s="144"/>
      <c r="U1696" s="144"/>
      <c r="V1696" s="144"/>
      <c r="W1696" s="144"/>
      <c r="X1696" s="144"/>
      <c r="Y1696" s="144"/>
      <c r="Z1696" s="144"/>
      <c r="AA1696" s="144"/>
      <c r="AB1696" s="144"/>
      <c r="AC1696" s="144"/>
      <c r="AD1696" s="144"/>
      <c r="AE1696" s="144"/>
    </row>
    <row r="1697" spans="8:31" x14ac:dyDescent="0.25">
      <c r="H1697" s="144"/>
      <c r="I1697" s="144"/>
      <c r="J1697" s="144"/>
      <c r="K1697" s="144"/>
      <c r="L1697" s="144"/>
      <c r="M1697" s="144"/>
      <c r="N1697" s="144"/>
      <c r="O1697" s="144"/>
      <c r="P1697" s="144"/>
      <c r="Q1697" s="144"/>
      <c r="R1697" s="144"/>
      <c r="S1697" s="144"/>
      <c r="T1697" s="144"/>
      <c r="U1697" s="144"/>
      <c r="V1697" s="144"/>
      <c r="W1697" s="144"/>
      <c r="X1697" s="144"/>
      <c r="Y1697" s="144"/>
      <c r="Z1697" s="144"/>
      <c r="AA1697" s="144"/>
      <c r="AB1697" s="144"/>
      <c r="AC1697" s="144"/>
      <c r="AD1697" s="144"/>
      <c r="AE1697" s="144"/>
    </row>
    <row r="1698" spans="8:31" x14ac:dyDescent="0.25">
      <c r="H1698" s="144"/>
      <c r="I1698" s="144"/>
      <c r="J1698" s="144"/>
      <c r="K1698" s="144"/>
      <c r="L1698" s="144"/>
      <c r="M1698" s="144"/>
      <c r="N1698" s="144"/>
      <c r="O1698" s="144"/>
      <c r="P1698" s="144"/>
      <c r="Q1698" s="144"/>
      <c r="R1698" s="144"/>
      <c r="S1698" s="144"/>
      <c r="T1698" s="144"/>
      <c r="U1698" s="144"/>
      <c r="V1698" s="144"/>
      <c r="W1698" s="144"/>
      <c r="X1698" s="144"/>
      <c r="Y1698" s="144"/>
      <c r="Z1698" s="144"/>
      <c r="AA1698" s="144"/>
      <c r="AB1698" s="144"/>
      <c r="AC1698" s="144"/>
      <c r="AD1698" s="144"/>
      <c r="AE1698" s="144"/>
    </row>
    <row r="1699" spans="8:31" x14ac:dyDescent="0.25">
      <c r="H1699" s="144"/>
      <c r="I1699" s="144"/>
      <c r="J1699" s="144"/>
      <c r="K1699" s="144"/>
      <c r="L1699" s="144"/>
      <c r="M1699" s="144"/>
      <c r="N1699" s="144"/>
      <c r="O1699" s="144"/>
      <c r="P1699" s="144"/>
      <c r="Q1699" s="144"/>
      <c r="R1699" s="144"/>
      <c r="S1699" s="144"/>
      <c r="T1699" s="144"/>
      <c r="U1699" s="144"/>
      <c r="V1699" s="144"/>
      <c r="W1699" s="144"/>
      <c r="X1699" s="144"/>
      <c r="Y1699" s="144"/>
      <c r="Z1699" s="144"/>
      <c r="AA1699" s="144"/>
      <c r="AB1699" s="144"/>
      <c r="AC1699" s="144"/>
      <c r="AD1699" s="144"/>
      <c r="AE1699" s="144"/>
    </row>
    <row r="1700" spans="8:31" x14ac:dyDescent="0.25">
      <c r="H1700" s="144"/>
      <c r="I1700" s="144"/>
      <c r="J1700" s="144"/>
      <c r="K1700" s="144"/>
      <c r="L1700" s="144"/>
      <c r="M1700" s="144"/>
      <c r="N1700" s="144"/>
      <c r="O1700" s="144"/>
      <c r="P1700" s="144"/>
      <c r="Q1700" s="144"/>
      <c r="R1700" s="144"/>
      <c r="S1700" s="144"/>
      <c r="T1700" s="144"/>
      <c r="U1700" s="144"/>
      <c r="V1700" s="144"/>
      <c r="W1700" s="144"/>
      <c r="X1700" s="144"/>
      <c r="Y1700" s="144"/>
      <c r="Z1700" s="144"/>
      <c r="AA1700" s="144"/>
      <c r="AB1700" s="144"/>
      <c r="AC1700" s="144"/>
      <c r="AD1700" s="144"/>
      <c r="AE1700" s="144"/>
    </row>
    <row r="1701" spans="8:31" x14ac:dyDescent="0.25">
      <c r="H1701" s="144"/>
      <c r="I1701" s="144"/>
      <c r="J1701" s="144"/>
      <c r="K1701" s="144"/>
      <c r="L1701" s="144"/>
      <c r="M1701" s="144"/>
      <c r="N1701" s="144"/>
      <c r="O1701" s="144"/>
      <c r="P1701" s="144"/>
      <c r="Q1701" s="144"/>
      <c r="R1701" s="144"/>
      <c r="S1701" s="144"/>
      <c r="T1701" s="144"/>
      <c r="U1701" s="144"/>
      <c r="V1701" s="144"/>
      <c r="W1701" s="144"/>
      <c r="X1701" s="144"/>
      <c r="Y1701" s="144"/>
      <c r="Z1701" s="144"/>
      <c r="AA1701" s="144"/>
      <c r="AB1701" s="144"/>
      <c r="AC1701" s="144"/>
      <c r="AD1701" s="144"/>
      <c r="AE1701" s="144"/>
    </row>
    <row r="1702" spans="8:31" x14ac:dyDescent="0.25">
      <c r="H1702" s="144"/>
      <c r="I1702" s="144"/>
      <c r="J1702" s="144"/>
      <c r="K1702" s="144"/>
      <c r="L1702" s="144"/>
      <c r="M1702" s="144"/>
      <c r="N1702" s="144"/>
      <c r="O1702" s="144"/>
      <c r="P1702" s="144"/>
      <c r="Q1702" s="144"/>
      <c r="R1702" s="144"/>
      <c r="S1702" s="144"/>
      <c r="T1702" s="144"/>
      <c r="U1702" s="144"/>
      <c r="V1702" s="144"/>
      <c r="W1702" s="144"/>
      <c r="X1702" s="144"/>
      <c r="Y1702" s="144"/>
      <c r="Z1702" s="144"/>
      <c r="AA1702" s="144"/>
      <c r="AB1702" s="144"/>
      <c r="AC1702" s="144"/>
      <c r="AD1702" s="144"/>
      <c r="AE1702" s="144"/>
    </row>
    <row r="1703" spans="8:31" x14ac:dyDescent="0.25">
      <c r="H1703" s="144"/>
      <c r="I1703" s="144"/>
      <c r="J1703" s="144"/>
      <c r="K1703" s="144"/>
      <c r="L1703" s="144"/>
      <c r="M1703" s="144"/>
      <c r="N1703" s="144"/>
      <c r="O1703" s="144"/>
      <c r="P1703" s="144"/>
      <c r="Q1703" s="144"/>
      <c r="R1703" s="144"/>
      <c r="S1703" s="144"/>
      <c r="T1703" s="144"/>
      <c r="U1703" s="144"/>
      <c r="V1703" s="144"/>
      <c r="W1703" s="144"/>
      <c r="X1703" s="144"/>
      <c r="Y1703" s="144"/>
      <c r="Z1703" s="144"/>
      <c r="AA1703" s="144"/>
      <c r="AB1703" s="144"/>
      <c r="AC1703" s="144"/>
      <c r="AD1703" s="144"/>
      <c r="AE1703" s="144"/>
    </row>
    <row r="1704" spans="8:31" x14ac:dyDescent="0.25">
      <c r="H1704" s="144"/>
      <c r="I1704" s="144"/>
      <c r="J1704" s="144"/>
      <c r="K1704" s="144"/>
      <c r="L1704" s="144"/>
      <c r="M1704" s="144"/>
      <c r="N1704" s="144"/>
      <c r="O1704" s="144"/>
      <c r="P1704" s="144"/>
      <c r="Q1704" s="144"/>
      <c r="R1704" s="144"/>
      <c r="S1704" s="144"/>
      <c r="T1704" s="144"/>
      <c r="U1704" s="144"/>
      <c r="V1704" s="144"/>
      <c r="W1704" s="144"/>
      <c r="X1704" s="144"/>
      <c r="Y1704" s="144"/>
      <c r="Z1704" s="144"/>
      <c r="AA1704" s="144"/>
      <c r="AB1704" s="144"/>
      <c r="AC1704" s="144"/>
      <c r="AD1704" s="144"/>
      <c r="AE1704" s="144"/>
    </row>
    <row r="1705" spans="8:31" x14ac:dyDescent="0.25">
      <c r="H1705" s="144"/>
      <c r="I1705" s="144"/>
      <c r="J1705" s="144"/>
      <c r="K1705" s="144"/>
      <c r="L1705" s="144"/>
      <c r="M1705" s="144"/>
      <c r="N1705" s="144"/>
      <c r="O1705" s="144"/>
      <c r="P1705" s="144"/>
      <c r="Q1705" s="144"/>
      <c r="R1705" s="144"/>
      <c r="S1705" s="144"/>
      <c r="T1705" s="144"/>
      <c r="U1705" s="144"/>
      <c r="V1705" s="144"/>
      <c r="W1705" s="144"/>
      <c r="X1705" s="144"/>
      <c r="Y1705" s="144"/>
      <c r="Z1705" s="144"/>
      <c r="AA1705" s="144"/>
      <c r="AB1705" s="144"/>
      <c r="AC1705" s="144"/>
      <c r="AD1705" s="144"/>
      <c r="AE1705" s="144"/>
    </row>
    <row r="1706" spans="8:31" x14ac:dyDescent="0.25">
      <c r="H1706" s="144"/>
      <c r="I1706" s="144"/>
      <c r="J1706" s="144"/>
      <c r="K1706" s="144"/>
      <c r="L1706" s="144"/>
      <c r="M1706" s="144"/>
      <c r="N1706" s="144"/>
      <c r="O1706" s="144"/>
      <c r="P1706" s="144"/>
      <c r="Q1706" s="144"/>
      <c r="R1706" s="144"/>
      <c r="S1706" s="144"/>
      <c r="T1706" s="144"/>
      <c r="U1706" s="144"/>
      <c r="V1706" s="144"/>
      <c r="W1706" s="144"/>
      <c r="X1706" s="144"/>
      <c r="Y1706" s="144"/>
      <c r="Z1706" s="144"/>
      <c r="AA1706" s="144"/>
      <c r="AB1706" s="144"/>
      <c r="AC1706" s="144"/>
      <c r="AD1706" s="144"/>
      <c r="AE1706" s="144"/>
    </row>
    <row r="1707" spans="8:31" x14ac:dyDescent="0.25">
      <c r="H1707" s="144"/>
      <c r="I1707" s="144"/>
      <c r="J1707" s="144"/>
      <c r="K1707" s="144"/>
      <c r="L1707" s="144"/>
      <c r="M1707" s="144"/>
      <c r="N1707" s="144"/>
      <c r="O1707" s="144"/>
      <c r="P1707" s="144"/>
      <c r="Q1707" s="144"/>
      <c r="R1707" s="144"/>
      <c r="S1707" s="144"/>
      <c r="T1707" s="144"/>
      <c r="U1707" s="144"/>
      <c r="V1707" s="144"/>
      <c r="W1707" s="144"/>
      <c r="X1707" s="144"/>
      <c r="Y1707" s="144"/>
      <c r="Z1707" s="144"/>
      <c r="AA1707" s="144"/>
      <c r="AB1707" s="144"/>
      <c r="AC1707" s="144"/>
      <c r="AD1707" s="144"/>
      <c r="AE1707" s="144"/>
    </row>
    <row r="1708" spans="8:31" x14ac:dyDescent="0.25">
      <c r="H1708" s="144"/>
      <c r="I1708" s="144"/>
      <c r="J1708" s="144"/>
      <c r="K1708" s="144"/>
      <c r="L1708" s="144"/>
      <c r="M1708" s="144"/>
      <c r="N1708" s="144"/>
      <c r="O1708" s="144"/>
      <c r="P1708" s="144"/>
      <c r="Q1708" s="144"/>
      <c r="R1708" s="144"/>
      <c r="S1708" s="144"/>
      <c r="T1708" s="144"/>
      <c r="U1708" s="144"/>
      <c r="V1708" s="144"/>
      <c r="W1708" s="144"/>
      <c r="X1708" s="144"/>
      <c r="Y1708" s="144"/>
      <c r="Z1708" s="144"/>
      <c r="AA1708" s="144"/>
      <c r="AB1708" s="144"/>
      <c r="AC1708" s="144"/>
      <c r="AD1708" s="144"/>
      <c r="AE1708" s="144"/>
    </row>
    <row r="1709" spans="8:31" x14ac:dyDescent="0.25">
      <c r="H1709" s="144"/>
      <c r="I1709" s="144"/>
      <c r="J1709" s="144"/>
      <c r="K1709" s="144"/>
      <c r="L1709" s="144"/>
      <c r="M1709" s="144"/>
      <c r="N1709" s="144"/>
      <c r="O1709" s="144"/>
      <c r="P1709" s="144"/>
      <c r="Q1709" s="144"/>
      <c r="R1709" s="144"/>
      <c r="S1709" s="144"/>
      <c r="T1709" s="144"/>
      <c r="U1709" s="144"/>
      <c r="V1709" s="144"/>
      <c r="W1709" s="144"/>
      <c r="X1709" s="144"/>
      <c r="Y1709" s="144"/>
      <c r="Z1709" s="144"/>
      <c r="AA1709" s="144"/>
      <c r="AB1709" s="144"/>
      <c r="AC1709" s="144"/>
      <c r="AD1709" s="144"/>
      <c r="AE1709" s="144"/>
    </row>
    <row r="1710" spans="8:31" x14ac:dyDescent="0.25">
      <c r="H1710" s="144"/>
      <c r="I1710" s="144"/>
      <c r="J1710" s="144"/>
      <c r="K1710" s="144"/>
      <c r="L1710" s="144"/>
      <c r="M1710" s="144"/>
      <c r="N1710" s="144"/>
      <c r="O1710" s="144"/>
      <c r="P1710" s="144"/>
      <c r="Q1710" s="144"/>
      <c r="R1710" s="144"/>
      <c r="S1710" s="144"/>
      <c r="T1710" s="144"/>
      <c r="U1710" s="144"/>
      <c r="V1710" s="144"/>
      <c r="W1710" s="144"/>
      <c r="X1710" s="144"/>
      <c r="Y1710" s="144"/>
      <c r="Z1710" s="144"/>
      <c r="AA1710" s="144"/>
      <c r="AB1710" s="144"/>
      <c r="AC1710" s="144"/>
      <c r="AD1710" s="144"/>
      <c r="AE1710" s="144"/>
    </row>
    <row r="1711" spans="8:31" x14ac:dyDescent="0.25">
      <c r="H1711" s="144"/>
      <c r="I1711" s="144"/>
      <c r="J1711" s="144"/>
      <c r="K1711" s="144"/>
      <c r="L1711" s="144"/>
      <c r="M1711" s="144"/>
      <c r="N1711" s="144"/>
      <c r="O1711" s="144"/>
      <c r="P1711" s="144"/>
      <c r="Q1711" s="144"/>
      <c r="R1711" s="144"/>
      <c r="S1711" s="144"/>
      <c r="T1711" s="144"/>
      <c r="U1711" s="144"/>
      <c r="V1711" s="144"/>
      <c r="W1711" s="144"/>
      <c r="X1711" s="144"/>
      <c r="Y1711" s="144"/>
      <c r="Z1711" s="144"/>
      <c r="AA1711" s="144"/>
      <c r="AB1711" s="144"/>
      <c r="AC1711" s="144"/>
      <c r="AD1711" s="144"/>
      <c r="AE1711" s="144"/>
    </row>
    <row r="1712" spans="8:31" x14ac:dyDescent="0.25">
      <c r="H1712" s="144"/>
      <c r="I1712" s="144"/>
      <c r="J1712" s="144"/>
      <c r="K1712" s="144"/>
      <c r="L1712" s="144"/>
      <c r="M1712" s="144"/>
      <c r="N1712" s="144"/>
      <c r="O1712" s="144"/>
      <c r="P1712" s="144"/>
      <c r="Q1712" s="144"/>
      <c r="R1712" s="144"/>
      <c r="S1712" s="144"/>
      <c r="T1712" s="144"/>
      <c r="U1712" s="144"/>
      <c r="V1712" s="144"/>
      <c r="W1712" s="144"/>
      <c r="X1712" s="144"/>
      <c r="Y1712" s="144"/>
      <c r="Z1712" s="144"/>
      <c r="AA1712" s="144"/>
      <c r="AB1712" s="144"/>
      <c r="AC1712" s="144"/>
      <c r="AD1712" s="144"/>
      <c r="AE1712" s="144"/>
    </row>
    <row r="1713" spans="8:31" x14ac:dyDescent="0.25">
      <c r="H1713" s="144"/>
      <c r="I1713" s="144"/>
      <c r="J1713" s="144"/>
      <c r="K1713" s="144"/>
      <c r="L1713" s="144"/>
      <c r="M1713" s="144"/>
      <c r="N1713" s="144"/>
      <c r="O1713" s="144"/>
      <c r="P1713" s="144"/>
      <c r="Q1713" s="144"/>
      <c r="R1713" s="144"/>
      <c r="S1713" s="144"/>
      <c r="T1713" s="144"/>
      <c r="U1713" s="144"/>
      <c r="V1713" s="144"/>
      <c r="W1713" s="144"/>
      <c r="X1713" s="144"/>
      <c r="Y1713" s="144"/>
      <c r="Z1713" s="144"/>
      <c r="AA1713" s="144"/>
      <c r="AB1713" s="144"/>
      <c r="AC1713" s="144"/>
      <c r="AD1713" s="144"/>
      <c r="AE1713" s="144"/>
    </row>
    <row r="1714" spans="8:31" x14ac:dyDescent="0.25">
      <c r="H1714" s="144"/>
      <c r="I1714" s="144"/>
      <c r="J1714" s="144"/>
      <c r="K1714" s="144"/>
      <c r="L1714" s="144"/>
      <c r="M1714" s="144"/>
      <c r="N1714" s="144"/>
      <c r="O1714" s="144"/>
      <c r="P1714" s="144"/>
      <c r="Q1714" s="144"/>
      <c r="R1714" s="144"/>
      <c r="S1714" s="144"/>
      <c r="T1714" s="144"/>
      <c r="U1714" s="144"/>
      <c r="V1714" s="144"/>
      <c r="W1714" s="144"/>
      <c r="X1714" s="144"/>
      <c r="Y1714" s="144"/>
      <c r="Z1714" s="144"/>
      <c r="AA1714" s="144"/>
      <c r="AB1714" s="144"/>
      <c r="AC1714" s="144"/>
      <c r="AD1714" s="144"/>
      <c r="AE1714" s="144"/>
    </row>
    <row r="1715" spans="8:31" x14ac:dyDescent="0.25">
      <c r="H1715" s="144"/>
      <c r="I1715" s="144"/>
      <c r="J1715" s="144"/>
      <c r="K1715" s="144"/>
      <c r="L1715" s="144"/>
      <c r="M1715" s="144"/>
      <c r="N1715" s="144"/>
      <c r="O1715" s="144"/>
      <c r="P1715" s="144"/>
      <c r="Q1715" s="144"/>
      <c r="R1715" s="144"/>
      <c r="S1715" s="144"/>
      <c r="T1715" s="144"/>
      <c r="U1715" s="144"/>
      <c r="V1715" s="144"/>
      <c r="W1715" s="144"/>
      <c r="X1715" s="144"/>
      <c r="Y1715" s="144"/>
      <c r="Z1715" s="144"/>
      <c r="AA1715" s="144"/>
      <c r="AB1715" s="144"/>
      <c r="AC1715" s="144"/>
      <c r="AD1715" s="144"/>
      <c r="AE1715" s="144"/>
    </row>
    <row r="1716" spans="8:31" x14ac:dyDescent="0.25">
      <c r="H1716" s="144"/>
      <c r="I1716" s="144"/>
      <c r="J1716" s="144"/>
      <c r="K1716" s="144"/>
      <c r="L1716" s="144"/>
      <c r="M1716" s="144"/>
      <c r="N1716" s="144"/>
      <c r="O1716" s="144"/>
      <c r="P1716" s="144"/>
      <c r="Q1716" s="144"/>
      <c r="R1716" s="144"/>
      <c r="S1716" s="144"/>
      <c r="T1716" s="144"/>
      <c r="U1716" s="144"/>
      <c r="V1716" s="144"/>
      <c r="W1716" s="144"/>
      <c r="X1716" s="144"/>
      <c r="Y1716" s="144"/>
      <c r="Z1716" s="144"/>
      <c r="AA1716" s="144"/>
      <c r="AB1716" s="144"/>
      <c r="AC1716" s="144"/>
      <c r="AD1716" s="144"/>
      <c r="AE1716" s="144"/>
    </row>
    <row r="1717" spans="8:31" x14ac:dyDescent="0.25">
      <c r="H1717" s="144"/>
      <c r="I1717" s="144"/>
      <c r="J1717" s="144"/>
      <c r="K1717" s="144"/>
      <c r="L1717" s="144"/>
      <c r="M1717" s="144"/>
      <c r="N1717" s="144"/>
      <c r="O1717" s="144"/>
      <c r="P1717" s="144"/>
      <c r="Q1717" s="144"/>
      <c r="R1717" s="144"/>
      <c r="S1717" s="144"/>
      <c r="T1717" s="144"/>
      <c r="U1717" s="144"/>
      <c r="V1717" s="144"/>
      <c r="W1717" s="144"/>
      <c r="X1717" s="144"/>
      <c r="Y1717" s="144"/>
      <c r="Z1717" s="144"/>
      <c r="AA1717" s="144"/>
      <c r="AB1717" s="144"/>
      <c r="AC1717" s="144"/>
      <c r="AD1717" s="144"/>
      <c r="AE1717" s="144"/>
    </row>
    <row r="1718" spans="8:31" x14ac:dyDescent="0.25">
      <c r="H1718" s="144"/>
      <c r="I1718" s="144"/>
      <c r="J1718" s="144"/>
      <c r="K1718" s="144"/>
      <c r="L1718" s="144"/>
      <c r="M1718" s="144"/>
      <c r="N1718" s="144"/>
      <c r="O1718" s="144"/>
      <c r="P1718" s="144"/>
      <c r="Q1718" s="144"/>
      <c r="R1718" s="144"/>
      <c r="S1718" s="144"/>
      <c r="T1718" s="144"/>
      <c r="U1718" s="144"/>
      <c r="V1718" s="144"/>
      <c r="W1718" s="144"/>
      <c r="X1718" s="144"/>
      <c r="Y1718" s="144"/>
      <c r="Z1718" s="144"/>
      <c r="AA1718" s="144"/>
      <c r="AB1718" s="144"/>
      <c r="AC1718" s="144"/>
      <c r="AD1718" s="144"/>
      <c r="AE1718" s="144"/>
    </row>
    <row r="1719" spans="8:31" x14ac:dyDescent="0.25">
      <c r="H1719" s="144"/>
      <c r="I1719" s="144"/>
      <c r="J1719" s="144"/>
      <c r="K1719" s="144"/>
      <c r="L1719" s="144"/>
      <c r="M1719" s="144"/>
      <c r="N1719" s="144"/>
      <c r="O1719" s="144"/>
      <c r="P1719" s="144"/>
      <c r="Q1719" s="144"/>
      <c r="R1719" s="144"/>
      <c r="S1719" s="144"/>
      <c r="T1719" s="144"/>
      <c r="U1719" s="144"/>
      <c r="V1719" s="144"/>
      <c r="W1719" s="144"/>
      <c r="X1719" s="144"/>
      <c r="Y1719" s="144"/>
      <c r="Z1719" s="144"/>
      <c r="AA1719" s="144"/>
      <c r="AB1719" s="144"/>
      <c r="AC1719" s="144"/>
      <c r="AD1719" s="144"/>
      <c r="AE1719" s="144"/>
    </row>
    <row r="1720" spans="8:31" x14ac:dyDescent="0.25">
      <c r="H1720" s="144"/>
      <c r="I1720" s="144"/>
      <c r="J1720" s="144"/>
      <c r="K1720" s="144"/>
      <c r="L1720" s="144"/>
      <c r="M1720" s="144"/>
      <c r="N1720" s="144"/>
      <c r="O1720" s="144"/>
      <c r="P1720" s="144"/>
      <c r="Q1720" s="144"/>
      <c r="R1720" s="144"/>
      <c r="S1720" s="144"/>
      <c r="T1720" s="144"/>
      <c r="U1720" s="144"/>
      <c r="V1720" s="144"/>
      <c r="W1720" s="144"/>
      <c r="X1720" s="144"/>
      <c r="Y1720" s="144"/>
      <c r="Z1720" s="144"/>
      <c r="AA1720" s="144"/>
      <c r="AB1720" s="144"/>
      <c r="AC1720" s="144"/>
      <c r="AD1720" s="144"/>
      <c r="AE1720" s="144"/>
    </row>
    <row r="1721" spans="8:31" x14ac:dyDescent="0.25">
      <c r="H1721" s="144"/>
      <c r="I1721" s="144"/>
      <c r="J1721" s="144"/>
      <c r="K1721" s="144"/>
      <c r="L1721" s="144"/>
      <c r="M1721" s="144"/>
      <c r="N1721" s="144"/>
      <c r="O1721" s="144"/>
      <c r="P1721" s="144"/>
      <c r="Q1721" s="144"/>
      <c r="R1721" s="144"/>
      <c r="S1721" s="144"/>
      <c r="T1721" s="144"/>
      <c r="U1721" s="144"/>
      <c r="V1721" s="144"/>
      <c r="W1721" s="144"/>
      <c r="X1721" s="144"/>
      <c r="Y1721" s="144"/>
      <c r="Z1721" s="144"/>
      <c r="AA1721" s="144"/>
      <c r="AB1721" s="144"/>
      <c r="AC1721" s="144"/>
      <c r="AD1721" s="144"/>
      <c r="AE1721" s="144"/>
    </row>
    <row r="1722" spans="8:31" x14ac:dyDescent="0.25">
      <c r="H1722" s="144"/>
      <c r="I1722" s="144"/>
      <c r="J1722" s="144"/>
      <c r="K1722" s="144"/>
      <c r="L1722" s="144"/>
      <c r="M1722" s="144"/>
      <c r="N1722" s="144"/>
      <c r="O1722" s="144"/>
      <c r="P1722" s="144"/>
      <c r="Q1722" s="144"/>
      <c r="R1722" s="144"/>
      <c r="S1722" s="144"/>
      <c r="T1722" s="144"/>
      <c r="U1722" s="144"/>
      <c r="V1722" s="144"/>
      <c r="W1722" s="144"/>
      <c r="X1722" s="144"/>
      <c r="Y1722" s="144"/>
      <c r="Z1722" s="144"/>
      <c r="AA1722" s="144"/>
      <c r="AB1722" s="144"/>
      <c r="AC1722" s="144"/>
      <c r="AD1722" s="144"/>
      <c r="AE1722" s="144"/>
    </row>
    <row r="1723" spans="8:31" x14ac:dyDescent="0.25">
      <c r="H1723" s="144"/>
      <c r="I1723" s="144"/>
      <c r="J1723" s="144"/>
      <c r="K1723" s="144"/>
      <c r="L1723" s="144"/>
      <c r="M1723" s="144"/>
      <c r="N1723" s="144"/>
      <c r="O1723" s="144"/>
      <c r="P1723" s="144"/>
      <c r="Q1723" s="144"/>
      <c r="R1723" s="144"/>
      <c r="S1723" s="144"/>
      <c r="T1723" s="144"/>
      <c r="U1723" s="144"/>
      <c r="V1723" s="144"/>
      <c r="W1723" s="144"/>
      <c r="X1723" s="144"/>
      <c r="Y1723" s="144"/>
      <c r="Z1723" s="144"/>
      <c r="AA1723" s="144"/>
      <c r="AB1723" s="144"/>
      <c r="AC1723" s="144"/>
      <c r="AD1723" s="144"/>
      <c r="AE1723" s="144"/>
    </row>
  </sheetData>
  <sheetProtection password="EFD2" sheet="1" objects="1" scenarios="1" selectLockedCells="1"/>
  <conditionalFormatting sqref="H3:AE3">
    <cfRule type="cellIs" dxfId="1213" priority="247" operator="equal">
      <formula>1</formula>
    </cfRule>
  </conditionalFormatting>
  <conditionalFormatting sqref="H7">
    <cfRule type="cellIs" dxfId="1212" priority="352" operator="greaterThan">
      <formula>$H$2</formula>
    </cfRule>
  </conditionalFormatting>
  <conditionalFormatting sqref="I7">
    <cfRule type="cellIs" dxfId="1211" priority="351" operator="greaterThan">
      <formula>$I$2</formula>
    </cfRule>
  </conditionalFormatting>
  <conditionalFormatting sqref="J7">
    <cfRule type="cellIs" dxfId="1210" priority="350" operator="greaterThan">
      <formula>$J$2</formula>
    </cfRule>
  </conditionalFormatting>
  <conditionalFormatting sqref="K7">
    <cfRule type="cellIs" dxfId="1209" priority="349" operator="greaterThan">
      <formula>$K$2</formula>
    </cfRule>
  </conditionalFormatting>
  <conditionalFormatting sqref="L7">
    <cfRule type="cellIs" dxfId="1208" priority="348" operator="greaterThan">
      <formula>$L$2</formula>
    </cfRule>
  </conditionalFormatting>
  <conditionalFormatting sqref="M7">
    <cfRule type="cellIs" dxfId="1207" priority="347" operator="greaterThan">
      <formula>$M$2</formula>
    </cfRule>
  </conditionalFormatting>
  <conditionalFormatting sqref="N7">
    <cfRule type="cellIs" dxfId="1206" priority="346" operator="greaterThan">
      <formula>$N$2</formula>
    </cfRule>
  </conditionalFormatting>
  <conditionalFormatting sqref="O7">
    <cfRule type="cellIs" dxfId="1205" priority="345" operator="greaterThan">
      <formula>$O$2</formula>
    </cfRule>
  </conditionalFormatting>
  <conditionalFormatting sqref="P7">
    <cfRule type="cellIs" dxfId="1204" priority="344" operator="greaterThan">
      <formula>$P$2</formula>
    </cfRule>
  </conditionalFormatting>
  <conditionalFormatting sqref="Q7">
    <cfRule type="cellIs" dxfId="1203" priority="343" operator="greaterThan">
      <formula>$Q$2</formula>
    </cfRule>
  </conditionalFormatting>
  <conditionalFormatting sqref="R7">
    <cfRule type="cellIs" dxfId="1202" priority="342" operator="greaterThan">
      <formula>$R$2</formula>
    </cfRule>
  </conditionalFormatting>
  <conditionalFormatting sqref="S7">
    <cfRule type="cellIs" dxfId="1201" priority="341" operator="greaterThan">
      <formula>$S$2</formula>
    </cfRule>
  </conditionalFormatting>
  <conditionalFormatting sqref="T7">
    <cfRule type="cellIs" dxfId="1200" priority="340" operator="greaterThan">
      <formula>$T$2</formula>
    </cfRule>
  </conditionalFormatting>
  <conditionalFormatting sqref="AE7">
    <cfRule type="cellIs" dxfId="1199" priority="248" operator="greaterThan">
      <formula>$AE$2</formula>
    </cfRule>
  </conditionalFormatting>
  <conditionalFormatting sqref="B7">
    <cfRule type="cellIs" dxfId="1198" priority="244" operator="equal">
      <formula>TRUE</formula>
    </cfRule>
  </conditionalFormatting>
  <conditionalFormatting sqref="U7">
    <cfRule type="cellIs" dxfId="1197" priority="339" operator="greaterThan">
      <formula>$U$2</formula>
    </cfRule>
  </conditionalFormatting>
  <conditionalFormatting sqref="W7">
    <cfRule type="cellIs" dxfId="1196" priority="337" operator="greaterThan">
      <formula>$W$2</formula>
    </cfRule>
  </conditionalFormatting>
  <conditionalFormatting sqref="AD7">
    <cfRule type="cellIs" dxfId="1195" priority="249" operator="greaterThan">
      <formula>$AD$2</formula>
    </cfRule>
  </conditionalFormatting>
  <conditionalFormatting sqref="AC7">
    <cfRule type="cellIs" dxfId="1194" priority="250" operator="greaterThan">
      <formula>$AC$2</formula>
    </cfRule>
  </conditionalFormatting>
  <conditionalFormatting sqref="AB7">
    <cfRule type="cellIs" dxfId="1193" priority="251" operator="greaterThan">
      <formula>$AB$2</formula>
    </cfRule>
  </conditionalFormatting>
  <conditionalFormatting sqref="AA7">
    <cfRule type="cellIs" dxfId="1192" priority="252" operator="greaterThan">
      <formula>$AA$2</formula>
    </cfRule>
  </conditionalFormatting>
  <conditionalFormatting sqref="Z7">
    <cfRule type="cellIs" dxfId="1191" priority="253" operator="greaterThan">
      <formula>$Z$2</formula>
    </cfRule>
  </conditionalFormatting>
  <conditionalFormatting sqref="Y7">
    <cfRule type="cellIs" dxfId="1190" priority="287" operator="greaterThan">
      <formula>$Y$2</formula>
    </cfRule>
  </conditionalFormatting>
  <conditionalFormatting sqref="X7">
    <cfRule type="cellIs" dxfId="1189" priority="336" operator="greaterThan">
      <formula>$X$2</formula>
    </cfRule>
  </conditionalFormatting>
  <conditionalFormatting sqref="V7">
    <cfRule type="cellIs" dxfId="1188" priority="338" operator="greaterThan">
      <formula>$V$2</formula>
    </cfRule>
  </conditionalFormatting>
  <conditionalFormatting sqref="H7:AE7">
    <cfRule type="cellIs" dxfId="1187" priority="245" operator="equal">
      <formula>"ABS"</formula>
    </cfRule>
    <cfRule type="cellIs" dxfId="1186" priority="246" operator="equal">
      <formula>"EXC"</formula>
    </cfRule>
  </conditionalFormatting>
  <conditionalFormatting sqref="H8">
    <cfRule type="cellIs" dxfId="1185" priority="243" operator="greaterThan">
      <formula>$H$2</formula>
    </cfRule>
  </conditionalFormatting>
  <conditionalFormatting sqref="I8">
    <cfRule type="cellIs" dxfId="1184" priority="242" operator="greaterThan">
      <formula>$I$2</formula>
    </cfRule>
  </conditionalFormatting>
  <conditionalFormatting sqref="J8">
    <cfRule type="cellIs" dxfId="1183" priority="241" operator="greaterThan">
      <formula>$J$2</formula>
    </cfRule>
  </conditionalFormatting>
  <conditionalFormatting sqref="K8">
    <cfRule type="cellIs" dxfId="1182" priority="240" operator="greaterThan">
      <formula>$K$2</formula>
    </cfRule>
  </conditionalFormatting>
  <conditionalFormatting sqref="L8">
    <cfRule type="cellIs" dxfId="1181" priority="239" operator="greaterThan">
      <formula>$L$2</formula>
    </cfRule>
  </conditionalFormatting>
  <conditionalFormatting sqref="M8">
    <cfRule type="cellIs" dxfId="1180" priority="238" operator="greaterThan">
      <formula>$M$2</formula>
    </cfRule>
  </conditionalFormatting>
  <conditionalFormatting sqref="N8">
    <cfRule type="cellIs" dxfId="1179" priority="237" operator="greaterThan">
      <formula>$N$2</formula>
    </cfRule>
  </conditionalFormatting>
  <conditionalFormatting sqref="O8">
    <cfRule type="cellIs" dxfId="1178" priority="236" operator="greaterThan">
      <formula>$O$2</formula>
    </cfRule>
  </conditionalFormatting>
  <conditionalFormatting sqref="P8">
    <cfRule type="cellIs" dxfId="1177" priority="235" operator="greaterThan">
      <formula>$P$2</formula>
    </cfRule>
  </conditionalFormatting>
  <conditionalFormatting sqref="Q8">
    <cfRule type="cellIs" dxfId="1176" priority="234" operator="greaterThan">
      <formula>$Q$2</formula>
    </cfRule>
  </conditionalFormatting>
  <conditionalFormatting sqref="R8">
    <cfRule type="cellIs" dxfId="1175" priority="233" operator="greaterThan">
      <formula>$R$2</formula>
    </cfRule>
  </conditionalFormatting>
  <conditionalFormatting sqref="S8">
    <cfRule type="cellIs" dxfId="1174" priority="232" operator="greaterThan">
      <formula>$S$2</formula>
    </cfRule>
  </conditionalFormatting>
  <conditionalFormatting sqref="T8">
    <cfRule type="cellIs" dxfId="1173" priority="231" operator="greaterThan">
      <formula>$T$2</formula>
    </cfRule>
  </conditionalFormatting>
  <conditionalFormatting sqref="AE8">
    <cfRule type="cellIs" dxfId="1172" priority="220" operator="greaterThan">
      <formula>$AE$2</formula>
    </cfRule>
  </conditionalFormatting>
  <conditionalFormatting sqref="B8">
    <cfRule type="cellIs" dxfId="1171" priority="217" operator="equal">
      <formula>TRUE</formula>
    </cfRule>
  </conditionalFormatting>
  <conditionalFormatting sqref="U8">
    <cfRule type="cellIs" dxfId="1170" priority="230" operator="greaterThan">
      <formula>$U$2</formula>
    </cfRule>
  </conditionalFormatting>
  <conditionalFormatting sqref="W8">
    <cfRule type="cellIs" dxfId="1169" priority="228" operator="greaterThan">
      <formula>$W$2</formula>
    </cfRule>
  </conditionalFormatting>
  <conditionalFormatting sqref="AD8">
    <cfRule type="cellIs" dxfId="1168" priority="221" operator="greaterThan">
      <formula>$AD$2</formula>
    </cfRule>
  </conditionalFormatting>
  <conditionalFormatting sqref="AC8">
    <cfRule type="cellIs" dxfId="1167" priority="222" operator="greaterThan">
      <formula>$AC$2</formula>
    </cfRule>
  </conditionalFormatting>
  <conditionalFormatting sqref="AB8">
    <cfRule type="cellIs" dxfId="1166" priority="223" operator="greaterThan">
      <formula>$AB$2</formula>
    </cfRule>
  </conditionalFormatting>
  <conditionalFormatting sqref="AA8">
    <cfRule type="cellIs" dxfId="1165" priority="224" operator="greaterThan">
      <formula>$AA$2</formula>
    </cfRule>
  </conditionalFormatting>
  <conditionalFormatting sqref="Z8">
    <cfRule type="cellIs" dxfId="1164" priority="225" operator="greaterThan">
      <formula>$Z$2</formula>
    </cfRule>
  </conditionalFormatting>
  <conditionalFormatting sqref="Y8">
    <cfRule type="cellIs" dxfId="1163" priority="226" operator="greaterThan">
      <formula>$Y$2</formula>
    </cfRule>
  </conditionalFormatting>
  <conditionalFormatting sqref="X8">
    <cfRule type="cellIs" dxfId="1162" priority="227" operator="greaterThan">
      <formula>$X$2</formula>
    </cfRule>
  </conditionalFormatting>
  <conditionalFormatting sqref="V8">
    <cfRule type="cellIs" dxfId="1161" priority="229" operator="greaterThan">
      <formula>$V$2</formula>
    </cfRule>
  </conditionalFormatting>
  <conditionalFormatting sqref="H8:AE8">
    <cfRule type="cellIs" dxfId="1160" priority="218" operator="equal">
      <formula>"ABS"</formula>
    </cfRule>
    <cfRule type="cellIs" dxfId="1159" priority="219" operator="equal">
      <formula>"EXC"</formula>
    </cfRule>
  </conditionalFormatting>
  <conditionalFormatting sqref="H9">
    <cfRule type="cellIs" dxfId="1158" priority="216" operator="greaterThan">
      <formula>$H$2</formula>
    </cfRule>
  </conditionalFormatting>
  <conditionalFormatting sqref="I9">
    <cfRule type="cellIs" dxfId="1157" priority="215" operator="greaterThan">
      <formula>$I$2</formula>
    </cfRule>
  </conditionalFormatting>
  <conditionalFormatting sqref="J9">
    <cfRule type="cellIs" dxfId="1156" priority="214" operator="greaterThan">
      <formula>$J$2</formula>
    </cfRule>
  </conditionalFormatting>
  <conditionalFormatting sqref="K9">
    <cfRule type="cellIs" dxfId="1155" priority="213" operator="greaterThan">
      <formula>$K$2</formula>
    </cfRule>
  </conditionalFormatting>
  <conditionalFormatting sqref="L9">
    <cfRule type="cellIs" dxfId="1154" priority="212" operator="greaterThan">
      <formula>$L$2</formula>
    </cfRule>
  </conditionalFormatting>
  <conditionalFormatting sqref="M9">
    <cfRule type="cellIs" dxfId="1153" priority="211" operator="greaterThan">
      <formula>$M$2</formula>
    </cfRule>
  </conditionalFormatting>
  <conditionalFormatting sqref="N9">
    <cfRule type="cellIs" dxfId="1152" priority="210" operator="greaterThan">
      <formula>$N$2</formula>
    </cfRule>
  </conditionalFormatting>
  <conditionalFormatting sqref="O9">
    <cfRule type="cellIs" dxfId="1151" priority="209" operator="greaterThan">
      <formula>$O$2</formula>
    </cfRule>
  </conditionalFormatting>
  <conditionalFormatting sqref="P9">
    <cfRule type="cellIs" dxfId="1150" priority="208" operator="greaterThan">
      <formula>$P$2</formula>
    </cfRule>
  </conditionalFormatting>
  <conditionalFormatting sqref="Q9">
    <cfRule type="cellIs" dxfId="1149" priority="207" operator="greaterThan">
      <formula>$Q$2</formula>
    </cfRule>
  </conditionalFormatting>
  <conditionalFormatting sqref="R9">
    <cfRule type="cellIs" dxfId="1148" priority="206" operator="greaterThan">
      <formula>$R$2</formula>
    </cfRule>
  </conditionalFormatting>
  <conditionalFormatting sqref="S9">
    <cfRule type="cellIs" dxfId="1147" priority="205" operator="greaterThan">
      <formula>$S$2</formula>
    </cfRule>
  </conditionalFormatting>
  <conditionalFormatting sqref="T9">
    <cfRule type="cellIs" dxfId="1146" priority="204" operator="greaterThan">
      <formula>$T$2</formula>
    </cfRule>
  </conditionalFormatting>
  <conditionalFormatting sqref="AE9">
    <cfRule type="cellIs" dxfId="1145" priority="193" operator="greaterThan">
      <formula>$AE$2</formula>
    </cfRule>
  </conditionalFormatting>
  <conditionalFormatting sqref="B9">
    <cfRule type="cellIs" dxfId="1144" priority="190" operator="equal">
      <formula>TRUE</formula>
    </cfRule>
  </conditionalFormatting>
  <conditionalFormatting sqref="U9">
    <cfRule type="cellIs" dxfId="1143" priority="203" operator="greaterThan">
      <formula>$U$2</formula>
    </cfRule>
  </conditionalFormatting>
  <conditionalFormatting sqref="W9">
    <cfRule type="cellIs" dxfId="1142" priority="201" operator="greaterThan">
      <formula>$W$2</formula>
    </cfRule>
  </conditionalFormatting>
  <conditionalFormatting sqref="AD9">
    <cfRule type="cellIs" dxfId="1141" priority="194" operator="greaterThan">
      <formula>$AD$2</formula>
    </cfRule>
  </conditionalFormatting>
  <conditionalFormatting sqref="AC9">
    <cfRule type="cellIs" dxfId="1140" priority="195" operator="greaterThan">
      <formula>$AC$2</formula>
    </cfRule>
  </conditionalFormatting>
  <conditionalFormatting sqref="AB9">
    <cfRule type="cellIs" dxfId="1139" priority="196" operator="greaterThan">
      <formula>$AB$2</formula>
    </cfRule>
  </conditionalFormatting>
  <conditionalFormatting sqref="AA9">
    <cfRule type="cellIs" dxfId="1138" priority="197" operator="greaterThan">
      <formula>$AA$2</formula>
    </cfRule>
  </conditionalFormatting>
  <conditionalFormatting sqref="Z9">
    <cfRule type="cellIs" dxfId="1137" priority="198" operator="greaterThan">
      <formula>$Z$2</formula>
    </cfRule>
  </conditionalFormatting>
  <conditionalFormatting sqref="Y9">
    <cfRule type="cellIs" dxfId="1136" priority="199" operator="greaterThan">
      <formula>$Y$2</formula>
    </cfRule>
  </conditionalFormatting>
  <conditionalFormatting sqref="X9">
    <cfRule type="cellIs" dxfId="1135" priority="200" operator="greaterThan">
      <formula>$X$2</formula>
    </cfRule>
  </conditionalFormatting>
  <conditionalFormatting sqref="V9">
    <cfRule type="cellIs" dxfId="1134" priority="202" operator="greaterThan">
      <formula>$V$2</formula>
    </cfRule>
  </conditionalFormatting>
  <conditionalFormatting sqref="H9:AE9">
    <cfRule type="cellIs" dxfId="1133" priority="191" operator="equal">
      <formula>"ABS"</formula>
    </cfRule>
    <cfRule type="cellIs" dxfId="1132" priority="192" operator="equal">
      <formula>"EXC"</formula>
    </cfRule>
  </conditionalFormatting>
  <conditionalFormatting sqref="H10">
    <cfRule type="cellIs" dxfId="1131" priority="189" operator="greaterThan">
      <formula>$H$2</formula>
    </cfRule>
  </conditionalFormatting>
  <conditionalFormatting sqref="I10">
    <cfRule type="cellIs" dxfId="1130" priority="188" operator="greaterThan">
      <formula>$I$2</formula>
    </cfRule>
  </conditionalFormatting>
  <conditionalFormatting sqref="J10">
    <cfRule type="cellIs" dxfId="1129" priority="187" operator="greaterThan">
      <formula>$J$2</formula>
    </cfRule>
  </conditionalFormatting>
  <conditionalFormatting sqref="K10">
    <cfRule type="cellIs" dxfId="1128" priority="186" operator="greaterThan">
      <formula>$K$2</formula>
    </cfRule>
  </conditionalFormatting>
  <conditionalFormatting sqref="L10">
    <cfRule type="cellIs" dxfId="1127" priority="185" operator="greaterThan">
      <formula>$L$2</formula>
    </cfRule>
  </conditionalFormatting>
  <conditionalFormatting sqref="M10">
    <cfRule type="cellIs" dxfId="1126" priority="184" operator="greaterThan">
      <formula>$M$2</formula>
    </cfRule>
  </conditionalFormatting>
  <conditionalFormatting sqref="N10">
    <cfRule type="cellIs" dxfId="1125" priority="183" operator="greaterThan">
      <formula>$N$2</formula>
    </cfRule>
  </conditionalFormatting>
  <conditionalFormatting sqref="O10">
    <cfRule type="cellIs" dxfId="1124" priority="182" operator="greaterThan">
      <formula>$O$2</formula>
    </cfRule>
  </conditionalFormatting>
  <conditionalFormatting sqref="P10">
    <cfRule type="cellIs" dxfId="1123" priority="181" operator="greaterThan">
      <formula>$P$2</formula>
    </cfRule>
  </conditionalFormatting>
  <conditionalFormatting sqref="Q10">
    <cfRule type="cellIs" dxfId="1122" priority="180" operator="greaterThan">
      <formula>$Q$2</formula>
    </cfRule>
  </conditionalFormatting>
  <conditionalFormatting sqref="R10">
    <cfRule type="cellIs" dxfId="1121" priority="179" operator="greaterThan">
      <formula>$R$2</formula>
    </cfRule>
  </conditionalFormatting>
  <conditionalFormatting sqref="S10">
    <cfRule type="cellIs" dxfId="1120" priority="178" operator="greaterThan">
      <formula>$S$2</formula>
    </cfRule>
  </conditionalFormatting>
  <conditionalFormatting sqref="T10">
    <cfRule type="cellIs" dxfId="1119" priority="177" operator="greaterThan">
      <formula>$T$2</formula>
    </cfRule>
  </conditionalFormatting>
  <conditionalFormatting sqref="AE10">
    <cfRule type="cellIs" dxfId="1118" priority="166" operator="greaterThan">
      <formula>$AE$2</formula>
    </cfRule>
  </conditionalFormatting>
  <conditionalFormatting sqref="B10">
    <cfRule type="cellIs" dxfId="1117" priority="163" operator="equal">
      <formula>TRUE</formula>
    </cfRule>
  </conditionalFormatting>
  <conditionalFormatting sqref="U10">
    <cfRule type="cellIs" dxfId="1116" priority="176" operator="greaterThan">
      <formula>$U$2</formula>
    </cfRule>
  </conditionalFormatting>
  <conditionalFormatting sqref="W10">
    <cfRule type="cellIs" dxfId="1115" priority="174" operator="greaterThan">
      <formula>$W$2</formula>
    </cfRule>
  </conditionalFormatting>
  <conditionalFormatting sqref="AD10">
    <cfRule type="cellIs" dxfId="1114" priority="167" operator="greaterThan">
      <formula>$AD$2</formula>
    </cfRule>
  </conditionalFormatting>
  <conditionalFormatting sqref="AC10">
    <cfRule type="cellIs" dxfId="1113" priority="168" operator="greaterThan">
      <formula>$AC$2</formula>
    </cfRule>
  </conditionalFormatting>
  <conditionalFormatting sqref="AB10">
    <cfRule type="cellIs" dxfId="1112" priority="169" operator="greaterThan">
      <formula>$AB$2</formula>
    </cfRule>
  </conditionalFormatting>
  <conditionalFormatting sqref="AA10">
    <cfRule type="cellIs" dxfId="1111" priority="170" operator="greaterThan">
      <formula>$AA$2</formula>
    </cfRule>
  </conditionalFormatting>
  <conditionalFormatting sqref="Z10">
    <cfRule type="cellIs" dxfId="1110" priority="171" operator="greaterThan">
      <formula>$Z$2</formula>
    </cfRule>
  </conditionalFormatting>
  <conditionalFormatting sqref="Y10">
    <cfRule type="cellIs" dxfId="1109" priority="172" operator="greaterThan">
      <formula>$Y$2</formula>
    </cfRule>
  </conditionalFormatting>
  <conditionalFormatting sqref="X10">
    <cfRule type="cellIs" dxfId="1108" priority="173" operator="greaterThan">
      <formula>$X$2</formula>
    </cfRule>
  </conditionalFormatting>
  <conditionalFormatting sqref="V10">
    <cfRule type="cellIs" dxfId="1107" priority="175" operator="greaterThan">
      <formula>$V$2</formula>
    </cfRule>
  </conditionalFormatting>
  <conditionalFormatting sqref="H10:AE10">
    <cfRule type="cellIs" dxfId="1106" priority="164" operator="equal">
      <formula>"ABS"</formula>
    </cfRule>
    <cfRule type="cellIs" dxfId="1105" priority="165" operator="equal">
      <formula>"EXC"</formula>
    </cfRule>
  </conditionalFormatting>
  <conditionalFormatting sqref="H11">
    <cfRule type="cellIs" dxfId="1104" priority="162" operator="greaterThan">
      <formula>$H$2</formula>
    </cfRule>
  </conditionalFormatting>
  <conditionalFormatting sqref="I11">
    <cfRule type="cellIs" dxfId="1103" priority="161" operator="greaterThan">
      <formula>$I$2</formula>
    </cfRule>
  </conditionalFormatting>
  <conditionalFormatting sqref="J11">
    <cfRule type="cellIs" dxfId="1102" priority="160" operator="greaterThan">
      <formula>$J$2</formula>
    </cfRule>
  </conditionalFormatting>
  <conditionalFormatting sqref="K11">
    <cfRule type="cellIs" dxfId="1101" priority="159" operator="greaterThan">
      <formula>$K$2</formula>
    </cfRule>
  </conditionalFormatting>
  <conditionalFormatting sqref="L11">
    <cfRule type="cellIs" dxfId="1100" priority="158" operator="greaterThan">
      <formula>$L$2</formula>
    </cfRule>
  </conditionalFormatting>
  <conditionalFormatting sqref="M11">
    <cfRule type="cellIs" dxfId="1099" priority="157" operator="greaterThan">
      <formula>$M$2</formula>
    </cfRule>
  </conditionalFormatting>
  <conditionalFormatting sqref="N11">
    <cfRule type="cellIs" dxfId="1098" priority="156" operator="greaterThan">
      <formula>$N$2</formula>
    </cfRule>
  </conditionalFormatting>
  <conditionalFormatting sqref="O11">
    <cfRule type="cellIs" dxfId="1097" priority="155" operator="greaterThan">
      <formula>$O$2</formula>
    </cfRule>
  </conditionalFormatting>
  <conditionalFormatting sqref="P11">
    <cfRule type="cellIs" dxfId="1096" priority="154" operator="greaterThan">
      <formula>$P$2</formula>
    </cfRule>
  </conditionalFormatting>
  <conditionalFormatting sqref="Q11">
    <cfRule type="cellIs" dxfId="1095" priority="153" operator="greaterThan">
      <formula>$Q$2</formula>
    </cfRule>
  </conditionalFormatting>
  <conditionalFormatting sqref="R11">
    <cfRule type="cellIs" dxfId="1094" priority="152" operator="greaterThan">
      <formula>$R$2</formula>
    </cfRule>
  </conditionalFormatting>
  <conditionalFormatting sqref="S11">
    <cfRule type="cellIs" dxfId="1093" priority="151" operator="greaterThan">
      <formula>$S$2</formula>
    </cfRule>
  </conditionalFormatting>
  <conditionalFormatting sqref="T11">
    <cfRule type="cellIs" dxfId="1092" priority="150" operator="greaterThan">
      <formula>$T$2</formula>
    </cfRule>
  </conditionalFormatting>
  <conditionalFormatting sqref="AE11">
    <cfRule type="cellIs" dxfId="1091" priority="139" operator="greaterThan">
      <formula>$AE$2</formula>
    </cfRule>
  </conditionalFormatting>
  <conditionalFormatting sqref="B11">
    <cfRule type="cellIs" dxfId="1090" priority="136" operator="equal">
      <formula>TRUE</formula>
    </cfRule>
  </conditionalFormatting>
  <conditionalFormatting sqref="U11">
    <cfRule type="cellIs" dxfId="1089" priority="149" operator="greaterThan">
      <formula>$U$2</formula>
    </cfRule>
  </conditionalFormatting>
  <conditionalFormatting sqref="W11">
    <cfRule type="cellIs" dxfId="1088" priority="147" operator="greaterThan">
      <formula>$W$2</formula>
    </cfRule>
  </conditionalFormatting>
  <conditionalFormatting sqref="AD11">
    <cfRule type="cellIs" dxfId="1087" priority="140" operator="greaterThan">
      <formula>$AD$2</formula>
    </cfRule>
  </conditionalFormatting>
  <conditionalFormatting sqref="AC11">
    <cfRule type="cellIs" dxfId="1086" priority="141" operator="greaterThan">
      <formula>$AC$2</formula>
    </cfRule>
  </conditionalFormatting>
  <conditionalFormatting sqref="AB11">
    <cfRule type="cellIs" dxfId="1085" priority="142" operator="greaterThan">
      <formula>$AB$2</formula>
    </cfRule>
  </conditionalFormatting>
  <conditionalFormatting sqref="AA11">
    <cfRule type="cellIs" dxfId="1084" priority="143" operator="greaterThan">
      <formula>$AA$2</formula>
    </cfRule>
  </conditionalFormatting>
  <conditionalFormatting sqref="Z11">
    <cfRule type="cellIs" dxfId="1083" priority="144" operator="greaterThan">
      <formula>$Z$2</formula>
    </cfRule>
  </conditionalFormatting>
  <conditionalFormatting sqref="Y11">
    <cfRule type="cellIs" dxfId="1082" priority="145" operator="greaterThan">
      <formula>$Y$2</formula>
    </cfRule>
  </conditionalFormatting>
  <conditionalFormatting sqref="X11">
    <cfRule type="cellIs" dxfId="1081" priority="146" operator="greaterThan">
      <formula>$X$2</formula>
    </cfRule>
  </conditionalFormatting>
  <conditionalFormatting sqref="V11">
    <cfRule type="cellIs" dxfId="1080" priority="148" operator="greaterThan">
      <formula>$V$2</formula>
    </cfRule>
  </conditionalFormatting>
  <conditionalFormatting sqref="H11:AE11">
    <cfRule type="cellIs" dxfId="1079" priority="137" operator="equal">
      <formula>"ABS"</formula>
    </cfRule>
    <cfRule type="cellIs" dxfId="1078" priority="138" operator="equal">
      <formula>"EXC"</formula>
    </cfRule>
  </conditionalFormatting>
  <conditionalFormatting sqref="H12">
    <cfRule type="cellIs" dxfId="1077" priority="135" operator="greaterThan">
      <formula>$H$2</formula>
    </cfRule>
  </conditionalFormatting>
  <conditionalFormatting sqref="I12">
    <cfRule type="cellIs" dxfId="1076" priority="134" operator="greaterThan">
      <formula>$I$2</formula>
    </cfRule>
  </conditionalFormatting>
  <conditionalFormatting sqref="J12">
    <cfRule type="cellIs" dxfId="1075" priority="133" operator="greaterThan">
      <formula>$J$2</formula>
    </cfRule>
  </conditionalFormatting>
  <conditionalFormatting sqref="K12">
    <cfRule type="cellIs" dxfId="1074" priority="132" operator="greaterThan">
      <formula>$K$2</formula>
    </cfRule>
  </conditionalFormatting>
  <conditionalFormatting sqref="L12">
    <cfRule type="cellIs" dxfId="1073" priority="131" operator="greaterThan">
      <formula>$L$2</formula>
    </cfRule>
  </conditionalFormatting>
  <conditionalFormatting sqref="M12">
    <cfRule type="cellIs" dxfId="1072" priority="130" operator="greaterThan">
      <formula>$M$2</formula>
    </cfRule>
  </conditionalFormatting>
  <conditionalFormatting sqref="N12">
    <cfRule type="cellIs" dxfId="1071" priority="129" operator="greaterThan">
      <formula>$N$2</formula>
    </cfRule>
  </conditionalFormatting>
  <conditionalFormatting sqref="O12">
    <cfRule type="cellIs" dxfId="1070" priority="128" operator="greaterThan">
      <formula>$O$2</formula>
    </cfRule>
  </conditionalFormatting>
  <conditionalFormatting sqref="P12">
    <cfRule type="cellIs" dxfId="1069" priority="127" operator="greaterThan">
      <formula>$P$2</formula>
    </cfRule>
  </conditionalFormatting>
  <conditionalFormatting sqref="Q12">
    <cfRule type="cellIs" dxfId="1068" priority="126" operator="greaterThan">
      <formula>$Q$2</formula>
    </cfRule>
  </conditionalFormatting>
  <conditionalFormatting sqref="R12">
    <cfRule type="cellIs" dxfId="1067" priority="125" operator="greaterThan">
      <formula>$R$2</formula>
    </cfRule>
  </conditionalFormatting>
  <conditionalFormatting sqref="S12">
    <cfRule type="cellIs" dxfId="1066" priority="124" operator="greaterThan">
      <formula>$S$2</formula>
    </cfRule>
  </conditionalFormatting>
  <conditionalFormatting sqref="T12">
    <cfRule type="cellIs" dxfId="1065" priority="123" operator="greaterThan">
      <formula>$T$2</formula>
    </cfRule>
  </conditionalFormatting>
  <conditionalFormatting sqref="AE12">
    <cfRule type="cellIs" dxfId="1064" priority="112" operator="greaterThan">
      <formula>$AE$2</formula>
    </cfRule>
  </conditionalFormatting>
  <conditionalFormatting sqref="B12">
    <cfRule type="cellIs" dxfId="1063" priority="109" operator="equal">
      <formula>TRUE</formula>
    </cfRule>
  </conditionalFormatting>
  <conditionalFormatting sqref="U12">
    <cfRule type="cellIs" dxfId="1062" priority="122" operator="greaterThan">
      <formula>$U$2</formula>
    </cfRule>
  </conditionalFormatting>
  <conditionalFormatting sqref="W12">
    <cfRule type="cellIs" dxfId="1061" priority="120" operator="greaterThan">
      <formula>$W$2</formula>
    </cfRule>
  </conditionalFormatting>
  <conditionalFormatting sqref="AD12">
    <cfRule type="cellIs" dxfId="1060" priority="113" operator="greaterThan">
      <formula>$AD$2</formula>
    </cfRule>
  </conditionalFormatting>
  <conditionalFormatting sqref="AC12">
    <cfRule type="cellIs" dxfId="1059" priority="114" operator="greaterThan">
      <formula>$AC$2</formula>
    </cfRule>
  </conditionalFormatting>
  <conditionalFormatting sqref="AB12">
    <cfRule type="cellIs" dxfId="1058" priority="115" operator="greaterThan">
      <formula>$AB$2</formula>
    </cfRule>
  </conditionalFormatting>
  <conditionalFormatting sqref="AA12">
    <cfRule type="cellIs" dxfId="1057" priority="116" operator="greaterThan">
      <formula>$AA$2</formula>
    </cfRule>
  </conditionalFormatting>
  <conditionalFormatting sqref="Z12">
    <cfRule type="cellIs" dxfId="1056" priority="117" operator="greaterThan">
      <formula>$Z$2</formula>
    </cfRule>
  </conditionalFormatting>
  <conditionalFormatting sqref="Y12">
    <cfRule type="cellIs" dxfId="1055" priority="118" operator="greaterThan">
      <formula>$Y$2</formula>
    </cfRule>
  </conditionalFormatting>
  <conditionalFormatting sqref="X12">
    <cfRule type="cellIs" dxfId="1054" priority="119" operator="greaterThan">
      <formula>$X$2</formula>
    </cfRule>
  </conditionalFormatting>
  <conditionalFormatting sqref="V12">
    <cfRule type="cellIs" dxfId="1053" priority="121" operator="greaterThan">
      <formula>$V$2</formula>
    </cfRule>
  </conditionalFormatting>
  <conditionalFormatting sqref="H12:AE12">
    <cfRule type="cellIs" dxfId="1052" priority="110" operator="equal">
      <formula>"ABS"</formula>
    </cfRule>
    <cfRule type="cellIs" dxfId="1051" priority="111" operator="equal">
      <formula>"EXC"</formula>
    </cfRule>
  </conditionalFormatting>
  <conditionalFormatting sqref="H13">
    <cfRule type="cellIs" dxfId="1050" priority="108" operator="greaterThan">
      <formula>$H$2</formula>
    </cfRule>
  </conditionalFormatting>
  <conditionalFormatting sqref="I13">
    <cfRule type="cellIs" dxfId="1049" priority="107" operator="greaterThan">
      <formula>$I$2</formula>
    </cfRule>
  </conditionalFormatting>
  <conditionalFormatting sqref="J13">
    <cfRule type="cellIs" dxfId="1048" priority="106" operator="greaterThan">
      <formula>$J$2</formula>
    </cfRule>
  </conditionalFormatting>
  <conditionalFormatting sqref="K13">
    <cfRule type="cellIs" dxfId="1047" priority="105" operator="greaterThan">
      <formula>$K$2</formula>
    </cfRule>
  </conditionalFormatting>
  <conditionalFormatting sqref="L13">
    <cfRule type="cellIs" dxfId="1046" priority="104" operator="greaterThan">
      <formula>$L$2</formula>
    </cfRule>
  </conditionalFormatting>
  <conditionalFormatting sqref="M13">
    <cfRule type="cellIs" dxfId="1045" priority="103" operator="greaterThan">
      <formula>$M$2</formula>
    </cfRule>
  </conditionalFormatting>
  <conditionalFormatting sqref="N13">
    <cfRule type="cellIs" dxfId="1044" priority="102" operator="greaterThan">
      <formula>$N$2</formula>
    </cfRule>
  </conditionalFormatting>
  <conditionalFormatting sqref="O13">
    <cfRule type="cellIs" dxfId="1043" priority="101" operator="greaterThan">
      <formula>$O$2</formula>
    </cfRule>
  </conditionalFormatting>
  <conditionalFormatting sqref="P13">
    <cfRule type="cellIs" dxfId="1042" priority="100" operator="greaterThan">
      <formula>$P$2</formula>
    </cfRule>
  </conditionalFormatting>
  <conditionalFormatting sqref="Q13">
    <cfRule type="cellIs" dxfId="1041" priority="99" operator="greaterThan">
      <formula>$Q$2</formula>
    </cfRule>
  </conditionalFormatting>
  <conditionalFormatting sqref="R13">
    <cfRule type="cellIs" dxfId="1040" priority="98" operator="greaterThan">
      <formula>$R$2</formula>
    </cfRule>
  </conditionalFormatting>
  <conditionalFormatting sqref="S13">
    <cfRule type="cellIs" dxfId="1039" priority="97" operator="greaterThan">
      <formula>$S$2</formula>
    </cfRule>
  </conditionalFormatting>
  <conditionalFormatting sqref="T13">
    <cfRule type="cellIs" dxfId="1038" priority="96" operator="greaterThan">
      <formula>$T$2</formula>
    </cfRule>
  </conditionalFormatting>
  <conditionalFormatting sqref="AE13">
    <cfRule type="cellIs" dxfId="1037" priority="85" operator="greaterThan">
      <formula>$AE$2</formula>
    </cfRule>
  </conditionalFormatting>
  <conditionalFormatting sqref="B13">
    <cfRule type="cellIs" dxfId="1036" priority="82" operator="equal">
      <formula>TRUE</formula>
    </cfRule>
  </conditionalFormatting>
  <conditionalFormatting sqref="U13">
    <cfRule type="cellIs" dxfId="1035" priority="95" operator="greaterThan">
      <formula>$U$2</formula>
    </cfRule>
  </conditionalFormatting>
  <conditionalFormatting sqref="W13">
    <cfRule type="cellIs" dxfId="1034" priority="93" operator="greaterThan">
      <formula>$W$2</formula>
    </cfRule>
  </conditionalFormatting>
  <conditionalFormatting sqref="AD13">
    <cfRule type="cellIs" dxfId="1033" priority="86" operator="greaterThan">
      <formula>$AD$2</formula>
    </cfRule>
  </conditionalFormatting>
  <conditionalFormatting sqref="AC13">
    <cfRule type="cellIs" dxfId="1032" priority="87" operator="greaterThan">
      <formula>$AC$2</formula>
    </cfRule>
  </conditionalFormatting>
  <conditionalFormatting sqref="AB13">
    <cfRule type="cellIs" dxfId="1031" priority="88" operator="greaterThan">
      <formula>$AB$2</formula>
    </cfRule>
  </conditionalFormatting>
  <conditionalFormatting sqref="AA13">
    <cfRule type="cellIs" dxfId="1030" priority="89" operator="greaterThan">
      <formula>$AA$2</formula>
    </cfRule>
  </conditionalFormatting>
  <conditionalFormatting sqref="Z13">
    <cfRule type="cellIs" dxfId="1029" priority="90" operator="greaterThan">
      <formula>$Z$2</formula>
    </cfRule>
  </conditionalFormatting>
  <conditionalFormatting sqref="Y13">
    <cfRule type="cellIs" dxfId="1028" priority="91" operator="greaterThan">
      <formula>$Y$2</formula>
    </cfRule>
  </conditionalFormatting>
  <conditionalFormatting sqref="X13">
    <cfRule type="cellIs" dxfId="1027" priority="92" operator="greaterThan">
      <formula>$X$2</formula>
    </cfRule>
  </conditionalFormatting>
  <conditionalFormatting sqref="V13">
    <cfRule type="cellIs" dxfId="1026" priority="94" operator="greaterThan">
      <formula>$V$2</formula>
    </cfRule>
  </conditionalFormatting>
  <conditionalFormatting sqref="H13:AE13">
    <cfRule type="cellIs" dxfId="1025" priority="83" operator="equal">
      <formula>"ABS"</formula>
    </cfRule>
    <cfRule type="cellIs" dxfId="1024" priority="84" operator="equal">
      <formula>"EXC"</formula>
    </cfRule>
  </conditionalFormatting>
  <conditionalFormatting sqref="H14">
    <cfRule type="cellIs" dxfId="1023" priority="81" operator="greaterThan">
      <formula>$H$2</formula>
    </cfRule>
  </conditionalFormatting>
  <conditionalFormatting sqref="I14">
    <cfRule type="cellIs" dxfId="1022" priority="80" operator="greaterThan">
      <formula>$I$2</formula>
    </cfRule>
  </conditionalFormatting>
  <conditionalFormatting sqref="J14">
    <cfRule type="cellIs" dxfId="1021" priority="79" operator="greaterThan">
      <formula>$J$2</formula>
    </cfRule>
  </conditionalFormatting>
  <conditionalFormatting sqref="K14">
    <cfRule type="cellIs" dxfId="1020" priority="78" operator="greaterThan">
      <formula>$K$2</formula>
    </cfRule>
  </conditionalFormatting>
  <conditionalFormatting sqref="L14">
    <cfRule type="cellIs" dxfId="1019" priority="77" operator="greaterThan">
      <formula>$L$2</formula>
    </cfRule>
  </conditionalFormatting>
  <conditionalFormatting sqref="M14">
    <cfRule type="cellIs" dxfId="1018" priority="76" operator="greaterThan">
      <formula>$M$2</formula>
    </cfRule>
  </conditionalFormatting>
  <conditionalFormatting sqref="N14">
    <cfRule type="cellIs" dxfId="1017" priority="75" operator="greaterThan">
      <formula>$N$2</formula>
    </cfRule>
  </conditionalFormatting>
  <conditionalFormatting sqref="O14">
    <cfRule type="cellIs" dxfId="1016" priority="74" operator="greaterThan">
      <formula>$O$2</formula>
    </cfRule>
  </conditionalFormatting>
  <conditionalFormatting sqref="P14">
    <cfRule type="cellIs" dxfId="1015" priority="73" operator="greaterThan">
      <formula>$P$2</formula>
    </cfRule>
  </conditionalFormatting>
  <conditionalFormatting sqref="Q14">
    <cfRule type="cellIs" dxfId="1014" priority="72" operator="greaterThan">
      <formula>$Q$2</formula>
    </cfRule>
  </conditionalFormatting>
  <conditionalFormatting sqref="R14">
    <cfRule type="cellIs" dxfId="1013" priority="71" operator="greaterThan">
      <formula>$R$2</formula>
    </cfRule>
  </conditionalFormatting>
  <conditionalFormatting sqref="S14">
    <cfRule type="cellIs" dxfId="1012" priority="70" operator="greaterThan">
      <formula>$S$2</formula>
    </cfRule>
  </conditionalFormatting>
  <conditionalFormatting sqref="T14">
    <cfRule type="cellIs" dxfId="1011" priority="69" operator="greaterThan">
      <formula>$T$2</formula>
    </cfRule>
  </conditionalFormatting>
  <conditionalFormatting sqref="AE14">
    <cfRule type="cellIs" dxfId="1010" priority="58" operator="greaterThan">
      <formula>$AE$2</formula>
    </cfRule>
  </conditionalFormatting>
  <conditionalFormatting sqref="B14">
    <cfRule type="cellIs" dxfId="1009" priority="55" operator="equal">
      <formula>TRUE</formula>
    </cfRule>
  </conditionalFormatting>
  <conditionalFormatting sqref="U14">
    <cfRule type="cellIs" dxfId="1008" priority="68" operator="greaterThan">
      <formula>$U$2</formula>
    </cfRule>
  </conditionalFormatting>
  <conditionalFormatting sqref="W14">
    <cfRule type="cellIs" dxfId="1007" priority="66" operator="greaterThan">
      <formula>$W$2</formula>
    </cfRule>
  </conditionalFormatting>
  <conditionalFormatting sqref="AD14">
    <cfRule type="cellIs" dxfId="1006" priority="59" operator="greaterThan">
      <formula>$AD$2</formula>
    </cfRule>
  </conditionalFormatting>
  <conditionalFormatting sqref="AC14">
    <cfRule type="cellIs" dxfId="1005" priority="60" operator="greaterThan">
      <formula>$AC$2</formula>
    </cfRule>
  </conditionalFormatting>
  <conditionalFormatting sqref="AB14">
    <cfRule type="cellIs" dxfId="1004" priority="61" operator="greaterThan">
      <formula>$AB$2</formula>
    </cfRule>
  </conditionalFormatting>
  <conditionalFormatting sqref="AA14">
    <cfRule type="cellIs" dxfId="1003" priority="62" operator="greaterThan">
      <formula>$AA$2</formula>
    </cfRule>
  </conditionalFormatting>
  <conditionalFormatting sqref="Z14">
    <cfRule type="cellIs" dxfId="1002" priority="63" operator="greaterThan">
      <formula>$Z$2</formula>
    </cfRule>
  </conditionalFormatting>
  <conditionalFormatting sqref="Y14">
    <cfRule type="cellIs" dxfId="1001" priority="64" operator="greaterThan">
      <formula>$Y$2</formula>
    </cfRule>
  </conditionalFormatting>
  <conditionalFormatting sqref="X14">
    <cfRule type="cellIs" dxfId="1000" priority="65" operator="greaterThan">
      <formula>$X$2</formula>
    </cfRule>
  </conditionalFormatting>
  <conditionalFormatting sqref="V14">
    <cfRule type="cellIs" dxfId="999" priority="67" operator="greaterThan">
      <formula>$V$2</formula>
    </cfRule>
  </conditionalFormatting>
  <conditionalFormatting sqref="H14:AE14">
    <cfRule type="cellIs" dxfId="998" priority="56" operator="equal">
      <formula>"ABS"</formula>
    </cfRule>
    <cfRule type="cellIs" dxfId="997" priority="57" operator="equal">
      <formula>"EXC"</formula>
    </cfRule>
  </conditionalFormatting>
  <conditionalFormatting sqref="H15">
    <cfRule type="cellIs" dxfId="996" priority="54" operator="greaterThan">
      <formula>$H$2</formula>
    </cfRule>
  </conditionalFormatting>
  <conditionalFormatting sqref="I15">
    <cfRule type="cellIs" dxfId="995" priority="53" operator="greaterThan">
      <formula>$I$2</formula>
    </cfRule>
  </conditionalFormatting>
  <conditionalFormatting sqref="J15">
    <cfRule type="cellIs" dxfId="994" priority="52" operator="greaterThan">
      <formula>$J$2</formula>
    </cfRule>
  </conditionalFormatting>
  <conditionalFormatting sqref="K15">
    <cfRule type="cellIs" dxfId="993" priority="51" operator="greaterThan">
      <formula>$K$2</formula>
    </cfRule>
  </conditionalFormatting>
  <conditionalFormatting sqref="L15">
    <cfRule type="cellIs" dxfId="992" priority="50" operator="greaterThan">
      <formula>$L$2</formula>
    </cfRule>
  </conditionalFormatting>
  <conditionalFormatting sqref="M15">
    <cfRule type="cellIs" dxfId="991" priority="49" operator="greaterThan">
      <formula>$M$2</formula>
    </cfRule>
  </conditionalFormatting>
  <conditionalFormatting sqref="N15">
    <cfRule type="cellIs" dxfId="990" priority="48" operator="greaterThan">
      <formula>$N$2</formula>
    </cfRule>
  </conditionalFormatting>
  <conditionalFormatting sqref="O15">
    <cfRule type="cellIs" dxfId="989" priority="47" operator="greaterThan">
      <formula>$O$2</formula>
    </cfRule>
  </conditionalFormatting>
  <conditionalFormatting sqref="P15">
    <cfRule type="cellIs" dxfId="988" priority="46" operator="greaterThan">
      <formula>$P$2</formula>
    </cfRule>
  </conditionalFormatting>
  <conditionalFormatting sqref="Q15">
    <cfRule type="cellIs" dxfId="987" priority="45" operator="greaterThan">
      <formula>$Q$2</formula>
    </cfRule>
  </conditionalFormatting>
  <conditionalFormatting sqref="R15">
    <cfRule type="cellIs" dxfId="986" priority="44" operator="greaterThan">
      <formula>$R$2</formula>
    </cfRule>
  </conditionalFormatting>
  <conditionalFormatting sqref="S15">
    <cfRule type="cellIs" dxfId="985" priority="43" operator="greaterThan">
      <formula>$S$2</formula>
    </cfRule>
  </conditionalFormatting>
  <conditionalFormatting sqref="T15">
    <cfRule type="cellIs" dxfId="984" priority="42" operator="greaterThan">
      <formula>$T$2</formula>
    </cfRule>
  </conditionalFormatting>
  <conditionalFormatting sqref="AE15">
    <cfRule type="cellIs" dxfId="983" priority="31" operator="greaterThan">
      <formula>$AE$2</formula>
    </cfRule>
  </conditionalFormatting>
  <conditionalFormatting sqref="B15">
    <cfRule type="cellIs" dxfId="982" priority="28" operator="equal">
      <formula>TRUE</formula>
    </cfRule>
  </conditionalFormatting>
  <conditionalFormatting sqref="U15">
    <cfRule type="cellIs" dxfId="981" priority="41" operator="greaterThan">
      <formula>$U$2</formula>
    </cfRule>
  </conditionalFormatting>
  <conditionalFormatting sqref="W15">
    <cfRule type="cellIs" dxfId="980" priority="39" operator="greaterThan">
      <formula>$W$2</formula>
    </cfRule>
  </conditionalFormatting>
  <conditionalFormatting sqref="AD15">
    <cfRule type="cellIs" dxfId="979" priority="32" operator="greaterThan">
      <formula>$AD$2</formula>
    </cfRule>
  </conditionalFormatting>
  <conditionalFormatting sqref="AC15">
    <cfRule type="cellIs" dxfId="978" priority="33" operator="greaterThan">
      <formula>$AC$2</formula>
    </cfRule>
  </conditionalFormatting>
  <conditionalFormatting sqref="AB15">
    <cfRule type="cellIs" dxfId="977" priority="34" operator="greaterThan">
      <formula>$AB$2</formula>
    </cfRule>
  </conditionalFormatting>
  <conditionalFormatting sqref="AA15">
    <cfRule type="cellIs" dxfId="976" priority="35" operator="greaterThan">
      <formula>$AA$2</formula>
    </cfRule>
  </conditionalFormatting>
  <conditionalFormatting sqref="Z15">
    <cfRule type="cellIs" dxfId="975" priority="36" operator="greaterThan">
      <formula>$Z$2</formula>
    </cfRule>
  </conditionalFormatting>
  <conditionalFormatting sqref="Y15">
    <cfRule type="cellIs" dxfId="974" priority="37" operator="greaterThan">
      <formula>$Y$2</formula>
    </cfRule>
  </conditionalFormatting>
  <conditionalFormatting sqref="X15">
    <cfRule type="cellIs" dxfId="973" priority="38" operator="greaterThan">
      <formula>$X$2</formula>
    </cfRule>
  </conditionalFormatting>
  <conditionalFormatting sqref="V15">
    <cfRule type="cellIs" dxfId="972" priority="40" operator="greaterThan">
      <formula>$V$2</formula>
    </cfRule>
  </conditionalFormatting>
  <conditionalFormatting sqref="H15:AE15">
    <cfRule type="cellIs" dxfId="971" priority="29" operator="equal">
      <formula>"ABS"</formula>
    </cfRule>
    <cfRule type="cellIs" dxfId="970" priority="30" operator="equal">
      <formula>"EXC"</formula>
    </cfRule>
  </conditionalFormatting>
  <conditionalFormatting sqref="H16">
    <cfRule type="cellIs" dxfId="969" priority="27" operator="greaterThan">
      <formula>$H$2</formula>
    </cfRule>
  </conditionalFormatting>
  <conditionalFormatting sqref="I16">
    <cfRule type="cellIs" dxfId="968" priority="26" operator="greaterThan">
      <formula>$I$2</formula>
    </cfRule>
  </conditionalFormatting>
  <conditionalFormatting sqref="J16">
    <cfRule type="cellIs" dxfId="967" priority="25" operator="greaterThan">
      <formula>$J$2</formula>
    </cfRule>
  </conditionalFormatting>
  <conditionalFormatting sqref="K16">
    <cfRule type="cellIs" dxfId="966" priority="24" operator="greaterThan">
      <formula>$K$2</formula>
    </cfRule>
  </conditionalFormatting>
  <conditionalFormatting sqref="L16">
    <cfRule type="cellIs" dxfId="965" priority="23" operator="greaterThan">
      <formula>$L$2</formula>
    </cfRule>
  </conditionalFormatting>
  <conditionalFormatting sqref="M16">
    <cfRule type="cellIs" dxfId="964" priority="22" operator="greaterThan">
      <formula>$M$2</formula>
    </cfRule>
  </conditionalFormatting>
  <conditionalFormatting sqref="N16">
    <cfRule type="cellIs" dxfId="963" priority="21" operator="greaterThan">
      <formula>$N$2</formula>
    </cfRule>
  </conditionalFormatting>
  <conditionalFormatting sqref="O16">
    <cfRule type="cellIs" dxfId="962" priority="20" operator="greaterThan">
      <formula>$O$2</formula>
    </cfRule>
  </conditionalFormatting>
  <conditionalFormatting sqref="P16">
    <cfRule type="cellIs" dxfId="961" priority="19" operator="greaterThan">
      <formula>$P$2</formula>
    </cfRule>
  </conditionalFormatting>
  <conditionalFormatting sqref="Q16">
    <cfRule type="cellIs" dxfId="960" priority="18" operator="greaterThan">
      <formula>$Q$2</formula>
    </cfRule>
  </conditionalFormatting>
  <conditionalFormatting sqref="R16">
    <cfRule type="cellIs" dxfId="959" priority="17" operator="greaterThan">
      <formula>$R$2</formula>
    </cfRule>
  </conditionalFormatting>
  <conditionalFormatting sqref="S16">
    <cfRule type="cellIs" dxfId="958" priority="16" operator="greaterThan">
      <formula>$S$2</formula>
    </cfRule>
  </conditionalFormatting>
  <conditionalFormatting sqref="T16">
    <cfRule type="cellIs" dxfId="957" priority="15" operator="greaterThan">
      <formula>$T$2</formula>
    </cfRule>
  </conditionalFormatting>
  <conditionalFormatting sqref="AE16">
    <cfRule type="cellIs" dxfId="956" priority="4" operator="greaterThan">
      <formula>$AE$2</formula>
    </cfRule>
  </conditionalFormatting>
  <conditionalFormatting sqref="B16">
    <cfRule type="cellIs" dxfId="955" priority="1" operator="equal">
      <formula>TRUE</formula>
    </cfRule>
  </conditionalFormatting>
  <conditionalFormatting sqref="U16">
    <cfRule type="cellIs" dxfId="954" priority="14" operator="greaterThan">
      <formula>$U$2</formula>
    </cfRule>
  </conditionalFormatting>
  <conditionalFormatting sqref="W16">
    <cfRule type="cellIs" dxfId="953" priority="12" operator="greaterThan">
      <formula>$W$2</formula>
    </cfRule>
  </conditionalFormatting>
  <conditionalFormatting sqref="AD16">
    <cfRule type="cellIs" dxfId="952" priority="5" operator="greaterThan">
      <formula>$AD$2</formula>
    </cfRule>
  </conditionalFormatting>
  <conditionalFormatting sqref="AC16">
    <cfRule type="cellIs" dxfId="951" priority="6" operator="greaterThan">
      <formula>$AC$2</formula>
    </cfRule>
  </conditionalFormatting>
  <conditionalFormatting sqref="AB16">
    <cfRule type="cellIs" dxfId="950" priority="7" operator="greaterThan">
      <formula>$AB$2</formula>
    </cfRule>
  </conditionalFormatting>
  <conditionalFormatting sqref="AA16">
    <cfRule type="cellIs" dxfId="949" priority="8" operator="greaterThan">
      <formula>$AA$2</formula>
    </cfRule>
  </conditionalFormatting>
  <conditionalFormatting sqref="Z16">
    <cfRule type="cellIs" dxfId="948" priority="9" operator="greaterThan">
      <formula>$Z$2</formula>
    </cfRule>
  </conditionalFormatting>
  <conditionalFormatting sqref="Y16">
    <cfRule type="cellIs" dxfId="947" priority="10" operator="greaterThan">
      <formula>$Y$2</formula>
    </cfRule>
  </conditionalFormatting>
  <conditionalFormatting sqref="X16">
    <cfRule type="cellIs" dxfId="946" priority="11" operator="greaterThan">
      <formula>$X$2</formula>
    </cfRule>
  </conditionalFormatting>
  <conditionalFormatting sqref="V16">
    <cfRule type="cellIs" dxfId="945" priority="13" operator="greaterThan">
      <formula>$V$2</formula>
    </cfRule>
  </conditionalFormatting>
  <conditionalFormatting sqref="H16:AE16">
    <cfRule type="cellIs" dxfId="944" priority="2" operator="equal">
      <formula>"ABS"</formula>
    </cfRule>
    <cfRule type="cellIs" dxfId="943" priority="3" operator="equal">
      <formula>"EXC"</formula>
    </cfRule>
  </conditionalFormatting>
  <pageMargins left="0.70866141732283472" right="0.70866141732283472" top="0.74803149606299213" bottom="0.74803149606299213" header="0.31496062992125984" footer="0.31496062992125984"/>
  <pageSetup paperSize="9" scale="4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D1816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15" sqref="H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140625" style="198"/>
    <col min="6" max="25" width="9.140625" style="2"/>
  </cols>
  <sheetData>
    <row r="1" spans="1:30" ht="15.75" thickBot="1" x14ac:dyDescent="0.3">
      <c r="A1" s="1" t="s">
        <v>52</v>
      </c>
      <c r="D1" s="126" t="s">
        <v>1</v>
      </c>
      <c r="E1" s="47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71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44">
        <f>IF(SUM(E6:E1999)=0,"",AVERAGE(E6:E1999))</f>
        <v>28.5</v>
      </c>
      <c r="F3" s="38">
        <f>IF(SUM(F6:F1999)=0,"",AVERAGE(F6:F1999))</f>
        <v>71.25</v>
      </c>
      <c r="G3" s="139"/>
      <c r="H3" s="38">
        <f t="shared" ref="H3:O3" si="0">IF(SUM(H6:H1999)=0,"",AVERAGE(H6:H1999))</f>
        <v>28.5</v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0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2">
        <f t="shared" ref="E6:E15" si="1">IF(OR(H6="EXC",H6="ABS"),H6,SUM(H6:O6))</f>
        <v>40</v>
      </c>
      <c r="F6" s="169">
        <f t="shared" ref="F6:F15" si="2">IF(OR(E6="EXC",E6="ABS"),E6,E6/$E$2*100)</f>
        <v>100</v>
      </c>
      <c r="G6" s="136"/>
      <c r="H6" s="141">
        <v>40</v>
      </c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2">
        <f t="shared" si="1"/>
        <v>20</v>
      </c>
      <c r="F7" s="169">
        <f t="shared" si="2"/>
        <v>50</v>
      </c>
      <c r="G7" s="136"/>
      <c r="H7" s="141">
        <v>20</v>
      </c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2">
        <f t="shared" si="1"/>
        <v>0</v>
      </c>
      <c r="F8" s="169">
        <f t="shared" si="2"/>
        <v>0</v>
      </c>
      <c r="G8" s="136"/>
      <c r="H8" s="141">
        <v>0</v>
      </c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2">
        <f t="shared" si="1"/>
        <v>80</v>
      </c>
      <c r="F9" s="169">
        <f t="shared" si="2"/>
        <v>200</v>
      </c>
      <c r="G9" s="136"/>
      <c r="H9" s="141">
        <v>80</v>
      </c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2" t="str">
        <f t="shared" si="1"/>
        <v>ABS</v>
      </c>
      <c r="F10" s="169" t="str">
        <f t="shared" si="2"/>
        <v>ABS</v>
      </c>
      <c r="G10" s="136"/>
      <c r="H10" s="141" t="s">
        <v>245</v>
      </c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2" t="str">
        <f t="shared" si="1"/>
        <v>EXC</v>
      </c>
      <c r="F11" s="169" t="str">
        <f t="shared" si="2"/>
        <v>EXC</v>
      </c>
      <c r="G11" s="136"/>
      <c r="H11" s="141" t="s">
        <v>246</v>
      </c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2">
        <f t="shared" si="1"/>
        <v>22</v>
      </c>
      <c r="F12" s="169">
        <f t="shared" si="2"/>
        <v>55.000000000000007</v>
      </c>
      <c r="G12" s="136"/>
      <c r="H12" s="141">
        <v>22</v>
      </c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2">
        <f t="shared" si="1"/>
        <v>22</v>
      </c>
      <c r="F13" s="169">
        <f t="shared" si="2"/>
        <v>55.000000000000007</v>
      </c>
      <c r="G13" s="136"/>
      <c r="H13" s="141">
        <v>22</v>
      </c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2">
        <f t="shared" si="1"/>
        <v>22</v>
      </c>
      <c r="F14" s="169">
        <f t="shared" si="2"/>
        <v>55.000000000000007</v>
      </c>
      <c r="G14" s="136"/>
      <c r="H14" s="141">
        <v>22</v>
      </c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2">
        <f t="shared" si="1"/>
        <v>22</v>
      </c>
      <c r="F15" s="169">
        <f t="shared" si="2"/>
        <v>55.000000000000007</v>
      </c>
      <c r="G15" s="136"/>
      <c r="H15" s="141">
        <v>22</v>
      </c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</row>
    <row r="1121" spans="3:15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</row>
    <row r="1122" spans="3:15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</row>
    <row r="1123" spans="3:15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</row>
    <row r="1124" spans="3:15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</row>
    <row r="1125" spans="3:15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</row>
    <row r="1126" spans="3:15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</row>
    <row r="1127" spans="3:15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</row>
    <row r="1128" spans="3:15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</row>
    <row r="1129" spans="3:15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</row>
    <row r="1130" spans="3:15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</row>
    <row r="1131" spans="3:15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</row>
    <row r="1132" spans="3:15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</row>
    <row r="1133" spans="3:15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</row>
    <row r="1134" spans="3:15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</row>
    <row r="1135" spans="3:15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</row>
    <row r="1136" spans="3:15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</row>
    <row r="1137" spans="3:15" x14ac:dyDescent="0.25">
      <c r="C1137" s="180"/>
      <c r="D1137" s="180"/>
      <c r="H1137" s="144"/>
      <c r="I1137" s="144"/>
      <c r="J1137" s="144"/>
      <c r="K1137" s="144"/>
      <c r="L1137" s="144"/>
      <c r="M1137" s="144"/>
      <c r="N1137" s="144"/>
      <c r="O1137" s="144"/>
    </row>
    <row r="1138" spans="3:15" x14ac:dyDescent="0.25">
      <c r="C1138" s="180"/>
      <c r="D1138" s="180"/>
      <c r="H1138" s="144"/>
      <c r="I1138" s="144"/>
      <c r="J1138" s="144"/>
      <c r="K1138" s="144"/>
      <c r="L1138" s="144"/>
      <c r="M1138" s="144"/>
      <c r="N1138" s="144"/>
      <c r="O1138" s="144"/>
    </row>
    <row r="1139" spans="3:15" x14ac:dyDescent="0.25">
      <c r="C1139" s="180"/>
      <c r="D1139" s="180"/>
      <c r="H1139" s="144"/>
      <c r="I1139" s="144"/>
      <c r="J1139" s="144"/>
      <c r="K1139" s="144"/>
      <c r="L1139" s="144"/>
      <c r="M1139" s="144"/>
      <c r="N1139" s="144"/>
      <c r="O1139" s="144"/>
    </row>
    <row r="1140" spans="3:15" x14ac:dyDescent="0.25">
      <c r="C1140" s="180"/>
      <c r="D1140" s="180"/>
      <c r="H1140" s="144"/>
      <c r="I1140" s="144"/>
      <c r="J1140" s="144"/>
      <c r="K1140" s="144"/>
      <c r="L1140" s="144"/>
      <c r="M1140" s="144"/>
      <c r="N1140" s="144"/>
      <c r="O1140" s="144"/>
    </row>
    <row r="1141" spans="3:15" x14ac:dyDescent="0.25">
      <c r="C1141" s="180"/>
      <c r="D1141" s="180"/>
      <c r="H1141" s="144"/>
      <c r="I1141" s="144"/>
      <c r="J1141" s="144"/>
      <c r="K1141" s="144"/>
      <c r="L1141" s="144"/>
      <c r="M1141" s="144"/>
      <c r="N1141" s="144"/>
      <c r="O1141" s="144"/>
    </row>
    <row r="1142" spans="3:15" x14ac:dyDescent="0.25">
      <c r="C1142" s="180"/>
      <c r="D1142" s="180"/>
      <c r="H1142" s="144"/>
      <c r="I1142" s="144"/>
      <c r="J1142" s="144"/>
      <c r="K1142" s="144"/>
      <c r="L1142" s="144"/>
      <c r="M1142" s="144"/>
      <c r="N1142" s="144"/>
      <c r="O1142" s="144"/>
    </row>
    <row r="1143" spans="3:15" x14ac:dyDescent="0.25">
      <c r="C1143" s="180"/>
      <c r="D1143" s="180"/>
      <c r="H1143" s="144"/>
      <c r="I1143" s="144"/>
      <c r="J1143" s="144"/>
      <c r="K1143" s="144"/>
      <c r="L1143" s="144"/>
      <c r="M1143" s="144"/>
      <c r="N1143" s="144"/>
      <c r="O1143" s="144"/>
    </row>
    <row r="1144" spans="3:15" x14ac:dyDescent="0.25">
      <c r="C1144" s="180"/>
      <c r="D1144" s="180"/>
      <c r="H1144" s="144"/>
      <c r="I1144" s="144"/>
      <c r="J1144" s="144"/>
      <c r="K1144" s="144"/>
      <c r="L1144" s="144"/>
      <c r="M1144" s="144"/>
      <c r="N1144" s="144"/>
      <c r="O1144" s="144"/>
    </row>
    <row r="1145" spans="3:15" x14ac:dyDescent="0.25">
      <c r="C1145" s="180"/>
      <c r="D1145" s="180"/>
      <c r="H1145" s="144"/>
      <c r="I1145" s="144"/>
      <c r="J1145" s="144"/>
      <c r="K1145" s="144"/>
      <c r="L1145" s="144"/>
      <c r="M1145" s="144"/>
      <c r="N1145" s="144"/>
      <c r="O1145" s="144"/>
    </row>
    <row r="1146" spans="3:15" x14ac:dyDescent="0.25">
      <c r="C1146" s="180"/>
      <c r="D1146" s="180"/>
      <c r="H1146" s="144"/>
      <c r="I1146" s="144"/>
      <c r="J1146" s="144"/>
      <c r="K1146" s="144"/>
      <c r="L1146" s="144"/>
      <c r="M1146" s="144"/>
      <c r="N1146" s="144"/>
      <c r="O1146" s="144"/>
    </row>
    <row r="1147" spans="3:15" x14ac:dyDescent="0.25">
      <c r="C1147" s="180"/>
      <c r="D1147" s="180"/>
      <c r="H1147" s="144"/>
      <c r="I1147" s="144"/>
      <c r="J1147" s="144"/>
      <c r="K1147" s="144"/>
      <c r="L1147" s="144"/>
      <c r="M1147" s="144"/>
      <c r="N1147" s="144"/>
      <c r="O1147" s="144"/>
    </row>
    <row r="1148" spans="3:15" x14ac:dyDescent="0.25">
      <c r="C1148" s="180"/>
      <c r="D1148" s="180"/>
      <c r="H1148" s="144"/>
      <c r="I1148" s="144"/>
      <c r="J1148" s="144"/>
      <c r="K1148" s="144"/>
      <c r="L1148" s="144"/>
      <c r="M1148" s="144"/>
      <c r="N1148" s="144"/>
      <c r="O1148" s="144"/>
    </row>
    <row r="1149" spans="3:15" x14ac:dyDescent="0.25">
      <c r="C1149" s="180"/>
      <c r="D1149" s="180"/>
      <c r="H1149" s="144"/>
      <c r="I1149" s="144"/>
      <c r="J1149" s="144"/>
      <c r="K1149" s="144"/>
      <c r="L1149" s="144"/>
      <c r="M1149" s="144"/>
      <c r="N1149" s="144"/>
      <c r="O1149" s="144"/>
    </row>
    <row r="1150" spans="3:15" x14ac:dyDescent="0.25">
      <c r="C1150" s="180"/>
      <c r="D1150" s="180"/>
      <c r="H1150" s="144"/>
      <c r="I1150" s="144"/>
      <c r="J1150" s="144"/>
      <c r="K1150" s="144"/>
      <c r="L1150" s="144"/>
      <c r="M1150" s="144"/>
      <c r="N1150" s="144"/>
      <c r="O1150" s="144"/>
    </row>
    <row r="1151" spans="3:15" x14ac:dyDescent="0.25">
      <c r="C1151" s="180"/>
      <c r="D1151" s="180"/>
      <c r="H1151" s="144"/>
      <c r="I1151" s="144"/>
      <c r="J1151" s="144"/>
      <c r="K1151" s="144"/>
      <c r="L1151" s="144"/>
      <c r="M1151" s="144"/>
      <c r="N1151" s="144"/>
      <c r="O1151" s="144"/>
    </row>
    <row r="1152" spans="3:15" x14ac:dyDescent="0.25">
      <c r="C1152" s="180"/>
      <c r="D1152" s="180"/>
      <c r="H1152" s="144"/>
      <c r="I1152" s="144"/>
      <c r="J1152" s="144"/>
      <c r="K1152" s="144"/>
      <c r="L1152" s="144"/>
      <c r="M1152" s="144"/>
      <c r="N1152" s="144"/>
      <c r="O1152" s="144"/>
    </row>
    <row r="1153" spans="3:15" x14ac:dyDescent="0.25">
      <c r="C1153" s="180"/>
      <c r="D1153" s="180"/>
      <c r="H1153" s="144"/>
      <c r="I1153" s="144"/>
      <c r="J1153" s="144"/>
      <c r="K1153" s="144"/>
      <c r="L1153" s="144"/>
      <c r="M1153" s="144"/>
      <c r="N1153" s="144"/>
      <c r="O1153" s="144"/>
    </row>
    <row r="1154" spans="3:15" x14ac:dyDescent="0.25">
      <c r="C1154" s="180"/>
      <c r="D1154" s="180"/>
      <c r="H1154" s="144"/>
      <c r="I1154" s="144"/>
      <c r="J1154" s="144"/>
      <c r="K1154" s="144"/>
      <c r="L1154" s="144"/>
      <c r="M1154" s="144"/>
      <c r="N1154" s="144"/>
      <c r="O1154" s="144"/>
    </row>
    <row r="1155" spans="3:15" x14ac:dyDescent="0.25">
      <c r="C1155" s="180"/>
      <c r="D1155" s="180"/>
      <c r="H1155" s="144"/>
      <c r="I1155" s="144"/>
      <c r="J1155" s="144"/>
      <c r="K1155" s="144"/>
      <c r="L1155" s="144"/>
      <c r="M1155" s="144"/>
      <c r="N1155" s="144"/>
      <c r="O1155" s="144"/>
    </row>
    <row r="1156" spans="3:15" x14ac:dyDescent="0.25">
      <c r="C1156" s="180"/>
      <c r="D1156" s="180"/>
      <c r="H1156" s="144"/>
      <c r="I1156" s="144"/>
      <c r="J1156" s="144"/>
      <c r="K1156" s="144"/>
      <c r="L1156" s="144"/>
      <c r="M1156" s="144"/>
      <c r="N1156" s="144"/>
      <c r="O1156" s="144"/>
    </row>
    <row r="1157" spans="3:15" x14ac:dyDescent="0.25">
      <c r="C1157" s="180"/>
      <c r="D1157" s="180"/>
      <c r="H1157" s="144"/>
      <c r="I1157" s="144"/>
      <c r="J1157" s="144"/>
      <c r="K1157" s="144"/>
      <c r="L1157" s="144"/>
      <c r="M1157" s="144"/>
      <c r="N1157" s="144"/>
      <c r="O1157" s="144"/>
    </row>
    <row r="1158" spans="3:15" x14ac:dyDescent="0.25">
      <c r="C1158" s="180"/>
      <c r="D1158" s="180"/>
      <c r="H1158" s="144"/>
      <c r="I1158" s="144"/>
      <c r="J1158" s="144"/>
      <c r="K1158" s="144"/>
      <c r="L1158" s="144"/>
      <c r="M1158" s="144"/>
      <c r="N1158" s="144"/>
      <c r="O1158" s="144"/>
    </row>
    <row r="1159" spans="3:15" x14ac:dyDescent="0.25">
      <c r="C1159" s="180"/>
      <c r="D1159" s="180"/>
      <c r="H1159" s="144"/>
      <c r="I1159" s="144"/>
      <c r="J1159" s="144"/>
      <c r="K1159" s="144"/>
      <c r="L1159" s="144"/>
      <c r="M1159" s="144"/>
      <c r="N1159" s="144"/>
      <c r="O1159" s="144"/>
    </row>
    <row r="1160" spans="3:15" x14ac:dyDescent="0.25">
      <c r="C1160" s="180"/>
      <c r="D1160" s="180"/>
      <c r="H1160" s="144"/>
      <c r="I1160" s="144"/>
      <c r="J1160" s="144"/>
      <c r="K1160" s="144"/>
      <c r="L1160" s="144"/>
      <c r="M1160" s="144"/>
      <c r="N1160" s="144"/>
      <c r="O1160" s="144"/>
    </row>
    <row r="1161" spans="3:15" x14ac:dyDescent="0.25">
      <c r="C1161" s="180"/>
      <c r="D1161" s="180"/>
      <c r="H1161" s="144"/>
      <c r="I1161" s="144"/>
      <c r="J1161" s="144"/>
      <c r="K1161" s="144"/>
      <c r="L1161" s="144"/>
      <c r="M1161" s="144"/>
      <c r="N1161" s="144"/>
      <c r="O1161" s="144"/>
    </row>
    <row r="1162" spans="3:15" x14ac:dyDescent="0.25">
      <c r="C1162" s="180"/>
      <c r="D1162" s="180"/>
      <c r="H1162" s="144"/>
      <c r="I1162" s="144"/>
      <c r="J1162" s="144"/>
      <c r="K1162" s="144"/>
      <c r="L1162" s="144"/>
      <c r="M1162" s="144"/>
      <c r="N1162" s="144"/>
      <c r="O1162" s="144"/>
    </row>
    <row r="1163" spans="3:15" x14ac:dyDescent="0.25">
      <c r="C1163" s="180"/>
      <c r="D1163" s="180"/>
      <c r="H1163" s="144"/>
      <c r="I1163" s="144"/>
      <c r="J1163" s="144"/>
      <c r="K1163" s="144"/>
      <c r="L1163" s="144"/>
      <c r="M1163" s="144"/>
      <c r="N1163" s="144"/>
      <c r="O1163" s="144"/>
    </row>
    <row r="1164" spans="3:15" x14ac:dyDescent="0.25">
      <c r="C1164" s="180"/>
      <c r="D1164" s="180"/>
      <c r="H1164" s="144"/>
      <c r="I1164" s="144"/>
      <c r="J1164" s="144"/>
      <c r="K1164" s="144"/>
      <c r="L1164" s="144"/>
      <c r="M1164" s="144"/>
      <c r="N1164" s="144"/>
      <c r="O1164" s="144"/>
    </row>
    <row r="1165" spans="3:15" x14ac:dyDescent="0.25">
      <c r="C1165" s="180"/>
      <c r="D1165" s="180"/>
      <c r="H1165" s="144"/>
      <c r="I1165" s="144"/>
      <c r="J1165" s="144"/>
      <c r="K1165" s="144"/>
      <c r="L1165" s="144"/>
      <c r="M1165" s="144"/>
      <c r="N1165" s="144"/>
      <c r="O1165" s="144"/>
    </row>
    <row r="1166" spans="3:15" x14ac:dyDescent="0.25">
      <c r="C1166" s="180"/>
      <c r="D1166" s="180"/>
      <c r="H1166" s="144"/>
      <c r="I1166" s="144"/>
      <c r="J1166" s="144"/>
      <c r="K1166" s="144"/>
      <c r="L1166" s="144"/>
      <c r="M1166" s="144"/>
      <c r="N1166" s="144"/>
      <c r="O1166" s="144"/>
    </row>
    <row r="1167" spans="3:15" x14ac:dyDescent="0.25">
      <c r="C1167" s="180"/>
      <c r="D1167" s="180"/>
      <c r="H1167" s="144"/>
      <c r="I1167" s="144"/>
      <c r="J1167" s="144"/>
      <c r="K1167" s="144"/>
      <c r="L1167" s="144"/>
      <c r="M1167" s="144"/>
      <c r="N1167" s="144"/>
      <c r="O1167" s="144"/>
    </row>
    <row r="1168" spans="3:15" x14ac:dyDescent="0.25">
      <c r="C1168" s="180"/>
      <c r="D1168" s="180"/>
      <c r="H1168" s="144"/>
      <c r="I1168" s="144"/>
      <c r="J1168" s="144"/>
      <c r="K1168" s="144"/>
      <c r="L1168" s="144"/>
      <c r="M1168" s="144"/>
      <c r="N1168" s="144"/>
      <c r="O1168" s="144"/>
    </row>
    <row r="1169" spans="3:15" x14ac:dyDescent="0.25">
      <c r="C1169" s="180"/>
      <c r="D1169" s="180"/>
      <c r="H1169" s="144"/>
      <c r="I1169" s="144"/>
      <c r="J1169" s="144"/>
      <c r="K1169" s="144"/>
      <c r="L1169" s="144"/>
      <c r="M1169" s="144"/>
      <c r="N1169" s="144"/>
      <c r="O1169" s="144"/>
    </row>
    <row r="1170" spans="3:15" x14ac:dyDescent="0.25">
      <c r="C1170" s="180"/>
      <c r="D1170" s="180"/>
      <c r="H1170" s="144"/>
      <c r="I1170" s="144"/>
      <c r="J1170" s="144"/>
      <c r="K1170" s="144"/>
      <c r="L1170" s="144"/>
      <c r="M1170" s="144"/>
      <c r="N1170" s="144"/>
      <c r="O1170" s="144"/>
    </row>
    <row r="1171" spans="3:15" x14ac:dyDescent="0.25">
      <c r="C1171" s="180"/>
      <c r="D1171" s="180"/>
      <c r="H1171" s="144"/>
      <c r="I1171" s="144"/>
      <c r="J1171" s="144"/>
      <c r="K1171" s="144"/>
      <c r="L1171" s="144"/>
      <c r="M1171" s="144"/>
      <c r="N1171" s="144"/>
      <c r="O1171" s="144"/>
    </row>
    <row r="1172" spans="3:15" x14ac:dyDescent="0.25">
      <c r="C1172" s="180"/>
      <c r="D1172" s="180"/>
      <c r="H1172" s="144"/>
      <c r="I1172" s="144"/>
      <c r="J1172" s="144"/>
      <c r="K1172" s="144"/>
      <c r="L1172" s="144"/>
      <c r="M1172" s="144"/>
      <c r="N1172" s="144"/>
      <c r="O1172" s="144"/>
    </row>
    <row r="1173" spans="3:15" x14ac:dyDescent="0.25">
      <c r="C1173" s="180"/>
      <c r="D1173" s="180"/>
      <c r="H1173" s="144"/>
      <c r="I1173" s="144"/>
      <c r="J1173" s="144"/>
      <c r="K1173" s="144"/>
      <c r="L1173" s="144"/>
      <c r="M1173" s="144"/>
      <c r="N1173" s="144"/>
      <c r="O1173" s="144"/>
    </row>
    <row r="1174" spans="3:15" x14ac:dyDescent="0.25">
      <c r="C1174" s="180"/>
      <c r="D1174" s="180"/>
      <c r="H1174" s="144"/>
      <c r="I1174" s="144"/>
      <c r="J1174" s="144"/>
      <c r="K1174" s="144"/>
      <c r="L1174" s="144"/>
      <c r="M1174" s="144"/>
      <c r="N1174" s="144"/>
      <c r="O1174" s="144"/>
    </row>
    <row r="1175" spans="3:15" x14ac:dyDescent="0.25">
      <c r="C1175" s="180"/>
      <c r="D1175" s="180"/>
      <c r="H1175" s="144"/>
      <c r="I1175" s="144"/>
      <c r="J1175" s="144"/>
      <c r="K1175" s="144"/>
      <c r="L1175" s="144"/>
      <c r="M1175" s="144"/>
      <c r="N1175" s="144"/>
      <c r="O1175" s="144"/>
    </row>
    <row r="1176" spans="3:15" x14ac:dyDescent="0.25">
      <c r="C1176" s="180"/>
      <c r="D1176" s="180"/>
      <c r="H1176" s="144"/>
      <c r="I1176" s="144"/>
      <c r="J1176" s="144"/>
      <c r="K1176" s="144"/>
      <c r="L1176" s="144"/>
      <c r="M1176" s="144"/>
      <c r="N1176" s="144"/>
      <c r="O1176" s="144"/>
    </row>
    <row r="1177" spans="3:15" x14ac:dyDescent="0.25">
      <c r="C1177" s="180"/>
      <c r="D1177" s="180"/>
      <c r="H1177" s="144"/>
      <c r="I1177" s="144"/>
      <c r="J1177" s="144"/>
      <c r="K1177" s="144"/>
      <c r="L1177" s="144"/>
      <c r="M1177" s="144"/>
      <c r="N1177" s="144"/>
      <c r="O1177" s="144"/>
    </row>
    <row r="1178" spans="3:15" x14ac:dyDescent="0.25">
      <c r="C1178" s="180"/>
      <c r="D1178" s="180"/>
      <c r="H1178" s="144"/>
      <c r="I1178" s="144"/>
      <c r="J1178" s="144"/>
      <c r="K1178" s="144"/>
      <c r="L1178" s="144"/>
      <c r="M1178" s="144"/>
      <c r="N1178" s="144"/>
      <c r="O1178" s="144"/>
    </row>
    <row r="1179" spans="3:15" x14ac:dyDescent="0.25">
      <c r="C1179" s="180"/>
      <c r="D1179" s="180"/>
      <c r="H1179" s="144"/>
      <c r="I1179" s="144"/>
      <c r="J1179" s="144"/>
      <c r="K1179" s="144"/>
      <c r="L1179" s="144"/>
      <c r="M1179" s="144"/>
      <c r="N1179" s="144"/>
      <c r="O1179" s="144"/>
    </row>
    <row r="1180" spans="3:15" x14ac:dyDescent="0.25">
      <c r="C1180" s="180"/>
      <c r="D1180" s="180"/>
      <c r="H1180" s="144"/>
      <c r="I1180" s="144"/>
      <c r="J1180" s="144"/>
      <c r="K1180" s="144"/>
      <c r="L1180" s="144"/>
      <c r="M1180" s="144"/>
      <c r="N1180" s="144"/>
      <c r="O1180" s="144"/>
    </row>
    <row r="1181" spans="3:15" x14ac:dyDescent="0.25">
      <c r="C1181" s="180"/>
      <c r="D1181" s="180"/>
      <c r="H1181" s="144"/>
      <c r="I1181" s="144"/>
      <c r="J1181" s="144"/>
      <c r="K1181" s="144"/>
      <c r="L1181" s="144"/>
      <c r="M1181" s="144"/>
      <c r="N1181" s="144"/>
      <c r="O1181" s="144"/>
    </row>
    <row r="1182" spans="3:15" x14ac:dyDescent="0.25">
      <c r="C1182" s="180"/>
      <c r="D1182" s="180"/>
      <c r="H1182" s="144"/>
      <c r="I1182" s="144"/>
      <c r="J1182" s="144"/>
      <c r="K1182" s="144"/>
      <c r="L1182" s="144"/>
      <c r="M1182" s="144"/>
      <c r="N1182" s="144"/>
      <c r="O1182" s="144"/>
    </row>
    <row r="1183" spans="3:15" x14ac:dyDescent="0.25">
      <c r="C1183" s="180"/>
      <c r="D1183" s="180"/>
      <c r="H1183" s="144"/>
      <c r="I1183" s="144"/>
      <c r="J1183" s="144"/>
      <c r="K1183" s="144"/>
      <c r="L1183" s="144"/>
      <c r="M1183" s="144"/>
      <c r="N1183" s="144"/>
      <c r="O1183" s="144"/>
    </row>
    <row r="1184" spans="3:15" x14ac:dyDescent="0.25">
      <c r="C1184" s="180"/>
      <c r="D1184" s="180"/>
      <c r="H1184" s="144"/>
      <c r="I1184" s="144"/>
      <c r="J1184" s="144"/>
      <c r="K1184" s="144"/>
      <c r="L1184" s="144"/>
      <c r="M1184" s="144"/>
      <c r="N1184" s="144"/>
      <c r="O1184" s="144"/>
    </row>
    <row r="1185" spans="3:15" x14ac:dyDescent="0.25">
      <c r="C1185" s="180"/>
      <c r="D1185" s="180"/>
      <c r="H1185" s="144"/>
      <c r="I1185" s="144"/>
      <c r="J1185" s="144"/>
      <c r="K1185" s="144"/>
      <c r="L1185" s="144"/>
      <c r="M1185" s="144"/>
      <c r="N1185" s="144"/>
      <c r="O1185" s="144"/>
    </row>
    <row r="1186" spans="3:15" x14ac:dyDescent="0.25">
      <c r="C1186" s="180"/>
      <c r="D1186" s="180"/>
      <c r="H1186" s="144"/>
      <c r="I1186" s="144"/>
      <c r="J1186" s="144"/>
      <c r="K1186" s="144"/>
      <c r="L1186" s="144"/>
      <c r="M1186" s="144"/>
      <c r="N1186" s="144"/>
      <c r="O1186" s="144"/>
    </row>
    <row r="1187" spans="3:15" x14ac:dyDescent="0.25">
      <c r="C1187" s="180"/>
      <c r="D1187" s="180"/>
      <c r="H1187" s="144"/>
      <c r="I1187" s="144"/>
      <c r="J1187" s="144"/>
      <c r="K1187" s="144"/>
      <c r="L1187" s="144"/>
      <c r="M1187" s="144"/>
      <c r="N1187" s="144"/>
      <c r="O1187" s="144"/>
    </row>
    <row r="1188" spans="3:15" x14ac:dyDescent="0.25">
      <c r="C1188" s="180"/>
      <c r="D1188" s="180"/>
      <c r="H1188" s="144"/>
      <c r="I1188" s="144"/>
      <c r="J1188" s="144"/>
      <c r="K1188" s="144"/>
      <c r="L1188" s="144"/>
      <c r="M1188" s="144"/>
      <c r="N1188" s="144"/>
      <c r="O1188" s="144"/>
    </row>
    <row r="1189" spans="3:15" x14ac:dyDescent="0.25">
      <c r="C1189" s="180"/>
      <c r="D1189" s="180"/>
      <c r="H1189" s="144"/>
      <c r="I1189" s="144"/>
      <c r="J1189" s="144"/>
      <c r="K1189" s="144"/>
      <c r="L1189" s="144"/>
      <c r="M1189" s="144"/>
      <c r="N1189" s="144"/>
      <c r="O1189" s="144"/>
    </row>
    <row r="1190" spans="3:15" x14ac:dyDescent="0.25">
      <c r="C1190" s="180"/>
      <c r="D1190" s="180"/>
      <c r="H1190" s="144"/>
      <c r="I1190" s="144"/>
      <c r="J1190" s="144"/>
      <c r="K1190" s="144"/>
      <c r="L1190" s="144"/>
      <c r="M1190" s="144"/>
      <c r="N1190" s="144"/>
      <c r="O1190" s="144"/>
    </row>
    <row r="1191" spans="3:15" x14ac:dyDescent="0.25">
      <c r="C1191" s="180"/>
      <c r="D1191" s="180"/>
      <c r="H1191" s="144"/>
      <c r="I1191" s="144"/>
      <c r="J1191" s="144"/>
      <c r="K1191" s="144"/>
      <c r="L1191" s="144"/>
      <c r="M1191" s="144"/>
      <c r="N1191" s="144"/>
      <c r="O1191" s="144"/>
    </row>
    <row r="1192" spans="3:15" x14ac:dyDescent="0.25">
      <c r="C1192" s="180"/>
      <c r="D1192" s="180"/>
      <c r="H1192" s="144"/>
      <c r="I1192" s="144"/>
      <c r="J1192" s="144"/>
      <c r="K1192" s="144"/>
      <c r="L1192" s="144"/>
      <c r="M1192" s="144"/>
      <c r="N1192" s="144"/>
      <c r="O1192" s="144"/>
    </row>
    <row r="1193" spans="3:15" x14ac:dyDescent="0.25">
      <c r="C1193" s="180"/>
      <c r="D1193" s="180"/>
      <c r="H1193" s="144"/>
      <c r="I1193" s="144"/>
      <c r="J1193" s="144"/>
      <c r="K1193" s="144"/>
      <c r="L1193" s="144"/>
      <c r="M1193" s="144"/>
      <c r="N1193" s="144"/>
      <c r="O1193" s="144"/>
    </row>
    <row r="1194" spans="3:15" x14ac:dyDescent="0.25">
      <c r="C1194" s="180"/>
      <c r="D1194" s="180"/>
      <c r="H1194" s="144"/>
      <c r="I1194" s="144"/>
      <c r="J1194" s="144"/>
      <c r="K1194" s="144"/>
      <c r="L1194" s="144"/>
      <c r="M1194" s="144"/>
      <c r="N1194" s="144"/>
      <c r="O1194" s="144"/>
    </row>
    <row r="1195" spans="3:15" x14ac:dyDescent="0.25">
      <c r="C1195" s="180"/>
      <c r="D1195" s="180"/>
      <c r="H1195" s="144"/>
      <c r="I1195" s="144"/>
      <c r="J1195" s="144"/>
      <c r="K1195" s="144"/>
      <c r="L1195" s="144"/>
      <c r="M1195" s="144"/>
      <c r="N1195" s="144"/>
      <c r="O1195" s="144"/>
    </row>
    <row r="1196" spans="3:15" x14ac:dyDescent="0.25">
      <c r="C1196" s="180"/>
      <c r="D1196" s="180"/>
      <c r="H1196" s="144"/>
      <c r="I1196" s="144"/>
      <c r="J1196" s="144"/>
      <c r="K1196" s="144"/>
      <c r="L1196" s="144"/>
      <c r="M1196" s="144"/>
      <c r="N1196" s="144"/>
      <c r="O1196" s="144"/>
    </row>
    <row r="1197" spans="3:15" x14ac:dyDescent="0.25">
      <c r="C1197" s="180"/>
      <c r="D1197" s="180"/>
      <c r="H1197" s="144"/>
      <c r="I1197" s="144"/>
      <c r="J1197" s="144"/>
      <c r="K1197" s="144"/>
      <c r="L1197" s="144"/>
      <c r="M1197" s="144"/>
      <c r="N1197" s="144"/>
      <c r="O1197" s="144"/>
    </row>
    <row r="1198" spans="3:15" x14ac:dyDescent="0.25">
      <c r="C1198" s="180"/>
      <c r="D1198" s="180"/>
      <c r="H1198" s="144"/>
      <c r="I1198" s="144"/>
      <c r="J1198" s="144"/>
      <c r="K1198" s="144"/>
      <c r="L1198" s="144"/>
      <c r="M1198" s="144"/>
      <c r="N1198" s="144"/>
      <c r="O1198" s="144"/>
    </row>
    <row r="1199" spans="3:15" x14ac:dyDescent="0.25">
      <c r="C1199" s="180"/>
      <c r="D1199" s="180"/>
      <c r="H1199" s="144"/>
      <c r="I1199" s="144"/>
      <c r="J1199" s="144"/>
      <c r="K1199" s="144"/>
      <c r="L1199" s="144"/>
      <c r="M1199" s="144"/>
      <c r="N1199" s="144"/>
      <c r="O1199" s="144"/>
    </row>
    <row r="1200" spans="3:15" x14ac:dyDescent="0.25">
      <c r="C1200" s="180"/>
      <c r="D1200" s="180"/>
      <c r="H1200" s="144"/>
      <c r="I1200" s="144"/>
      <c r="J1200" s="144"/>
      <c r="K1200" s="144"/>
      <c r="L1200" s="144"/>
      <c r="M1200" s="144"/>
      <c r="N1200" s="144"/>
      <c r="O1200" s="144"/>
    </row>
    <row r="1201" spans="3:15" x14ac:dyDescent="0.25">
      <c r="C1201" s="180"/>
      <c r="D1201" s="180"/>
      <c r="H1201" s="144"/>
      <c r="I1201" s="144"/>
      <c r="J1201" s="144"/>
      <c r="K1201" s="144"/>
      <c r="L1201" s="144"/>
      <c r="M1201" s="144"/>
      <c r="N1201" s="144"/>
      <c r="O1201" s="144"/>
    </row>
    <row r="1202" spans="3:15" x14ac:dyDescent="0.25">
      <c r="C1202" s="180"/>
      <c r="D1202" s="180"/>
      <c r="H1202" s="144"/>
      <c r="I1202" s="144"/>
      <c r="J1202" s="144"/>
      <c r="K1202" s="144"/>
      <c r="L1202" s="144"/>
      <c r="M1202" s="144"/>
      <c r="N1202" s="144"/>
      <c r="O1202" s="144"/>
    </row>
    <row r="1203" spans="3:15" x14ac:dyDescent="0.25">
      <c r="C1203" s="180"/>
      <c r="D1203" s="180"/>
      <c r="H1203" s="144"/>
      <c r="I1203" s="144"/>
      <c r="J1203" s="144"/>
      <c r="K1203" s="144"/>
      <c r="L1203" s="144"/>
      <c r="M1203" s="144"/>
      <c r="N1203" s="144"/>
      <c r="O1203" s="144"/>
    </row>
    <row r="1204" spans="3:15" x14ac:dyDescent="0.25">
      <c r="C1204" s="180"/>
      <c r="D1204" s="180"/>
      <c r="H1204" s="144"/>
      <c r="I1204" s="144"/>
      <c r="J1204" s="144"/>
      <c r="K1204" s="144"/>
      <c r="L1204" s="144"/>
      <c r="M1204" s="144"/>
      <c r="N1204" s="144"/>
      <c r="O1204" s="144"/>
    </row>
    <row r="1205" spans="3:15" x14ac:dyDescent="0.25">
      <c r="C1205" s="180"/>
      <c r="D1205" s="180"/>
      <c r="H1205" s="144"/>
      <c r="I1205" s="144"/>
      <c r="J1205" s="144"/>
      <c r="K1205" s="144"/>
      <c r="L1205" s="144"/>
      <c r="M1205" s="144"/>
      <c r="N1205" s="144"/>
      <c r="O1205" s="144"/>
    </row>
    <row r="1206" spans="3:15" x14ac:dyDescent="0.25">
      <c r="C1206" s="180"/>
      <c r="D1206" s="180"/>
      <c r="H1206" s="144"/>
      <c r="I1206" s="144"/>
      <c r="J1206" s="144"/>
      <c r="K1206" s="144"/>
      <c r="L1206" s="144"/>
      <c r="M1206" s="144"/>
      <c r="N1206" s="144"/>
      <c r="O1206" s="144"/>
    </row>
    <row r="1207" spans="3:15" x14ac:dyDescent="0.25">
      <c r="C1207" s="180"/>
      <c r="D1207" s="180"/>
      <c r="H1207" s="144"/>
      <c r="I1207" s="144"/>
      <c r="J1207" s="144"/>
      <c r="K1207" s="144"/>
      <c r="L1207" s="144"/>
      <c r="M1207" s="144"/>
      <c r="N1207" s="144"/>
      <c r="O1207" s="144"/>
    </row>
    <row r="1208" spans="3:15" x14ac:dyDescent="0.25">
      <c r="C1208" s="180"/>
      <c r="D1208" s="180"/>
      <c r="H1208" s="144"/>
      <c r="I1208" s="144"/>
      <c r="J1208" s="144"/>
      <c r="K1208" s="144"/>
      <c r="L1208" s="144"/>
      <c r="M1208" s="144"/>
      <c r="N1208" s="144"/>
      <c r="O1208" s="144"/>
    </row>
    <row r="1209" spans="3:15" x14ac:dyDescent="0.25">
      <c r="C1209" s="180"/>
      <c r="D1209" s="180"/>
      <c r="H1209" s="144"/>
      <c r="I1209" s="144"/>
      <c r="J1209" s="144"/>
      <c r="K1209" s="144"/>
      <c r="L1209" s="144"/>
      <c r="M1209" s="144"/>
      <c r="N1209" s="144"/>
      <c r="O1209" s="144"/>
    </row>
    <row r="1210" spans="3:15" x14ac:dyDescent="0.25">
      <c r="C1210" s="180"/>
      <c r="D1210" s="180"/>
      <c r="H1210" s="144"/>
      <c r="I1210" s="144"/>
      <c r="J1210" s="144"/>
      <c r="K1210" s="144"/>
      <c r="L1210" s="144"/>
      <c r="M1210" s="144"/>
      <c r="N1210" s="144"/>
      <c r="O1210" s="144"/>
    </row>
    <row r="1211" spans="3:15" x14ac:dyDescent="0.25">
      <c r="C1211" s="180"/>
      <c r="D1211" s="180"/>
      <c r="H1211" s="144"/>
      <c r="I1211" s="144"/>
      <c r="J1211" s="144"/>
      <c r="K1211" s="144"/>
      <c r="L1211" s="144"/>
      <c r="M1211" s="144"/>
      <c r="N1211" s="144"/>
      <c r="O1211" s="144"/>
    </row>
    <row r="1212" spans="3:15" x14ac:dyDescent="0.25">
      <c r="C1212" s="180"/>
      <c r="D1212" s="180"/>
      <c r="H1212" s="144"/>
      <c r="I1212" s="144"/>
      <c r="J1212" s="144"/>
      <c r="K1212" s="144"/>
      <c r="L1212" s="144"/>
      <c r="M1212" s="144"/>
      <c r="N1212" s="144"/>
      <c r="O1212" s="144"/>
    </row>
    <row r="1213" spans="3:15" x14ac:dyDescent="0.25">
      <c r="C1213" s="180"/>
      <c r="D1213" s="180"/>
      <c r="H1213" s="144"/>
      <c r="I1213" s="144"/>
      <c r="J1213" s="144"/>
      <c r="K1213" s="144"/>
      <c r="L1213" s="144"/>
      <c r="M1213" s="144"/>
      <c r="N1213" s="144"/>
      <c r="O1213" s="144"/>
    </row>
    <row r="1214" spans="3:15" x14ac:dyDescent="0.25">
      <c r="C1214" s="180"/>
      <c r="D1214" s="180"/>
      <c r="H1214" s="144"/>
      <c r="I1214" s="144"/>
      <c r="J1214" s="144"/>
      <c r="K1214" s="144"/>
      <c r="L1214" s="144"/>
      <c r="M1214" s="144"/>
      <c r="N1214" s="144"/>
      <c r="O1214" s="144"/>
    </row>
    <row r="1215" spans="3:15" x14ac:dyDescent="0.25">
      <c r="C1215" s="180"/>
      <c r="D1215" s="180"/>
      <c r="H1215" s="144"/>
      <c r="I1215" s="144"/>
      <c r="J1215" s="144"/>
      <c r="K1215" s="144"/>
      <c r="L1215" s="144"/>
      <c r="M1215" s="144"/>
      <c r="N1215" s="144"/>
      <c r="O1215" s="144"/>
    </row>
    <row r="1216" spans="3:15" x14ac:dyDescent="0.25">
      <c r="C1216" s="180"/>
      <c r="D1216" s="180"/>
      <c r="H1216" s="144"/>
      <c r="I1216" s="144"/>
      <c r="J1216" s="144"/>
      <c r="K1216" s="144"/>
      <c r="L1216" s="144"/>
      <c r="M1216" s="144"/>
      <c r="N1216" s="144"/>
      <c r="O1216" s="144"/>
    </row>
    <row r="1217" spans="3:15" x14ac:dyDescent="0.25">
      <c r="C1217" s="180"/>
      <c r="D1217" s="180"/>
      <c r="H1217" s="144"/>
      <c r="I1217" s="144"/>
      <c r="J1217" s="144"/>
      <c r="K1217" s="144"/>
      <c r="L1217" s="144"/>
      <c r="M1217" s="144"/>
      <c r="N1217" s="144"/>
      <c r="O1217" s="144"/>
    </row>
    <row r="1218" spans="3:15" x14ac:dyDescent="0.25">
      <c r="C1218" s="180"/>
      <c r="D1218" s="180"/>
      <c r="H1218" s="144"/>
      <c r="I1218" s="144"/>
      <c r="J1218" s="144"/>
      <c r="K1218" s="144"/>
      <c r="L1218" s="144"/>
      <c r="M1218" s="144"/>
      <c r="N1218" s="144"/>
      <c r="O1218" s="144"/>
    </row>
    <row r="1219" spans="3:15" x14ac:dyDescent="0.25">
      <c r="C1219" s="180"/>
      <c r="D1219" s="180"/>
      <c r="H1219" s="144"/>
      <c r="I1219" s="144"/>
      <c r="J1219" s="144"/>
      <c r="K1219" s="144"/>
      <c r="L1219" s="144"/>
      <c r="M1219" s="144"/>
      <c r="N1219" s="144"/>
      <c r="O1219" s="144"/>
    </row>
    <row r="1220" spans="3:15" x14ac:dyDescent="0.25">
      <c r="C1220" s="180"/>
      <c r="D1220" s="180"/>
      <c r="H1220" s="144"/>
      <c r="I1220" s="144"/>
      <c r="J1220" s="144"/>
      <c r="K1220" s="144"/>
      <c r="L1220" s="144"/>
      <c r="M1220" s="144"/>
      <c r="N1220" s="144"/>
      <c r="O1220" s="144"/>
    </row>
    <row r="1221" spans="3:15" x14ac:dyDescent="0.25">
      <c r="C1221" s="180"/>
      <c r="D1221" s="180"/>
      <c r="H1221" s="144"/>
      <c r="I1221" s="144"/>
      <c r="J1221" s="144"/>
      <c r="K1221" s="144"/>
      <c r="L1221" s="144"/>
      <c r="M1221" s="144"/>
      <c r="N1221" s="144"/>
      <c r="O1221" s="144"/>
    </row>
    <row r="1222" spans="3:15" x14ac:dyDescent="0.25">
      <c r="C1222" s="180"/>
      <c r="D1222" s="180"/>
      <c r="H1222" s="144"/>
      <c r="I1222" s="144"/>
      <c r="J1222" s="144"/>
      <c r="K1222" s="144"/>
      <c r="L1222" s="144"/>
      <c r="M1222" s="144"/>
      <c r="N1222" s="144"/>
      <c r="O1222" s="144"/>
    </row>
    <row r="1223" spans="3:15" x14ac:dyDescent="0.25">
      <c r="C1223" s="180"/>
      <c r="D1223" s="180"/>
      <c r="H1223" s="144"/>
      <c r="I1223" s="144"/>
      <c r="J1223" s="144"/>
      <c r="K1223" s="144"/>
      <c r="L1223" s="144"/>
      <c r="M1223" s="144"/>
      <c r="N1223" s="144"/>
      <c r="O1223" s="144"/>
    </row>
    <row r="1224" spans="3:15" x14ac:dyDescent="0.25">
      <c r="C1224" s="180"/>
      <c r="D1224" s="180"/>
      <c r="H1224" s="144"/>
      <c r="I1224" s="144"/>
      <c r="J1224" s="144"/>
      <c r="K1224" s="144"/>
      <c r="L1224" s="144"/>
      <c r="M1224" s="144"/>
      <c r="N1224" s="144"/>
      <c r="O1224" s="144"/>
    </row>
    <row r="1225" spans="3:15" x14ac:dyDescent="0.25">
      <c r="C1225" s="180"/>
      <c r="D1225" s="180"/>
      <c r="H1225" s="144"/>
      <c r="I1225" s="144"/>
      <c r="J1225" s="144"/>
      <c r="K1225" s="144"/>
      <c r="L1225" s="144"/>
      <c r="M1225" s="144"/>
      <c r="N1225" s="144"/>
      <c r="O1225" s="144"/>
    </row>
    <row r="1226" spans="3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3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3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3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3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3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3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  <row r="1752" spans="8:15" x14ac:dyDescent="0.25">
      <c r="H1752" s="144"/>
      <c r="I1752" s="144"/>
      <c r="J1752" s="144"/>
      <c r="K1752" s="144"/>
      <c r="L1752" s="144"/>
      <c r="M1752" s="144"/>
      <c r="N1752" s="144"/>
      <c r="O1752" s="144"/>
    </row>
    <row r="1753" spans="8:15" x14ac:dyDescent="0.25">
      <c r="H1753" s="144"/>
      <c r="I1753" s="144"/>
      <c r="J1753" s="144"/>
      <c r="K1753" s="144"/>
      <c r="L1753" s="144"/>
      <c r="M1753" s="144"/>
      <c r="N1753" s="144"/>
      <c r="O1753" s="144"/>
    </row>
    <row r="1754" spans="8:15" x14ac:dyDescent="0.25">
      <c r="H1754" s="144"/>
      <c r="I1754" s="144"/>
      <c r="J1754" s="144"/>
      <c r="K1754" s="144"/>
      <c r="L1754" s="144"/>
      <c r="M1754" s="144"/>
      <c r="N1754" s="144"/>
      <c r="O1754" s="144"/>
    </row>
    <row r="1755" spans="8:15" x14ac:dyDescent="0.25">
      <c r="H1755" s="144"/>
      <c r="I1755" s="144"/>
      <c r="J1755" s="144"/>
      <c r="K1755" s="144"/>
      <c r="L1755" s="144"/>
      <c r="M1755" s="144"/>
      <c r="N1755" s="144"/>
      <c r="O1755" s="144"/>
    </row>
    <row r="1756" spans="8:15" x14ac:dyDescent="0.25">
      <c r="H1756" s="144"/>
      <c r="I1756" s="144"/>
      <c r="J1756" s="144"/>
      <c r="K1756" s="144"/>
      <c r="L1756" s="144"/>
      <c r="M1756" s="144"/>
      <c r="N1756" s="144"/>
      <c r="O1756" s="144"/>
    </row>
    <row r="1757" spans="8:15" x14ac:dyDescent="0.25">
      <c r="H1757" s="144"/>
      <c r="I1757" s="144"/>
      <c r="J1757" s="144"/>
      <c r="K1757" s="144"/>
      <c r="L1757" s="144"/>
      <c r="M1757" s="144"/>
      <c r="N1757" s="144"/>
      <c r="O1757" s="144"/>
    </row>
    <row r="1758" spans="8:15" x14ac:dyDescent="0.25">
      <c r="H1758" s="144"/>
      <c r="I1758" s="144"/>
      <c r="J1758" s="144"/>
      <c r="K1758" s="144"/>
      <c r="L1758" s="144"/>
      <c r="M1758" s="144"/>
      <c r="N1758" s="144"/>
      <c r="O1758" s="144"/>
    </row>
    <row r="1759" spans="8:15" x14ac:dyDescent="0.25">
      <c r="H1759" s="144"/>
      <c r="I1759" s="144"/>
      <c r="J1759" s="144"/>
      <c r="K1759" s="144"/>
      <c r="L1759" s="144"/>
      <c r="M1759" s="144"/>
      <c r="N1759" s="144"/>
      <c r="O1759" s="144"/>
    </row>
    <row r="1760" spans="8:15" x14ac:dyDescent="0.25">
      <c r="H1760" s="144"/>
      <c r="I1760" s="144"/>
      <c r="J1760" s="144"/>
      <c r="K1760" s="144"/>
      <c r="L1760" s="144"/>
      <c r="M1760" s="144"/>
      <c r="N1760" s="144"/>
      <c r="O1760" s="144"/>
    </row>
    <row r="1761" spans="8:15" x14ac:dyDescent="0.25">
      <c r="H1761" s="144"/>
      <c r="I1761" s="144"/>
      <c r="J1761" s="144"/>
      <c r="K1761" s="144"/>
      <c r="L1761" s="144"/>
      <c r="M1761" s="144"/>
      <c r="N1761" s="144"/>
      <c r="O1761" s="144"/>
    </row>
    <row r="1762" spans="8:15" x14ac:dyDescent="0.25">
      <c r="H1762" s="144"/>
      <c r="I1762" s="144"/>
      <c r="J1762" s="144"/>
      <c r="K1762" s="144"/>
      <c r="L1762" s="144"/>
      <c r="M1762" s="144"/>
      <c r="N1762" s="144"/>
      <c r="O1762" s="144"/>
    </row>
    <row r="1763" spans="8:15" x14ac:dyDescent="0.25">
      <c r="H1763" s="144"/>
      <c r="I1763" s="144"/>
      <c r="J1763" s="144"/>
      <c r="K1763" s="144"/>
      <c r="L1763" s="144"/>
      <c r="M1763" s="144"/>
      <c r="N1763" s="144"/>
      <c r="O1763" s="144"/>
    </row>
    <row r="1764" spans="8:15" x14ac:dyDescent="0.25">
      <c r="H1764" s="144"/>
      <c r="I1764" s="144"/>
      <c r="J1764" s="144"/>
      <c r="K1764" s="144"/>
      <c r="L1764" s="144"/>
      <c r="M1764" s="144"/>
      <c r="N1764" s="144"/>
      <c r="O1764" s="144"/>
    </row>
    <row r="1765" spans="8:15" x14ac:dyDescent="0.25">
      <c r="H1765" s="144"/>
      <c r="I1765" s="144"/>
      <c r="J1765" s="144"/>
      <c r="K1765" s="144"/>
      <c r="L1765" s="144"/>
      <c r="M1765" s="144"/>
      <c r="N1765" s="144"/>
      <c r="O1765" s="144"/>
    </row>
    <row r="1766" spans="8:15" x14ac:dyDescent="0.25">
      <c r="H1766" s="144"/>
      <c r="I1766" s="144"/>
      <c r="J1766" s="144"/>
      <c r="K1766" s="144"/>
      <c r="L1766" s="144"/>
      <c r="M1766" s="144"/>
      <c r="N1766" s="144"/>
      <c r="O1766" s="144"/>
    </row>
    <row r="1767" spans="8:15" x14ac:dyDescent="0.25">
      <c r="H1767" s="144"/>
      <c r="I1767" s="144"/>
      <c r="J1767" s="144"/>
      <c r="K1767" s="144"/>
      <c r="L1767" s="144"/>
      <c r="M1767" s="144"/>
      <c r="N1767" s="144"/>
      <c r="O1767" s="144"/>
    </row>
    <row r="1768" spans="8:15" x14ac:dyDescent="0.25">
      <c r="H1768" s="144"/>
      <c r="I1768" s="144"/>
      <c r="J1768" s="144"/>
      <c r="K1768" s="144"/>
      <c r="L1768" s="144"/>
      <c r="M1768" s="144"/>
      <c r="N1768" s="144"/>
      <c r="O1768" s="144"/>
    </row>
    <row r="1769" spans="8:15" x14ac:dyDescent="0.25">
      <c r="H1769" s="144"/>
      <c r="I1769" s="144"/>
      <c r="J1769" s="144"/>
      <c r="K1769" s="144"/>
      <c r="L1769" s="144"/>
      <c r="M1769" s="144"/>
      <c r="N1769" s="144"/>
      <c r="O1769" s="144"/>
    </row>
    <row r="1770" spans="8:15" x14ac:dyDescent="0.25">
      <c r="H1770" s="144"/>
      <c r="I1770" s="144"/>
      <c r="J1770" s="144"/>
      <c r="K1770" s="144"/>
      <c r="L1770" s="144"/>
      <c r="M1770" s="144"/>
      <c r="N1770" s="144"/>
      <c r="O1770" s="144"/>
    </row>
    <row r="1771" spans="8:15" x14ac:dyDescent="0.25">
      <c r="H1771" s="144"/>
      <c r="I1771" s="144"/>
      <c r="J1771" s="144"/>
      <c r="K1771" s="144"/>
      <c r="L1771" s="144"/>
      <c r="M1771" s="144"/>
      <c r="N1771" s="144"/>
      <c r="O1771" s="144"/>
    </row>
    <row r="1772" spans="8:15" x14ac:dyDescent="0.25">
      <c r="H1772" s="144"/>
      <c r="I1772" s="144"/>
      <c r="J1772" s="144"/>
      <c r="K1772" s="144"/>
      <c r="L1772" s="144"/>
      <c r="M1772" s="144"/>
      <c r="N1772" s="144"/>
      <c r="O1772" s="144"/>
    </row>
    <row r="1773" spans="8:15" x14ac:dyDescent="0.25">
      <c r="H1773" s="144"/>
      <c r="I1773" s="144"/>
      <c r="J1773" s="144"/>
      <c r="K1773" s="144"/>
      <c r="L1773" s="144"/>
      <c r="M1773" s="144"/>
      <c r="N1773" s="144"/>
      <c r="O1773" s="144"/>
    </row>
    <row r="1774" spans="8:15" x14ac:dyDescent="0.25">
      <c r="H1774" s="144"/>
      <c r="I1774" s="144"/>
      <c r="J1774" s="144"/>
      <c r="K1774" s="144"/>
      <c r="L1774" s="144"/>
      <c r="M1774" s="144"/>
      <c r="N1774" s="144"/>
      <c r="O1774" s="144"/>
    </row>
    <row r="1775" spans="8:15" x14ac:dyDescent="0.25">
      <c r="H1775" s="144"/>
      <c r="I1775" s="144"/>
      <c r="J1775" s="144"/>
      <c r="K1775" s="144"/>
      <c r="L1775" s="144"/>
      <c r="M1775" s="144"/>
      <c r="N1775" s="144"/>
      <c r="O1775" s="144"/>
    </row>
    <row r="1776" spans="8:15" x14ac:dyDescent="0.25">
      <c r="H1776" s="144"/>
      <c r="I1776" s="144"/>
      <c r="J1776" s="144"/>
      <c r="K1776" s="144"/>
      <c r="L1776" s="144"/>
      <c r="M1776" s="144"/>
      <c r="N1776" s="144"/>
      <c r="O1776" s="144"/>
    </row>
    <row r="1777" spans="8:15" x14ac:dyDescent="0.25">
      <c r="H1777" s="144"/>
      <c r="I1777" s="144"/>
      <c r="J1777" s="144"/>
      <c r="K1777" s="144"/>
      <c r="L1777" s="144"/>
      <c r="M1777" s="144"/>
      <c r="N1777" s="144"/>
      <c r="O1777" s="144"/>
    </row>
    <row r="1778" spans="8:15" x14ac:dyDescent="0.25">
      <c r="H1778" s="144"/>
      <c r="I1778" s="144"/>
      <c r="J1778" s="144"/>
      <c r="K1778" s="144"/>
      <c r="L1778" s="144"/>
      <c r="M1778" s="144"/>
      <c r="N1778" s="144"/>
      <c r="O1778" s="144"/>
    </row>
    <row r="1779" spans="8:15" x14ac:dyDescent="0.25">
      <c r="H1779" s="144"/>
      <c r="I1779" s="144"/>
      <c r="J1779" s="144"/>
      <c r="K1779" s="144"/>
      <c r="L1779" s="144"/>
      <c r="M1779" s="144"/>
      <c r="N1779" s="144"/>
      <c r="O1779" s="144"/>
    </row>
    <row r="1780" spans="8:15" x14ac:dyDescent="0.25">
      <c r="H1780" s="144"/>
      <c r="I1780" s="144"/>
      <c r="J1780" s="144"/>
      <c r="K1780" s="144"/>
      <c r="L1780" s="144"/>
      <c r="M1780" s="144"/>
      <c r="N1780" s="144"/>
      <c r="O1780" s="144"/>
    </row>
    <row r="1781" spans="8:15" x14ac:dyDescent="0.25">
      <c r="H1781" s="144"/>
      <c r="I1781" s="144"/>
      <c r="J1781" s="144"/>
      <c r="K1781" s="144"/>
      <c r="L1781" s="144"/>
      <c r="M1781" s="144"/>
      <c r="N1781" s="144"/>
      <c r="O1781" s="144"/>
    </row>
    <row r="1782" spans="8:15" x14ac:dyDescent="0.25">
      <c r="H1782" s="144"/>
      <c r="I1782" s="144"/>
      <c r="J1782" s="144"/>
      <c r="K1782" s="144"/>
      <c r="L1782" s="144"/>
      <c r="M1782" s="144"/>
      <c r="N1782" s="144"/>
      <c r="O1782" s="144"/>
    </row>
    <row r="1783" spans="8:15" x14ac:dyDescent="0.25">
      <c r="H1783" s="144"/>
      <c r="I1783" s="144"/>
      <c r="J1783" s="144"/>
      <c r="K1783" s="144"/>
      <c r="L1783" s="144"/>
      <c r="M1783" s="144"/>
      <c r="N1783" s="144"/>
      <c r="O1783" s="144"/>
    </row>
    <row r="1784" spans="8:15" x14ac:dyDescent="0.25">
      <c r="H1784" s="144"/>
      <c r="I1784" s="144"/>
      <c r="J1784" s="144"/>
      <c r="K1784" s="144"/>
      <c r="L1784" s="144"/>
      <c r="M1784" s="144"/>
      <c r="N1784" s="144"/>
      <c r="O1784" s="144"/>
    </row>
    <row r="1785" spans="8:15" x14ac:dyDescent="0.25">
      <c r="H1785" s="144"/>
      <c r="I1785" s="144"/>
      <c r="J1785" s="144"/>
      <c r="K1785" s="144"/>
      <c r="L1785" s="144"/>
      <c r="M1785" s="144"/>
      <c r="N1785" s="144"/>
      <c r="O1785" s="144"/>
    </row>
    <row r="1786" spans="8:15" x14ac:dyDescent="0.25">
      <c r="H1786" s="144"/>
      <c r="I1786" s="144"/>
      <c r="J1786" s="144"/>
      <c r="K1786" s="144"/>
      <c r="L1786" s="144"/>
      <c r="M1786" s="144"/>
      <c r="N1786" s="144"/>
      <c r="O1786" s="144"/>
    </row>
    <row r="1787" spans="8:15" x14ac:dyDescent="0.25">
      <c r="H1787" s="144"/>
      <c r="I1787" s="144"/>
      <c r="J1787" s="144"/>
      <c r="K1787" s="144"/>
      <c r="L1787" s="144"/>
      <c r="M1787" s="144"/>
      <c r="N1787" s="144"/>
      <c r="O1787" s="144"/>
    </row>
    <row r="1788" spans="8:15" x14ac:dyDescent="0.25">
      <c r="H1788" s="144"/>
      <c r="I1788" s="144"/>
      <c r="J1788" s="144"/>
      <c r="K1788" s="144"/>
      <c r="L1788" s="144"/>
      <c r="M1788" s="144"/>
      <c r="N1788" s="144"/>
      <c r="O1788" s="144"/>
    </row>
    <row r="1789" spans="8:15" x14ac:dyDescent="0.25">
      <c r="H1789" s="144"/>
      <c r="I1789" s="144"/>
      <c r="J1789" s="144"/>
      <c r="K1789" s="144"/>
      <c r="L1789" s="144"/>
      <c r="M1789" s="144"/>
      <c r="N1789" s="144"/>
      <c r="O1789" s="144"/>
    </row>
    <row r="1790" spans="8:15" x14ac:dyDescent="0.25">
      <c r="H1790" s="144"/>
      <c r="I1790" s="144"/>
      <c r="J1790" s="144"/>
      <c r="K1790" s="144"/>
      <c r="L1790" s="144"/>
      <c r="M1790" s="144"/>
      <c r="N1790" s="144"/>
      <c r="O1790" s="144"/>
    </row>
    <row r="1791" spans="8:15" x14ac:dyDescent="0.25">
      <c r="H1791" s="144"/>
      <c r="I1791" s="144"/>
      <c r="J1791" s="144"/>
      <c r="K1791" s="144"/>
      <c r="L1791" s="144"/>
      <c r="M1791" s="144"/>
      <c r="N1791" s="144"/>
      <c r="O1791" s="144"/>
    </row>
    <row r="1792" spans="8:15" x14ac:dyDescent="0.25">
      <c r="H1792" s="144"/>
      <c r="I1792" s="144"/>
      <c r="J1792" s="144"/>
      <c r="K1792" s="144"/>
      <c r="L1792" s="144"/>
      <c r="M1792" s="144"/>
      <c r="N1792" s="144"/>
      <c r="O1792" s="144"/>
    </row>
    <row r="1793" spans="8:15" x14ac:dyDescent="0.25">
      <c r="H1793" s="144"/>
      <c r="I1793" s="144"/>
      <c r="J1793" s="144"/>
      <c r="K1793" s="144"/>
      <c r="L1793" s="144"/>
      <c r="M1793" s="144"/>
      <c r="N1793" s="144"/>
      <c r="O1793" s="144"/>
    </row>
    <row r="1794" spans="8:15" x14ac:dyDescent="0.25">
      <c r="H1794" s="144"/>
      <c r="I1794" s="144"/>
      <c r="J1794" s="144"/>
      <c r="K1794" s="144"/>
      <c r="L1794" s="144"/>
      <c r="M1794" s="144"/>
      <c r="N1794" s="144"/>
      <c r="O1794" s="144"/>
    </row>
    <row r="1795" spans="8:15" x14ac:dyDescent="0.25">
      <c r="H1795" s="144"/>
      <c r="I1795" s="144"/>
      <c r="J1795" s="144"/>
      <c r="K1795" s="144"/>
      <c r="L1795" s="144"/>
      <c r="M1795" s="144"/>
      <c r="N1795" s="144"/>
      <c r="O1795" s="144"/>
    </row>
    <row r="1796" spans="8:15" x14ac:dyDescent="0.25">
      <c r="H1796" s="144"/>
      <c r="I1796" s="144"/>
      <c r="J1796" s="144"/>
      <c r="K1796" s="144"/>
      <c r="L1796" s="144"/>
      <c r="M1796" s="144"/>
      <c r="N1796" s="144"/>
      <c r="O1796" s="144"/>
    </row>
    <row r="1797" spans="8:15" x14ac:dyDescent="0.25">
      <c r="H1797" s="144"/>
      <c r="I1797" s="144"/>
      <c r="J1797" s="144"/>
      <c r="K1797" s="144"/>
      <c r="L1797" s="144"/>
      <c r="M1797" s="144"/>
      <c r="N1797" s="144"/>
      <c r="O1797" s="144"/>
    </row>
    <row r="1798" spans="8:15" x14ac:dyDescent="0.25">
      <c r="H1798" s="144"/>
      <c r="I1798" s="144"/>
      <c r="J1798" s="144"/>
      <c r="K1798" s="144"/>
      <c r="L1798" s="144"/>
      <c r="M1798" s="144"/>
      <c r="N1798" s="144"/>
      <c r="O1798" s="144"/>
    </row>
    <row r="1799" spans="8:15" x14ac:dyDescent="0.25">
      <c r="H1799" s="144"/>
      <c r="I1799" s="144"/>
      <c r="J1799" s="144"/>
      <c r="K1799" s="144"/>
      <c r="L1799" s="144"/>
      <c r="M1799" s="144"/>
      <c r="N1799" s="144"/>
      <c r="O1799" s="144"/>
    </row>
    <row r="1800" spans="8:15" x14ac:dyDescent="0.25">
      <c r="H1800" s="144"/>
      <c r="I1800" s="144"/>
      <c r="J1800" s="144"/>
      <c r="K1800" s="144"/>
      <c r="L1800" s="144"/>
      <c r="M1800" s="144"/>
      <c r="N1800" s="144"/>
      <c r="O1800" s="144"/>
    </row>
    <row r="1801" spans="8:15" x14ac:dyDescent="0.25">
      <c r="H1801" s="144"/>
      <c r="I1801" s="144"/>
      <c r="J1801" s="144"/>
      <c r="K1801" s="144"/>
      <c r="L1801" s="144"/>
      <c r="M1801" s="144"/>
      <c r="N1801" s="144"/>
      <c r="O1801" s="144"/>
    </row>
    <row r="1802" spans="8:15" x14ac:dyDescent="0.25">
      <c r="H1802" s="144"/>
      <c r="I1802" s="144"/>
      <c r="J1802" s="144"/>
      <c r="K1802" s="144"/>
      <c r="L1802" s="144"/>
      <c r="M1802" s="144"/>
      <c r="N1802" s="144"/>
      <c r="O1802" s="144"/>
    </row>
    <row r="1803" spans="8:15" x14ac:dyDescent="0.25">
      <c r="H1803" s="144"/>
      <c r="I1803" s="144"/>
      <c r="J1803" s="144"/>
      <c r="K1803" s="144"/>
      <c r="L1803" s="144"/>
      <c r="M1803" s="144"/>
      <c r="N1803" s="144"/>
      <c r="O1803" s="144"/>
    </row>
    <row r="1804" spans="8:15" x14ac:dyDescent="0.25">
      <c r="H1804" s="144"/>
      <c r="I1804" s="144"/>
      <c r="J1804" s="144"/>
      <c r="K1804" s="144"/>
      <c r="L1804" s="144"/>
      <c r="M1804" s="144"/>
      <c r="N1804" s="144"/>
      <c r="O1804" s="144"/>
    </row>
    <row r="1805" spans="8:15" x14ac:dyDescent="0.25">
      <c r="H1805" s="144"/>
      <c r="I1805" s="144"/>
      <c r="J1805" s="144"/>
      <c r="K1805" s="144"/>
      <c r="L1805" s="144"/>
      <c r="M1805" s="144"/>
      <c r="N1805" s="144"/>
      <c r="O1805" s="144"/>
    </row>
    <row r="1806" spans="8:15" x14ac:dyDescent="0.25">
      <c r="H1806" s="144"/>
      <c r="I1806" s="144"/>
      <c r="J1806" s="144"/>
      <c r="K1806" s="144"/>
      <c r="L1806" s="144"/>
      <c r="M1806" s="144"/>
      <c r="N1806" s="144"/>
      <c r="O1806" s="144"/>
    </row>
    <row r="1807" spans="8:15" x14ac:dyDescent="0.25">
      <c r="H1807" s="144"/>
      <c r="I1807" s="144"/>
      <c r="J1807" s="144"/>
      <c r="K1807" s="144"/>
      <c r="L1807" s="144"/>
      <c r="M1807" s="144"/>
      <c r="N1807" s="144"/>
      <c r="O1807" s="144"/>
    </row>
    <row r="1808" spans="8:15" x14ac:dyDescent="0.25">
      <c r="H1808" s="144"/>
      <c r="I1808" s="144"/>
      <c r="J1808" s="144"/>
      <c r="K1808" s="144"/>
      <c r="L1808" s="144"/>
      <c r="M1808" s="144"/>
      <c r="N1808" s="144"/>
      <c r="O1808" s="144"/>
    </row>
    <row r="1809" spans="8:15" x14ac:dyDescent="0.25">
      <c r="H1809" s="144"/>
      <c r="I1809" s="144"/>
      <c r="J1809" s="144"/>
      <c r="K1809" s="144"/>
      <c r="L1809" s="144"/>
      <c r="M1809" s="144"/>
      <c r="N1809" s="144"/>
      <c r="O1809" s="144"/>
    </row>
    <row r="1810" spans="8:15" x14ac:dyDescent="0.25">
      <c r="H1810" s="144"/>
      <c r="I1810" s="144"/>
      <c r="J1810" s="144"/>
      <c r="K1810" s="144"/>
      <c r="L1810" s="144"/>
      <c r="M1810" s="144"/>
      <c r="N1810" s="144"/>
      <c r="O1810" s="144"/>
    </row>
    <row r="1811" spans="8:15" x14ac:dyDescent="0.25">
      <c r="H1811" s="144"/>
      <c r="I1811" s="144"/>
      <c r="J1811" s="144"/>
      <c r="K1811" s="144"/>
      <c r="L1811" s="144"/>
      <c r="M1811" s="144"/>
      <c r="N1811" s="144"/>
      <c r="O1811" s="144"/>
    </row>
    <row r="1812" spans="8:15" x14ac:dyDescent="0.25">
      <c r="H1812" s="144"/>
      <c r="I1812" s="144"/>
      <c r="J1812" s="144"/>
      <c r="K1812" s="144"/>
      <c r="L1812" s="144"/>
      <c r="M1812" s="144"/>
      <c r="N1812" s="144"/>
      <c r="O1812" s="144"/>
    </row>
    <row r="1813" spans="8:15" x14ac:dyDescent="0.25">
      <c r="H1813" s="144"/>
      <c r="I1813" s="144"/>
      <c r="J1813" s="144"/>
      <c r="K1813" s="144"/>
      <c r="L1813" s="144"/>
      <c r="M1813" s="144"/>
      <c r="N1813" s="144"/>
      <c r="O1813" s="144"/>
    </row>
    <row r="1814" spans="8:15" x14ac:dyDescent="0.25">
      <c r="H1814" s="144"/>
      <c r="I1814" s="144"/>
      <c r="J1814" s="144"/>
      <c r="K1814" s="144"/>
      <c r="L1814" s="144"/>
      <c r="M1814" s="144"/>
      <c r="N1814" s="144"/>
      <c r="O1814" s="144"/>
    </row>
    <row r="1815" spans="8:15" x14ac:dyDescent="0.25">
      <c r="H1815" s="144"/>
      <c r="I1815" s="144"/>
      <c r="J1815" s="144"/>
      <c r="K1815" s="144"/>
      <c r="L1815" s="144"/>
      <c r="M1815" s="144"/>
      <c r="N1815" s="144"/>
      <c r="O1815" s="144"/>
    </row>
    <row r="1816" spans="8:15" x14ac:dyDescent="0.25">
      <c r="H1816" s="144"/>
      <c r="I1816" s="144"/>
      <c r="J1816" s="144"/>
      <c r="K1816" s="144"/>
      <c r="L1816" s="144"/>
      <c r="M1816" s="144"/>
      <c r="N1816" s="144"/>
      <c r="O1816" s="144"/>
    </row>
  </sheetData>
  <sheetProtection password="EFD2" sheet="1" objects="1" scenarios="1" selectLockedCells="1"/>
  <conditionalFormatting sqref="E6:O6">
    <cfRule type="cellIs" dxfId="942" priority="101" operator="equal">
      <formula>"EXC"</formula>
    </cfRule>
    <cfRule type="cellIs" dxfId="941" priority="102" operator="equal">
      <formula>"ABS"</formula>
    </cfRule>
  </conditionalFormatting>
  <conditionalFormatting sqref="H6">
    <cfRule type="cellIs" dxfId="940" priority="110" operator="greaterThan">
      <formula>$H$2</formula>
    </cfRule>
  </conditionalFormatting>
  <conditionalFormatting sqref="I6">
    <cfRule type="cellIs" dxfId="939" priority="109" operator="greaterThan">
      <formula>$I$2</formula>
    </cfRule>
  </conditionalFormatting>
  <conditionalFormatting sqref="J6">
    <cfRule type="cellIs" dxfId="938" priority="108" operator="greaterThan">
      <formula>$J$2</formula>
    </cfRule>
  </conditionalFormatting>
  <conditionalFormatting sqref="K6">
    <cfRule type="cellIs" dxfId="937" priority="107" operator="greaterThan">
      <formula>$K$2</formula>
    </cfRule>
  </conditionalFormatting>
  <conditionalFormatting sqref="L6">
    <cfRule type="cellIs" dxfId="936" priority="106" operator="greaterThan">
      <formula>$L$2</formula>
    </cfRule>
  </conditionalFormatting>
  <conditionalFormatting sqref="M6">
    <cfRule type="cellIs" dxfId="935" priority="105" operator="greaterThan">
      <formula>$M$2</formula>
    </cfRule>
  </conditionalFormatting>
  <conditionalFormatting sqref="N6">
    <cfRule type="cellIs" dxfId="934" priority="104" operator="greaterThan">
      <formula>$N$2</formula>
    </cfRule>
  </conditionalFormatting>
  <conditionalFormatting sqref="O6">
    <cfRule type="cellIs" dxfId="933" priority="103" operator="greaterThan">
      <formula>$O$2</formula>
    </cfRule>
  </conditionalFormatting>
  <conditionalFormatting sqref="B6">
    <cfRule type="cellIs" dxfId="932" priority="100" operator="equal">
      <formula>TRUE</formula>
    </cfRule>
  </conditionalFormatting>
  <conditionalFormatting sqref="E7:O7">
    <cfRule type="cellIs" dxfId="931" priority="90" operator="equal">
      <formula>"EXC"</formula>
    </cfRule>
    <cfRule type="cellIs" dxfId="930" priority="91" operator="equal">
      <formula>"ABS"</formula>
    </cfRule>
  </conditionalFormatting>
  <conditionalFormatting sqref="H7">
    <cfRule type="cellIs" dxfId="929" priority="99" operator="greaterThan">
      <formula>$H$2</formula>
    </cfRule>
  </conditionalFormatting>
  <conditionalFormatting sqref="I7">
    <cfRule type="cellIs" dxfId="928" priority="98" operator="greaterThan">
      <formula>$I$2</formula>
    </cfRule>
  </conditionalFormatting>
  <conditionalFormatting sqref="J7">
    <cfRule type="cellIs" dxfId="927" priority="97" operator="greaterThan">
      <formula>$J$2</formula>
    </cfRule>
  </conditionalFormatting>
  <conditionalFormatting sqref="K7">
    <cfRule type="cellIs" dxfId="926" priority="96" operator="greaterThan">
      <formula>$K$2</formula>
    </cfRule>
  </conditionalFormatting>
  <conditionalFormatting sqref="L7">
    <cfRule type="cellIs" dxfId="925" priority="95" operator="greaterThan">
      <formula>$L$2</formula>
    </cfRule>
  </conditionalFormatting>
  <conditionalFormatting sqref="M7">
    <cfRule type="cellIs" dxfId="924" priority="94" operator="greaterThan">
      <formula>$M$2</formula>
    </cfRule>
  </conditionalFormatting>
  <conditionalFormatting sqref="N7">
    <cfRule type="cellIs" dxfId="923" priority="93" operator="greaterThan">
      <formula>$N$2</formula>
    </cfRule>
  </conditionalFormatting>
  <conditionalFormatting sqref="O7">
    <cfRule type="cellIs" dxfId="922" priority="92" operator="greaterThan">
      <formula>$O$2</formula>
    </cfRule>
  </conditionalFormatting>
  <conditionalFormatting sqref="B7">
    <cfRule type="cellIs" dxfId="921" priority="89" operator="equal">
      <formula>TRUE</formula>
    </cfRule>
  </conditionalFormatting>
  <conditionalFormatting sqref="E8:O8">
    <cfRule type="cellIs" dxfId="920" priority="79" operator="equal">
      <formula>"EXC"</formula>
    </cfRule>
    <cfRule type="cellIs" dxfId="919" priority="80" operator="equal">
      <formula>"ABS"</formula>
    </cfRule>
  </conditionalFormatting>
  <conditionalFormatting sqref="H8">
    <cfRule type="cellIs" dxfId="918" priority="88" operator="greaterThan">
      <formula>$H$2</formula>
    </cfRule>
  </conditionalFormatting>
  <conditionalFormatting sqref="I8">
    <cfRule type="cellIs" dxfId="917" priority="87" operator="greaterThan">
      <formula>$I$2</formula>
    </cfRule>
  </conditionalFormatting>
  <conditionalFormatting sqref="J8">
    <cfRule type="cellIs" dxfId="916" priority="86" operator="greaterThan">
      <formula>$J$2</formula>
    </cfRule>
  </conditionalFormatting>
  <conditionalFormatting sqref="K8">
    <cfRule type="cellIs" dxfId="915" priority="85" operator="greaterThan">
      <formula>$K$2</formula>
    </cfRule>
  </conditionalFormatting>
  <conditionalFormatting sqref="L8">
    <cfRule type="cellIs" dxfId="914" priority="84" operator="greaterThan">
      <formula>$L$2</formula>
    </cfRule>
  </conditionalFormatting>
  <conditionalFormatting sqref="M8">
    <cfRule type="cellIs" dxfId="913" priority="83" operator="greaterThan">
      <formula>$M$2</formula>
    </cfRule>
  </conditionalFormatting>
  <conditionalFormatting sqref="N8">
    <cfRule type="cellIs" dxfId="912" priority="82" operator="greaterThan">
      <formula>$N$2</formula>
    </cfRule>
  </conditionalFormatting>
  <conditionalFormatting sqref="O8">
    <cfRule type="cellIs" dxfId="911" priority="81" operator="greaterThan">
      <formula>$O$2</formula>
    </cfRule>
  </conditionalFormatting>
  <conditionalFormatting sqref="B8">
    <cfRule type="cellIs" dxfId="910" priority="78" operator="equal">
      <formula>TRUE</formula>
    </cfRule>
  </conditionalFormatting>
  <conditionalFormatting sqref="E9:O9">
    <cfRule type="cellIs" dxfId="909" priority="68" operator="equal">
      <formula>"EXC"</formula>
    </cfRule>
    <cfRule type="cellIs" dxfId="908" priority="69" operator="equal">
      <formula>"ABS"</formula>
    </cfRule>
  </conditionalFormatting>
  <conditionalFormatting sqref="H9">
    <cfRule type="cellIs" dxfId="907" priority="77" operator="greaterThan">
      <formula>$H$2</formula>
    </cfRule>
  </conditionalFormatting>
  <conditionalFormatting sqref="I9">
    <cfRule type="cellIs" dxfId="906" priority="76" operator="greaterThan">
      <formula>$I$2</formula>
    </cfRule>
  </conditionalFormatting>
  <conditionalFormatting sqref="J9">
    <cfRule type="cellIs" dxfId="905" priority="75" operator="greaterThan">
      <formula>$J$2</formula>
    </cfRule>
  </conditionalFormatting>
  <conditionalFormatting sqref="K9">
    <cfRule type="cellIs" dxfId="904" priority="74" operator="greaterThan">
      <formula>$K$2</formula>
    </cfRule>
  </conditionalFormatting>
  <conditionalFormatting sqref="L9">
    <cfRule type="cellIs" dxfId="903" priority="73" operator="greaterThan">
      <formula>$L$2</formula>
    </cfRule>
  </conditionalFormatting>
  <conditionalFormatting sqref="M9">
    <cfRule type="cellIs" dxfId="902" priority="72" operator="greaterThan">
      <formula>$M$2</formula>
    </cfRule>
  </conditionalFormatting>
  <conditionalFormatting sqref="N9">
    <cfRule type="cellIs" dxfId="901" priority="71" operator="greaterThan">
      <formula>$N$2</formula>
    </cfRule>
  </conditionalFormatting>
  <conditionalFormatting sqref="O9">
    <cfRule type="cellIs" dxfId="900" priority="70" operator="greaterThan">
      <formula>$O$2</formula>
    </cfRule>
  </conditionalFormatting>
  <conditionalFormatting sqref="B9">
    <cfRule type="cellIs" dxfId="899" priority="67" operator="equal">
      <formula>TRUE</formula>
    </cfRule>
  </conditionalFormatting>
  <conditionalFormatting sqref="E10:O10">
    <cfRule type="cellIs" dxfId="898" priority="57" operator="equal">
      <formula>"EXC"</formula>
    </cfRule>
    <cfRule type="cellIs" dxfId="897" priority="58" operator="equal">
      <formula>"ABS"</formula>
    </cfRule>
  </conditionalFormatting>
  <conditionalFormatting sqref="H10">
    <cfRule type="cellIs" dxfId="896" priority="66" operator="greaterThan">
      <formula>$H$2</formula>
    </cfRule>
  </conditionalFormatting>
  <conditionalFormatting sqref="I10">
    <cfRule type="cellIs" dxfId="895" priority="65" operator="greaterThan">
      <formula>$I$2</formula>
    </cfRule>
  </conditionalFormatting>
  <conditionalFormatting sqref="J10">
    <cfRule type="cellIs" dxfId="894" priority="64" operator="greaterThan">
      <formula>$J$2</formula>
    </cfRule>
  </conditionalFormatting>
  <conditionalFormatting sqref="K10">
    <cfRule type="cellIs" dxfId="893" priority="63" operator="greaterThan">
      <formula>$K$2</formula>
    </cfRule>
  </conditionalFormatting>
  <conditionalFormatting sqref="L10">
    <cfRule type="cellIs" dxfId="892" priority="62" operator="greaterThan">
      <formula>$L$2</formula>
    </cfRule>
  </conditionalFormatting>
  <conditionalFormatting sqref="M10">
    <cfRule type="cellIs" dxfId="891" priority="61" operator="greaterThan">
      <formula>$M$2</formula>
    </cfRule>
  </conditionalFormatting>
  <conditionalFormatting sqref="N10">
    <cfRule type="cellIs" dxfId="890" priority="60" operator="greaterThan">
      <formula>$N$2</formula>
    </cfRule>
  </conditionalFormatting>
  <conditionalFormatting sqref="O10">
    <cfRule type="cellIs" dxfId="889" priority="59" operator="greaterThan">
      <formula>$O$2</formula>
    </cfRule>
  </conditionalFormatting>
  <conditionalFormatting sqref="B10">
    <cfRule type="cellIs" dxfId="888" priority="56" operator="equal">
      <formula>TRUE</formula>
    </cfRule>
  </conditionalFormatting>
  <conditionalFormatting sqref="E11:O11">
    <cfRule type="cellIs" dxfId="887" priority="46" operator="equal">
      <formula>"EXC"</formula>
    </cfRule>
    <cfRule type="cellIs" dxfId="886" priority="47" operator="equal">
      <formula>"ABS"</formula>
    </cfRule>
  </conditionalFormatting>
  <conditionalFormatting sqref="H11">
    <cfRule type="cellIs" dxfId="885" priority="55" operator="greaterThan">
      <formula>$H$2</formula>
    </cfRule>
  </conditionalFormatting>
  <conditionalFormatting sqref="I11">
    <cfRule type="cellIs" dxfId="884" priority="54" operator="greaterThan">
      <formula>$I$2</formula>
    </cfRule>
  </conditionalFormatting>
  <conditionalFormatting sqref="J11">
    <cfRule type="cellIs" dxfId="883" priority="53" operator="greaterThan">
      <formula>$J$2</formula>
    </cfRule>
  </conditionalFormatting>
  <conditionalFormatting sqref="K11">
    <cfRule type="cellIs" dxfId="882" priority="52" operator="greaterThan">
      <formula>$K$2</formula>
    </cfRule>
  </conditionalFormatting>
  <conditionalFormatting sqref="L11">
    <cfRule type="cellIs" dxfId="881" priority="51" operator="greaterThan">
      <formula>$L$2</formula>
    </cfRule>
  </conditionalFormatting>
  <conditionalFormatting sqref="M11">
    <cfRule type="cellIs" dxfId="880" priority="50" operator="greaterThan">
      <formula>$M$2</formula>
    </cfRule>
  </conditionalFormatting>
  <conditionalFormatting sqref="N11">
    <cfRule type="cellIs" dxfId="879" priority="49" operator="greaterThan">
      <formula>$N$2</formula>
    </cfRule>
  </conditionalFormatting>
  <conditionalFormatting sqref="O11">
    <cfRule type="cellIs" dxfId="878" priority="48" operator="greaterThan">
      <formula>$O$2</formula>
    </cfRule>
  </conditionalFormatting>
  <conditionalFormatting sqref="B11">
    <cfRule type="cellIs" dxfId="877" priority="45" operator="equal">
      <formula>TRUE</formula>
    </cfRule>
  </conditionalFormatting>
  <conditionalFormatting sqref="E12:O12">
    <cfRule type="cellIs" dxfId="876" priority="35" operator="equal">
      <formula>"EXC"</formula>
    </cfRule>
    <cfRule type="cellIs" dxfId="875" priority="36" operator="equal">
      <formula>"ABS"</formula>
    </cfRule>
  </conditionalFormatting>
  <conditionalFormatting sqref="H12">
    <cfRule type="cellIs" dxfId="874" priority="44" operator="greaterThan">
      <formula>$H$2</formula>
    </cfRule>
  </conditionalFormatting>
  <conditionalFormatting sqref="I12">
    <cfRule type="cellIs" dxfId="873" priority="43" operator="greaterThan">
      <formula>$I$2</formula>
    </cfRule>
  </conditionalFormatting>
  <conditionalFormatting sqref="J12">
    <cfRule type="cellIs" dxfId="872" priority="42" operator="greaterThan">
      <formula>$J$2</formula>
    </cfRule>
  </conditionalFormatting>
  <conditionalFormatting sqref="K12">
    <cfRule type="cellIs" dxfId="871" priority="41" operator="greaterThan">
      <formula>$K$2</formula>
    </cfRule>
  </conditionalFormatting>
  <conditionalFormatting sqref="L12">
    <cfRule type="cellIs" dxfId="870" priority="40" operator="greaterThan">
      <formula>$L$2</formula>
    </cfRule>
  </conditionalFormatting>
  <conditionalFormatting sqref="M12">
    <cfRule type="cellIs" dxfId="869" priority="39" operator="greaterThan">
      <formula>$M$2</formula>
    </cfRule>
  </conditionalFormatting>
  <conditionalFormatting sqref="N12">
    <cfRule type="cellIs" dxfId="868" priority="38" operator="greaterThan">
      <formula>$N$2</formula>
    </cfRule>
  </conditionalFormatting>
  <conditionalFormatting sqref="O12">
    <cfRule type="cellIs" dxfId="867" priority="37" operator="greaterThan">
      <formula>$O$2</formula>
    </cfRule>
  </conditionalFormatting>
  <conditionalFormatting sqref="B12">
    <cfRule type="cellIs" dxfId="866" priority="34" operator="equal">
      <formula>TRUE</formula>
    </cfRule>
  </conditionalFormatting>
  <conditionalFormatting sqref="E13:O13">
    <cfRule type="cellIs" dxfId="865" priority="24" operator="equal">
      <formula>"EXC"</formula>
    </cfRule>
    <cfRule type="cellIs" dxfId="864" priority="25" operator="equal">
      <formula>"ABS"</formula>
    </cfRule>
  </conditionalFormatting>
  <conditionalFormatting sqref="H13">
    <cfRule type="cellIs" dxfId="863" priority="33" operator="greaterThan">
      <formula>$H$2</formula>
    </cfRule>
  </conditionalFormatting>
  <conditionalFormatting sqref="I13">
    <cfRule type="cellIs" dxfId="862" priority="32" operator="greaterThan">
      <formula>$I$2</formula>
    </cfRule>
  </conditionalFormatting>
  <conditionalFormatting sqref="J13">
    <cfRule type="cellIs" dxfId="861" priority="31" operator="greaterThan">
      <formula>$J$2</formula>
    </cfRule>
  </conditionalFormatting>
  <conditionalFormatting sqref="K13">
    <cfRule type="cellIs" dxfId="860" priority="30" operator="greaterThan">
      <formula>$K$2</formula>
    </cfRule>
  </conditionalFormatting>
  <conditionalFormatting sqref="L13">
    <cfRule type="cellIs" dxfId="859" priority="29" operator="greaterThan">
      <formula>$L$2</formula>
    </cfRule>
  </conditionalFormatting>
  <conditionalFormatting sqref="M13">
    <cfRule type="cellIs" dxfId="858" priority="28" operator="greaterThan">
      <formula>$M$2</formula>
    </cfRule>
  </conditionalFormatting>
  <conditionalFormatting sqref="N13">
    <cfRule type="cellIs" dxfId="857" priority="27" operator="greaterThan">
      <formula>$N$2</formula>
    </cfRule>
  </conditionalFormatting>
  <conditionalFormatting sqref="O13">
    <cfRule type="cellIs" dxfId="856" priority="26" operator="greaterThan">
      <formula>$O$2</formula>
    </cfRule>
  </conditionalFormatting>
  <conditionalFormatting sqref="B13">
    <cfRule type="cellIs" dxfId="855" priority="23" operator="equal">
      <formula>TRUE</formula>
    </cfRule>
  </conditionalFormatting>
  <conditionalFormatting sqref="E14:O14">
    <cfRule type="cellIs" dxfId="854" priority="13" operator="equal">
      <formula>"EXC"</formula>
    </cfRule>
    <cfRule type="cellIs" dxfId="853" priority="14" operator="equal">
      <formula>"ABS"</formula>
    </cfRule>
  </conditionalFormatting>
  <conditionalFormatting sqref="H14">
    <cfRule type="cellIs" dxfId="852" priority="22" operator="greaterThan">
      <formula>$H$2</formula>
    </cfRule>
  </conditionalFormatting>
  <conditionalFormatting sqref="I14">
    <cfRule type="cellIs" dxfId="851" priority="21" operator="greaterThan">
      <formula>$I$2</formula>
    </cfRule>
  </conditionalFormatting>
  <conditionalFormatting sqref="J14">
    <cfRule type="cellIs" dxfId="850" priority="20" operator="greaterThan">
      <formula>$J$2</formula>
    </cfRule>
  </conditionalFormatting>
  <conditionalFormatting sqref="K14">
    <cfRule type="cellIs" dxfId="849" priority="19" operator="greaterThan">
      <formula>$K$2</formula>
    </cfRule>
  </conditionalFormatting>
  <conditionalFormatting sqref="L14">
    <cfRule type="cellIs" dxfId="848" priority="18" operator="greaterThan">
      <formula>$L$2</formula>
    </cfRule>
  </conditionalFormatting>
  <conditionalFormatting sqref="M14">
    <cfRule type="cellIs" dxfId="847" priority="17" operator="greaterThan">
      <formula>$M$2</formula>
    </cfRule>
  </conditionalFormatting>
  <conditionalFormatting sqref="N14">
    <cfRule type="cellIs" dxfId="846" priority="16" operator="greaterThan">
      <formula>$N$2</formula>
    </cfRule>
  </conditionalFormatting>
  <conditionalFormatting sqref="O14">
    <cfRule type="cellIs" dxfId="845" priority="15" operator="greaterThan">
      <formula>$O$2</formula>
    </cfRule>
  </conditionalFormatting>
  <conditionalFormatting sqref="B14">
    <cfRule type="cellIs" dxfId="844" priority="12" operator="equal">
      <formula>TRUE</formula>
    </cfRule>
  </conditionalFormatting>
  <conditionalFormatting sqref="E15:O15">
    <cfRule type="cellIs" dxfId="843" priority="2" operator="equal">
      <formula>"EXC"</formula>
    </cfRule>
    <cfRule type="cellIs" dxfId="842" priority="3" operator="equal">
      <formula>"ABS"</formula>
    </cfRule>
  </conditionalFormatting>
  <conditionalFormatting sqref="H15">
    <cfRule type="cellIs" dxfId="841" priority="11" operator="greaterThan">
      <formula>$H$2</formula>
    </cfRule>
  </conditionalFormatting>
  <conditionalFormatting sqref="I15">
    <cfRule type="cellIs" dxfId="840" priority="10" operator="greaterThan">
      <formula>$I$2</formula>
    </cfRule>
  </conditionalFormatting>
  <conditionalFormatting sqref="J15">
    <cfRule type="cellIs" dxfId="839" priority="9" operator="greaterThan">
      <formula>$J$2</formula>
    </cfRule>
  </conditionalFormatting>
  <conditionalFormatting sqref="K15">
    <cfRule type="cellIs" dxfId="838" priority="8" operator="greaterThan">
      <formula>$K$2</formula>
    </cfRule>
  </conditionalFormatting>
  <conditionalFormatting sqref="L15">
    <cfRule type="cellIs" dxfId="837" priority="7" operator="greaterThan">
      <formula>$L$2</formula>
    </cfRule>
  </conditionalFormatting>
  <conditionalFormatting sqref="M15">
    <cfRule type="cellIs" dxfId="836" priority="6" operator="greaterThan">
      <formula>$M$2</formula>
    </cfRule>
  </conditionalFormatting>
  <conditionalFormatting sqref="N15">
    <cfRule type="cellIs" dxfId="835" priority="5" operator="greaterThan">
      <formula>$N$2</formula>
    </cfRule>
  </conditionalFormatting>
  <conditionalFormatting sqref="O15">
    <cfRule type="cellIs" dxfId="834" priority="4" operator="greaterThan">
      <formula>$O$2</formula>
    </cfRule>
  </conditionalFormatting>
  <conditionalFormatting sqref="B15">
    <cfRule type="cellIs" dxfId="83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D1643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J34" sqref="J34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61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167" t="str">
        <f>IF(SUM(E6:E1999)=0,"",AVERAGE(E6:E1999))</f>
        <v/>
      </c>
      <c r="F3" s="167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</row>
    <row r="1121" spans="3:15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</row>
    <row r="1122" spans="3:15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</row>
    <row r="1123" spans="3:15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</row>
    <row r="1124" spans="3:15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</row>
    <row r="1125" spans="3:15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</row>
    <row r="1126" spans="3:15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</row>
    <row r="1127" spans="3:15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</row>
    <row r="1128" spans="3:15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</row>
    <row r="1129" spans="3:15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</row>
    <row r="1130" spans="3:15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</row>
    <row r="1131" spans="3:15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</row>
    <row r="1132" spans="3:15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</row>
    <row r="1133" spans="3:15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</row>
    <row r="1134" spans="3:15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</row>
    <row r="1135" spans="3:15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</row>
    <row r="1136" spans="3:15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</sheetData>
  <sheetProtection password="EFD2" sheet="1" objects="1" scenarios="1" selectLockedCells="1"/>
  <conditionalFormatting sqref="E6:O6">
    <cfRule type="cellIs" dxfId="832" priority="101" operator="equal">
      <formula>"EXC"</formula>
    </cfRule>
    <cfRule type="cellIs" dxfId="831" priority="102" operator="equal">
      <formula>"ABS"</formula>
    </cfRule>
  </conditionalFormatting>
  <conditionalFormatting sqref="H6">
    <cfRule type="cellIs" dxfId="830" priority="110" operator="greaterThan">
      <formula>$H$2</formula>
    </cfRule>
  </conditionalFormatting>
  <conditionalFormatting sqref="I6">
    <cfRule type="cellIs" dxfId="829" priority="109" operator="greaterThan">
      <formula>$I$2</formula>
    </cfRule>
  </conditionalFormatting>
  <conditionalFormatting sqref="J6">
    <cfRule type="cellIs" dxfId="828" priority="108" operator="greaterThan">
      <formula>$J$2</formula>
    </cfRule>
  </conditionalFormatting>
  <conditionalFormatting sqref="K6">
    <cfRule type="cellIs" dxfId="827" priority="107" operator="greaterThan">
      <formula>$K$2</formula>
    </cfRule>
  </conditionalFormatting>
  <conditionalFormatting sqref="L6">
    <cfRule type="cellIs" dxfId="826" priority="106" operator="greaterThan">
      <formula>$L$2</formula>
    </cfRule>
  </conditionalFormatting>
  <conditionalFormatting sqref="M6">
    <cfRule type="cellIs" dxfId="825" priority="105" operator="greaterThan">
      <formula>$M$2</formula>
    </cfRule>
  </conditionalFormatting>
  <conditionalFormatting sqref="N6">
    <cfRule type="cellIs" dxfId="824" priority="104" operator="greaterThan">
      <formula>$N$2</formula>
    </cfRule>
  </conditionalFormatting>
  <conditionalFormatting sqref="O6">
    <cfRule type="cellIs" dxfId="823" priority="103" operator="greaterThan">
      <formula>$O$2</formula>
    </cfRule>
  </conditionalFormatting>
  <conditionalFormatting sqref="B6">
    <cfRule type="cellIs" dxfId="822" priority="100" operator="equal">
      <formula>TRUE</formula>
    </cfRule>
  </conditionalFormatting>
  <conditionalFormatting sqref="E7:O7">
    <cfRule type="cellIs" dxfId="821" priority="90" operator="equal">
      <formula>"EXC"</formula>
    </cfRule>
    <cfRule type="cellIs" dxfId="820" priority="91" operator="equal">
      <formula>"ABS"</formula>
    </cfRule>
  </conditionalFormatting>
  <conditionalFormatting sqref="H7">
    <cfRule type="cellIs" dxfId="819" priority="99" operator="greaterThan">
      <formula>$H$2</formula>
    </cfRule>
  </conditionalFormatting>
  <conditionalFormatting sqref="I7">
    <cfRule type="cellIs" dxfId="818" priority="98" operator="greaterThan">
      <formula>$I$2</formula>
    </cfRule>
  </conditionalFormatting>
  <conditionalFormatting sqref="J7">
    <cfRule type="cellIs" dxfId="817" priority="97" operator="greaterThan">
      <formula>$J$2</formula>
    </cfRule>
  </conditionalFormatting>
  <conditionalFormatting sqref="K7">
    <cfRule type="cellIs" dxfId="816" priority="96" operator="greaterThan">
      <formula>$K$2</formula>
    </cfRule>
  </conditionalFormatting>
  <conditionalFormatting sqref="L7">
    <cfRule type="cellIs" dxfId="815" priority="95" operator="greaterThan">
      <formula>$L$2</formula>
    </cfRule>
  </conditionalFormatting>
  <conditionalFormatting sqref="M7">
    <cfRule type="cellIs" dxfId="814" priority="94" operator="greaterThan">
      <formula>$M$2</formula>
    </cfRule>
  </conditionalFormatting>
  <conditionalFormatting sqref="N7">
    <cfRule type="cellIs" dxfId="813" priority="93" operator="greaterThan">
      <formula>$N$2</formula>
    </cfRule>
  </conditionalFormatting>
  <conditionalFormatting sqref="O7">
    <cfRule type="cellIs" dxfId="812" priority="92" operator="greaterThan">
      <formula>$O$2</formula>
    </cfRule>
  </conditionalFormatting>
  <conditionalFormatting sqref="B7">
    <cfRule type="cellIs" dxfId="811" priority="89" operator="equal">
      <formula>TRUE</formula>
    </cfRule>
  </conditionalFormatting>
  <conditionalFormatting sqref="E8:O8">
    <cfRule type="cellIs" dxfId="810" priority="79" operator="equal">
      <formula>"EXC"</formula>
    </cfRule>
    <cfRule type="cellIs" dxfId="809" priority="80" operator="equal">
      <formula>"ABS"</formula>
    </cfRule>
  </conditionalFormatting>
  <conditionalFormatting sqref="H8">
    <cfRule type="cellIs" dxfId="808" priority="88" operator="greaterThan">
      <formula>$H$2</formula>
    </cfRule>
  </conditionalFormatting>
  <conditionalFormatting sqref="I8">
    <cfRule type="cellIs" dxfId="807" priority="87" operator="greaterThan">
      <formula>$I$2</formula>
    </cfRule>
  </conditionalFormatting>
  <conditionalFormatting sqref="J8">
    <cfRule type="cellIs" dxfId="806" priority="86" operator="greaterThan">
      <formula>$J$2</formula>
    </cfRule>
  </conditionalFormatting>
  <conditionalFormatting sqref="K8">
    <cfRule type="cellIs" dxfId="805" priority="85" operator="greaterThan">
      <formula>$K$2</formula>
    </cfRule>
  </conditionalFormatting>
  <conditionalFormatting sqref="L8">
    <cfRule type="cellIs" dxfId="804" priority="84" operator="greaterThan">
      <formula>$L$2</formula>
    </cfRule>
  </conditionalFormatting>
  <conditionalFormatting sqref="M8">
    <cfRule type="cellIs" dxfId="803" priority="83" operator="greaterThan">
      <formula>$M$2</formula>
    </cfRule>
  </conditionalFormatting>
  <conditionalFormatting sqref="N8">
    <cfRule type="cellIs" dxfId="802" priority="82" operator="greaterThan">
      <formula>$N$2</formula>
    </cfRule>
  </conditionalFormatting>
  <conditionalFormatting sqref="O8">
    <cfRule type="cellIs" dxfId="801" priority="81" operator="greaterThan">
      <formula>$O$2</formula>
    </cfRule>
  </conditionalFormatting>
  <conditionalFormatting sqref="B8">
    <cfRule type="cellIs" dxfId="800" priority="78" operator="equal">
      <formula>TRUE</formula>
    </cfRule>
  </conditionalFormatting>
  <conditionalFormatting sqref="E9:O9">
    <cfRule type="cellIs" dxfId="799" priority="68" operator="equal">
      <formula>"EXC"</formula>
    </cfRule>
    <cfRule type="cellIs" dxfId="798" priority="69" operator="equal">
      <formula>"ABS"</formula>
    </cfRule>
  </conditionalFormatting>
  <conditionalFormatting sqref="H9">
    <cfRule type="cellIs" dxfId="797" priority="77" operator="greaterThan">
      <formula>$H$2</formula>
    </cfRule>
  </conditionalFormatting>
  <conditionalFormatting sqref="I9">
    <cfRule type="cellIs" dxfId="796" priority="76" operator="greaterThan">
      <formula>$I$2</formula>
    </cfRule>
  </conditionalFormatting>
  <conditionalFormatting sqref="J9">
    <cfRule type="cellIs" dxfId="795" priority="75" operator="greaterThan">
      <formula>$J$2</formula>
    </cfRule>
  </conditionalFormatting>
  <conditionalFormatting sqref="K9">
    <cfRule type="cellIs" dxfId="794" priority="74" operator="greaterThan">
      <formula>$K$2</formula>
    </cfRule>
  </conditionalFormatting>
  <conditionalFormatting sqref="L9">
    <cfRule type="cellIs" dxfId="793" priority="73" operator="greaterThan">
      <formula>$L$2</formula>
    </cfRule>
  </conditionalFormatting>
  <conditionalFormatting sqref="M9">
    <cfRule type="cellIs" dxfId="792" priority="72" operator="greaterThan">
      <formula>$M$2</formula>
    </cfRule>
  </conditionalFormatting>
  <conditionalFormatting sqref="N9">
    <cfRule type="cellIs" dxfId="791" priority="71" operator="greaterThan">
      <formula>$N$2</formula>
    </cfRule>
  </conditionalFormatting>
  <conditionalFormatting sqref="O9">
    <cfRule type="cellIs" dxfId="790" priority="70" operator="greaterThan">
      <formula>$O$2</formula>
    </cfRule>
  </conditionalFormatting>
  <conditionalFormatting sqref="B9">
    <cfRule type="cellIs" dxfId="789" priority="67" operator="equal">
      <formula>TRUE</formula>
    </cfRule>
  </conditionalFormatting>
  <conditionalFormatting sqref="E10:O10">
    <cfRule type="cellIs" dxfId="788" priority="57" operator="equal">
      <formula>"EXC"</formula>
    </cfRule>
    <cfRule type="cellIs" dxfId="787" priority="58" operator="equal">
      <formula>"ABS"</formula>
    </cfRule>
  </conditionalFormatting>
  <conditionalFormatting sqref="H10">
    <cfRule type="cellIs" dxfId="786" priority="66" operator="greaterThan">
      <formula>$H$2</formula>
    </cfRule>
  </conditionalFormatting>
  <conditionalFormatting sqref="I10">
    <cfRule type="cellIs" dxfId="785" priority="65" operator="greaterThan">
      <formula>$I$2</formula>
    </cfRule>
  </conditionalFormatting>
  <conditionalFormatting sqref="J10">
    <cfRule type="cellIs" dxfId="784" priority="64" operator="greaterThan">
      <formula>$J$2</formula>
    </cfRule>
  </conditionalFormatting>
  <conditionalFormatting sqref="K10">
    <cfRule type="cellIs" dxfId="783" priority="63" operator="greaterThan">
      <formula>$K$2</formula>
    </cfRule>
  </conditionalFormatting>
  <conditionalFormatting sqref="L10">
    <cfRule type="cellIs" dxfId="782" priority="62" operator="greaterThan">
      <formula>$L$2</formula>
    </cfRule>
  </conditionalFormatting>
  <conditionalFormatting sqref="M10">
    <cfRule type="cellIs" dxfId="781" priority="61" operator="greaterThan">
      <formula>$M$2</formula>
    </cfRule>
  </conditionalFormatting>
  <conditionalFormatting sqref="N10">
    <cfRule type="cellIs" dxfId="780" priority="60" operator="greaterThan">
      <formula>$N$2</formula>
    </cfRule>
  </conditionalFormatting>
  <conditionalFormatting sqref="O10">
    <cfRule type="cellIs" dxfId="779" priority="59" operator="greaterThan">
      <formula>$O$2</formula>
    </cfRule>
  </conditionalFormatting>
  <conditionalFormatting sqref="B10">
    <cfRule type="cellIs" dxfId="778" priority="56" operator="equal">
      <formula>TRUE</formula>
    </cfRule>
  </conditionalFormatting>
  <conditionalFormatting sqref="E11:O11">
    <cfRule type="cellIs" dxfId="777" priority="46" operator="equal">
      <formula>"EXC"</formula>
    </cfRule>
    <cfRule type="cellIs" dxfId="776" priority="47" operator="equal">
      <formula>"ABS"</formula>
    </cfRule>
  </conditionalFormatting>
  <conditionalFormatting sqref="H11">
    <cfRule type="cellIs" dxfId="775" priority="55" operator="greaterThan">
      <formula>$H$2</formula>
    </cfRule>
  </conditionalFormatting>
  <conditionalFormatting sqref="I11">
    <cfRule type="cellIs" dxfId="774" priority="54" operator="greaterThan">
      <formula>$I$2</formula>
    </cfRule>
  </conditionalFormatting>
  <conditionalFormatting sqref="J11">
    <cfRule type="cellIs" dxfId="773" priority="53" operator="greaterThan">
      <formula>$J$2</formula>
    </cfRule>
  </conditionalFormatting>
  <conditionalFormatting sqref="K11">
    <cfRule type="cellIs" dxfId="772" priority="52" operator="greaterThan">
      <formula>$K$2</formula>
    </cfRule>
  </conditionalFormatting>
  <conditionalFormatting sqref="L11">
    <cfRule type="cellIs" dxfId="771" priority="51" operator="greaterThan">
      <formula>$L$2</formula>
    </cfRule>
  </conditionalFormatting>
  <conditionalFormatting sqref="M11">
    <cfRule type="cellIs" dxfId="770" priority="50" operator="greaterThan">
      <formula>$M$2</formula>
    </cfRule>
  </conditionalFormatting>
  <conditionalFormatting sqref="N11">
    <cfRule type="cellIs" dxfId="769" priority="49" operator="greaterThan">
      <formula>$N$2</formula>
    </cfRule>
  </conditionalFormatting>
  <conditionalFormatting sqref="O11">
    <cfRule type="cellIs" dxfId="768" priority="48" operator="greaterThan">
      <formula>$O$2</formula>
    </cfRule>
  </conditionalFormatting>
  <conditionalFormatting sqref="B11">
    <cfRule type="cellIs" dxfId="767" priority="45" operator="equal">
      <formula>TRUE</formula>
    </cfRule>
  </conditionalFormatting>
  <conditionalFormatting sqref="E12:O12">
    <cfRule type="cellIs" dxfId="766" priority="35" operator="equal">
      <formula>"EXC"</formula>
    </cfRule>
    <cfRule type="cellIs" dxfId="765" priority="36" operator="equal">
      <formula>"ABS"</formula>
    </cfRule>
  </conditionalFormatting>
  <conditionalFormatting sqref="H12">
    <cfRule type="cellIs" dxfId="764" priority="44" operator="greaterThan">
      <formula>$H$2</formula>
    </cfRule>
  </conditionalFormatting>
  <conditionalFormatting sqref="I12">
    <cfRule type="cellIs" dxfId="763" priority="43" operator="greaterThan">
      <formula>$I$2</formula>
    </cfRule>
  </conditionalFormatting>
  <conditionalFormatting sqref="J12">
    <cfRule type="cellIs" dxfId="762" priority="42" operator="greaterThan">
      <formula>$J$2</formula>
    </cfRule>
  </conditionalFormatting>
  <conditionalFormatting sqref="K12">
    <cfRule type="cellIs" dxfId="761" priority="41" operator="greaterThan">
      <formula>$K$2</formula>
    </cfRule>
  </conditionalFormatting>
  <conditionalFormatting sqref="L12">
    <cfRule type="cellIs" dxfId="760" priority="40" operator="greaterThan">
      <formula>$L$2</formula>
    </cfRule>
  </conditionalFormatting>
  <conditionalFormatting sqref="M12">
    <cfRule type="cellIs" dxfId="759" priority="39" operator="greaterThan">
      <formula>$M$2</formula>
    </cfRule>
  </conditionalFormatting>
  <conditionalFormatting sqref="N12">
    <cfRule type="cellIs" dxfId="758" priority="38" operator="greaterThan">
      <formula>$N$2</formula>
    </cfRule>
  </conditionalFormatting>
  <conditionalFormatting sqref="O12">
    <cfRule type="cellIs" dxfId="757" priority="37" operator="greaterThan">
      <formula>$O$2</formula>
    </cfRule>
  </conditionalFormatting>
  <conditionalFormatting sqref="B12">
    <cfRule type="cellIs" dxfId="756" priority="34" operator="equal">
      <formula>TRUE</formula>
    </cfRule>
  </conditionalFormatting>
  <conditionalFormatting sqref="E13:O13">
    <cfRule type="cellIs" dxfId="755" priority="24" operator="equal">
      <formula>"EXC"</formula>
    </cfRule>
    <cfRule type="cellIs" dxfId="754" priority="25" operator="equal">
      <formula>"ABS"</formula>
    </cfRule>
  </conditionalFormatting>
  <conditionalFormatting sqref="H13">
    <cfRule type="cellIs" dxfId="753" priority="33" operator="greaterThan">
      <formula>$H$2</formula>
    </cfRule>
  </conditionalFormatting>
  <conditionalFormatting sqref="I13">
    <cfRule type="cellIs" dxfId="752" priority="32" operator="greaterThan">
      <formula>$I$2</formula>
    </cfRule>
  </conditionalFormatting>
  <conditionalFormatting sqref="J13">
    <cfRule type="cellIs" dxfId="751" priority="31" operator="greaterThan">
      <formula>$J$2</formula>
    </cfRule>
  </conditionalFormatting>
  <conditionalFormatting sqref="K13">
    <cfRule type="cellIs" dxfId="750" priority="30" operator="greaterThan">
      <formula>$K$2</formula>
    </cfRule>
  </conditionalFormatting>
  <conditionalFormatting sqref="L13">
    <cfRule type="cellIs" dxfId="749" priority="29" operator="greaterThan">
      <formula>$L$2</formula>
    </cfRule>
  </conditionalFormatting>
  <conditionalFormatting sqref="M13">
    <cfRule type="cellIs" dxfId="748" priority="28" operator="greaterThan">
      <formula>$M$2</formula>
    </cfRule>
  </conditionalFormatting>
  <conditionalFormatting sqref="N13">
    <cfRule type="cellIs" dxfId="747" priority="27" operator="greaterThan">
      <formula>$N$2</formula>
    </cfRule>
  </conditionalFormatting>
  <conditionalFormatting sqref="O13">
    <cfRule type="cellIs" dxfId="746" priority="26" operator="greaterThan">
      <formula>$O$2</formula>
    </cfRule>
  </conditionalFormatting>
  <conditionalFormatting sqref="B13">
    <cfRule type="cellIs" dxfId="745" priority="23" operator="equal">
      <formula>TRUE</formula>
    </cfRule>
  </conditionalFormatting>
  <conditionalFormatting sqref="E14:O14">
    <cfRule type="cellIs" dxfId="744" priority="13" operator="equal">
      <formula>"EXC"</formula>
    </cfRule>
    <cfRule type="cellIs" dxfId="743" priority="14" operator="equal">
      <formula>"ABS"</formula>
    </cfRule>
  </conditionalFormatting>
  <conditionalFormatting sqref="H14">
    <cfRule type="cellIs" dxfId="742" priority="22" operator="greaterThan">
      <formula>$H$2</formula>
    </cfRule>
  </conditionalFormatting>
  <conditionalFormatting sqref="I14">
    <cfRule type="cellIs" dxfId="741" priority="21" operator="greaterThan">
      <formula>$I$2</formula>
    </cfRule>
  </conditionalFormatting>
  <conditionalFormatting sqref="J14">
    <cfRule type="cellIs" dxfId="740" priority="20" operator="greaterThan">
      <formula>$J$2</formula>
    </cfRule>
  </conditionalFormatting>
  <conditionalFormatting sqref="K14">
    <cfRule type="cellIs" dxfId="739" priority="19" operator="greaterThan">
      <formula>$K$2</formula>
    </cfRule>
  </conditionalFormatting>
  <conditionalFormatting sqref="L14">
    <cfRule type="cellIs" dxfId="738" priority="18" operator="greaterThan">
      <formula>$L$2</formula>
    </cfRule>
  </conditionalFormatting>
  <conditionalFormatting sqref="M14">
    <cfRule type="cellIs" dxfId="737" priority="17" operator="greaterThan">
      <formula>$M$2</formula>
    </cfRule>
  </conditionalFormatting>
  <conditionalFormatting sqref="N14">
    <cfRule type="cellIs" dxfId="736" priority="16" operator="greaterThan">
      <formula>$N$2</formula>
    </cfRule>
  </conditionalFormatting>
  <conditionalFormatting sqref="O14">
    <cfRule type="cellIs" dxfId="735" priority="15" operator="greaterThan">
      <formula>$O$2</formula>
    </cfRule>
  </conditionalFormatting>
  <conditionalFormatting sqref="B14">
    <cfRule type="cellIs" dxfId="734" priority="12" operator="equal">
      <formula>TRUE</formula>
    </cfRule>
  </conditionalFormatting>
  <conditionalFormatting sqref="E15:O15">
    <cfRule type="cellIs" dxfId="733" priority="2" operator="equal">
      <formula>"EXC"</formula>
    </cfRule>
    <cfRule type="cellIs" dxfId="732" priority="3" operator="equal">
      <formula>"ABS"</formula>
    </cfRule>
  </conditionalFormatting>
  <conditionalFormatting sqref="H15">
    <cfRule type="cellIs" dxfId="731" priority="11" operator="greaterThan">
      <formula>$H$2</formula>
    </cfRule>
  </conditionalFormatting>
  <conditionalFormatting sqref="I15">
    <cfRule type="cellIs" dxfId="730" priority="10" operator="greaterThan">
      <formula>$I$2</formula>
    </cfRule>
  </conditionalFormatting>
  <conditionalFormatting sqref="J15">
    <cfRule type="cellIs" dxfId="729" priority="9" operator="greaterThan">
      <formula>$J$2</formula>
    </cfRule>
  </conditionalFormatting>
  <conditionalFormatting sqref="K15">
    <cfRule type="cellIs" dxfId="728" priority="8" operator="greaterThan">
      <formula>$K$2</formula>
    </cfRule>
  </conditionalFormatting>
  <conditionalFormatting sqref="L15">
    <cfRule type="cellIs" dxfId="727" priority="7" operator="greaterThan">
      <formula>$L$2</formula>
    </cfRule>
  </conditionalFormatting>
  <conditionalFormatting sqref="M15">
    <cfRule type="cellIs" dxfId="726" priority="6" operator="greaterThan">
      <formula>$M$2</formula>
    </cfRule>
  </conditionalFormatting>
  <conditionalFormatting sqref="N15">
    <cfRule type="cellIs" dxfId="725" priority="5" operator="greaterThan">
      <formula>$N$2</formula>
    </cfRule>
  </conditionalFormatting>
  <conditionalFormatting sqref="O15">
    <cfRule type="cellIs" dxfId="724" priority="4" operator="greaterThan">
      <formula>$O$2</formula>
    </cfRule>
  </conditionalFormatting>
  <conditionalFormatting sqref="B15">
    <cfRule type="cellIs" dxfId="72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D1876"/>
  <sheetViews>
    <sheetView workbookViewId="0">
      <pane xSplit="7" ySplit="5" topLeftCell="H6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140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H1104" s="144"/>
      <c r="I1104" s="144"/>
      <c r="J1104" s="144"/>
      <c r="K1104" s="144"/>
      <c r="L1104" s="144"/>
      <c r="M1104" s="144"/>
      <c r="N1104" s="144"/>
      <c r="O1104" s="144"/>
    </row>
    <row r="1105" spans="8:15" x14ac:dyDescent="0.25">
      <c r="H1105" s="144"/>
      <c r="I1105" s="144"/>
      <c r="J1105" s="144"/>
      <c r="K1105" s="144"/>
      <c r="L1105" s="144"/>
      <c r="M1105" s="144"/>
      <c r="N1105" s="144"/>
      <c r="O1105" s="144"/>
    </row>
    <row r="1106" spans="8:15" x14ac:dyDescent="0.25">
      <c r="H1106" s="144"/>
      <c r="I1106" s="144"/>
      <c r="J1106" s="144"/>
      <c r="K1106" s="144"/>
      <c r="L1106" s="144"/>
      <c r="M1106" s="144"/>
      <c r="N1106" s="144"/>
      <c r="O1106" s="144"/>
    </row>
    <row r="1107" spans="8:15" x14ac:dyDescent="0.25">
      <c r="H1107" s="144"/>
      <c r="I1107" s="144"/>
      <c r="J1107" s="144"/>
      <c r="K1107" s="144"/>
      <c r="L1107" s="144"/>
      <c r="M1107" s="144"/>
      <c r="N1107" s="144"/>
      <c r="O1107" s="144"/>
    </row>
    <row r="1108" spans="8:15" x14ac:dyDescent="0.25">
      <c r="H1108" s="144"/>
      <c r="I1108" s="144"/>
      <c r="J1108" s="144"/>
      <c r="K1108" s="144"/>
      <c r="L1108" s="144"/>
      <c r="M1108" s="144"/>
      <c r="N1108" s="144"/>
      <c r="O1108" s="144"/>
    </row>
    <row r="1109" spans="8:15" x14ac:dyDescent="0.25">
      <c r="H1109" s="144"/>
      <c r="I1109" s="144"/>
      <c r="J1109" s="144"/>
      <c r="K1109" s="144"/>
      <c r="L1109" s="144"/>
      <c r="M1109" s="144"/>
      <c r="N1109" s="144"/>
      <c r="O1109" s="144"/>
    </row>
    <row r="1110" spans="8:15" x14ac:dyDescent="0.25">
      <c r="H1110" s="144"/>
      <c r="I1110" s="144"/>
      <c r="J1110" s="144"/>
      <c r="K1110" s="144"/>
      <c r="L1110" s="144"/>
      <c r="M1110" s="144"/>
      <c r="N1110" s="144"/>
      <c r="O1110" s="144"/>
    </row>
    <row r="1111" spans="8:15" x14ac:dyDescent="0.25">
      <c r="H1111" s="144"/>
      <c r="I1111" s="144"/>
      <c r="J1111" s="144"/>
      <c r="K1111" s="144"/>
      <c r="L1111" s="144"/>
      <c r="M1111" s="144"/>
      <c r="N1111" s="144"/>
      <c r="O1111" s="144"/>
    </row>
    <row r="1112" spans="8:15" x14ac:dyDescent="0.25">
      <c r="H1112" s="144"/>
      <c r="I1112" s="144"/>
      <c r="J1112" s="144"/>
      <c r="K1112" s="144"/>
      <c r="L1112" s="144"/>
      <c r="M1112" s="144"/>
      <c r="N1112" s="144"/>
      <c r="O1112" s="144"/>
    </row>
    <row r="1113" spans="8:15" x14ac:dyDescent="0.25">
      <c r="H1113" s="144"/>
      <c r="I1113" s="144"/>
      <c r="J1113" s="144"/>
      <c r="K1113" s="144"/>
      <c r="L1113" s="144"/>
      <c r="M1113" s="144"/>
      <c r="N1113" s="144"/>
      <c r="O1113" s="144"/>
    </row>
    <row r="1114" spans="8:15" x14ac:dyDescent="0.25">
      <c r="H1114" s="144"/>
      <c r="I1114" s="144"/>
      <c r="J1114" s="144"/>
      <c r="K1114" s="144"/>
      <c r="L1114" s="144"/>
      <c r="M1114" s="144"/>
      <c r="N1114" s="144"/>
      <c r="O1114" s="144"/>
    </row>
    <row r="1115" spans="8:15" x14ac:dyDescent="0.25">
      <c r="H1115" s="144"/>
      <c r="I1115" s="144"/>
      <c r="J1115" s="144"/>
      <c r="K1115" s="144"/>
      <c r="L1115" s="144"/>
      <c r="M1115" s="144"/>
      <c r="N1115" s="144"/>
      <c r="O1115" s="144"/>
    </row>
    <row r="1116" spans="8:15" x14ac:dyDescent="0.25">
      <c r="H1116" s="144"/>
      <c r="I1116" s="144"/>
      <c r="J1116" s="144"/>
      <c r="K1116" s="144"/>
      <c r="L1116" s="144"/>
      <c r="M1116" s="144"/>
      <c r="N1116" s="144"/>
      <c r="O1116" s="144"/>
    </row>
    <row r="1117" spans="8:15" x14ac:dyDescent="0.25">
      <c r="H1117" s="144"/>
      <c r="I1117" s="144"/>
      <c r="J1117" s="144"/>
      <c r="K1117" s="144"/>
      <c r="L1117" s="144"/>
      <c r="M1117" s="144"/>
      <c r="N1117" s="144"/>
      <c r="O1117" s="144"/>
    </row>
    <row r="1118" spans="8:15" x14ac:dyDescent="0.25">
      <c r="H1118" s="144"/>
      <c r="I1118" s="144"/>
      <c r="J1118" s="144"/>
      <c r="K1118" s="144"/>
      <c r="L1118" s="144"/>
      <c r="M1118" s="144"/>
      <c r="N1118" s="144"/>
      <c r="O1118" s="144"/>
    </row>
    <row r="1119" spans="8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8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  <row r="1752" spans="8:15" x14ac:dyDescent="0.25">
      <c r="H1752" s="144"/>
      <c r="I1752" s="144"/>
      <c r="J1752" s="144"/>
      <c r="K1752" s="144"/>
      <c r="L1752" s="144"/>
      <c r="M1752" s="144"/>
      <c r="N1752" s="144"/>
      <c r="O1752" s="144"/>
    </row>
    <row r="1753" spans="8:15" x14ac:dyDescent="0.25">
      <c r="H1753" s="144"/>
      <c r="I1753" s="144"/>
      <c r="J1753" s="144"/>
      <c r="K1753" s="144"/>
      <c r="L1753" s="144"/>
      <c r="M1753" s="144"/>
      <c r="N1753" s="144"/>
      <c r="O1753" s="144"/>
    </row>
    <row r="1754" spans="8:15" x14ac:dyDescent="0.25">
      <c r="H1754" s="144"/>
      <c r="I1754" s="144"/>
      <c r="J1754" s="144"/>
      <c r="K1754" s="144"/>
      <c r="L1754" s="144"/>
      <c r="M1754" s="144"/>
      <c r="N1754" s="144"/>
      <c r="O1754" s="144"/>
    </row>
    <row r="1755" spans="8:15" x14ac:dyDescent="0.25">
      <c r="H1755" s="144"/>
      <c r="I1755" s="144"/>
      <c r="J1755" s="144"/>
      <c r="K1755" s="144"/>
      <c r="L1755" s="144"/>
      <c r="M1755" s="144"/>
      <c r="N1755" s="144"/>
      <c r="O1755" s="144"/>
    </row>
    <row r="1756" spans="8:15" x14ac:dyDescent="0.25">
      <c r="H1756" s="144"/>
      <c r="I1756" s="144"/>
      <c r="J1756" s="144"/>
      <c r="K1756" s="144"/>
      <c r="L1756" s="144"/>
      <c r="M1756" s="144"/>
      <c r="N1756" s="144"/>
      <c r="O1756" s="144"/>
    </row>
    <row r="1757" spans="8:15" x14ac:dyDescent="0.25">
      <c r="H1757" s="144"/>
      <c r="I1757" s="144"/>
      <c r="J1757" s="144"/>
      <c r="K1757" s="144"/>
      <c r="L1757" s="144"/>
      <c r="M1757" s="144"/>
      <c r="N1757" s="144"/>
      <c r="O1757" s="144"/>
    </row>
    <row r="1758" spans="8:15" x14ac:dyDescent="0.25">
      <c r="H1758" s="144"/>
      <c r="I1758" s="144"/>
      <c r="J1758" s="144"/>
      <c r="K1758" s="144"/>
      <c r="L1758" s="144"/>
      <c r="M1758" s="144"/>
      <c r="N1758" s="144"/>
      <c r="O1758" s="144"/>
    </row>
    <row r="1759" spans="8:15" x14ac:dyDescent="0.25">
      <c r="H1759" s="144"/>
      <c r="I1759" s="144"/>
      <c r="J1759" s="144"/>
      <c r="K1759" s="144"/>
      <c r="L1759" s="144"/>
      <c r="M1759" s="144"/>
      <c r="N1759" s="144"/>
      <c r="O1759" s="144"/>
    </row>
    <row r="1760" spans="8:15" x14ac:dyDescent="0.25">
      <c r="H1760" s="144"/>
      <c r="I1760" s="144"/>
      <c r="J1760" s="144"/>
      <c r="K1760" s="144"/>
      <c r="L1760" s="144"/>
      <c r="M1760" s="144"/>
      <c r="N1760" s="144"/>
      <c r="O1760" s="144"/>
    </row>
    <row r="1761" spans="8:15" x14ac:dyDescent="0.25">
      <c r="H1761" s="144"/>
      <c r="I1761" s="144"/>
      <c r="J1761" s="144"/>
      <c r="K1761" s="144"/>
      <c r="L1761" s="144"/>
      <c r="M1761" s="144"/>
      <c r="N1761" s="144"/>
      <c r="O1761" s="144"/>
    </row>
    <row r="1762" spans="8:15" x14ac:dyDescent="0.25">
      <c r="H1762" s="144"/>
      <c r="I1762" s="144"/>
      <c r="J1762" s="144"/>
      <c r="K1762" s="144"/>
      <c r="L1762" s="144"/>
      <c r="M1762" s="144"/>
      <c r="N1762" s="144"/>
      <c r="O1762" s="144"/>
    </row>
    <row r="1763" spans="8:15" x14ac:dyDescent="0.25">
      <c r="H1763" s="144"/>
      <c r="I1763" s="144"/>
      <c r="J1763" s="144"/>
      <c r="K1763" s="144"/>
      <c r="L1763" s="144"/>
      <c r="M1763" s="144"/>
      <c r="N1763" s="144"/>
      <c r="O1763" s="144"/>
    </row>
    <row r="1764" spans="8:15" x14ac:dyDescent="0.25">
      <c r="H1764" s="144"/>
      <c r="I1764" s="144"/>
      <c r="J1764" s="144"/>
      <c r="K1764" s="144"/>
      <c r="L1764" s="144"/>
      <c r="M1764" s="144"/>
      <c r="N1764" s="144"/>
      <c r="O1764" s="144"/>
    </row>
    <row r="1765" spans="8:15" x14ac:dyDescent="0.25">
      <c r="H1765" s="144"/>
      <c r="I1765" s="144"/>
      <c r="J1765" s="144"/>
      <c r="K1765" s="144"/>
      <c r="L1765" s="144"/>
      <c r="M1765" s="144"/>
      <c r="N1765" s="144"/>
      <c r="O1765" s="144"/>
    </row>
    <row r="1766" spans="8:15" x14ac:dyDescent="0.25">
      <c r="H1766" s="144"/>
      <c r="I1766" s="144"/>
      <c r="J1766" s="144"/>
      <c r="K1766" s="144"/>
      <c r="L1766" s="144"/>
      <c r="M1766" s="144"/>
      <c r="N1766" s="144"/>
      <c r="O1766" s="144"/>
    </row>
    <row r="1767" spans="8:15" x14ac:dyDescent="0.25">
      <c r="H1767" s="144"/>
      <c r="I1767" s="144"/>
      <c r="J1767" s="144"/>
      <c r="K1767" s="144"/>
      <c r="L1767" s="144"/>
      <c r="M1767" s="144"/>
      <c r="N1767" s="144"/>
      <c r="O1767" s="144"/>
    </row>
    <row r="1768" spans="8:15" x14ac:dyDescent="0.25">
      <c r="H1768" s="144"/>
      <c r="I1768" s="144"/>
      <c r="J1768" s="144"/>
      <c r="K1768" s="144"/>
      <c r="L1768" s="144"/>
      <c r="M1768" s="144"/>
      <c r="N1768" s="144"/>
      <c r="O1768" s="144"/>
    </row>
    <row r="1769" spans="8:15" x14ac:dyDescent="0.25">
      <c r="H1769" s="144"/>
      <c r="I1769" s="144"/>
      <c r="J1769" s="144"/>
      <c r="K1769" s="144"/>
      <c r="L1769" s="144"/>
      <c r="M1769" s="144"/>
      <c r="N1769" s="144"/>
      <c r="O1769" s="144"/>
    </row>
    <row r="1770" spans="8:15" x14ac:dyDescent="0.25">
      <c r="H1770" s="144"/>
      <c r="I1770" s="144"/>
      <c r="J1770" s="144"/>
      <c r="K1770" s="144"/>
      <c r="L1770" s="144"/>
      <c r="M1770" s="144"/>
      <c r="N1770" s="144"/>
      <c r="O1770" s="144"/>
    </row>
    <row r="1771" spans="8:15" x14ac:dyDescent="0.25">
      <c r="H1771" s="144"/>
      <c r="I1771" s="144"/>
      <c r="J1771" s="144"/>
      <c r="K1771" s="144"/>
      <c r="L1771" s="144"/>
      <c r="M1771" s="144"/>
      <c r="N1771" s="144"/>
      <c r="O1771" s="144"/>
    </row>
    <row r="1772" spans="8:15" x14ac:dyDescent="0.25">
      <c r="H1772" s="144"/>
      <c r="I1772" s="144"/>
      <c r="J1772" s="144"/>
      <c r="K1772" s="144"/>
      <c r="L1772" s="144"/>
      <c r="M1772" s="144"/>
      <c r="N1772" s="144"/>
      <c r="O1772" s="144"/>
    </row>
    <row r="1773" spans="8:15" x14ac:dyDescent="0.25">
      <c r="H1773" s="144"/>
      <c r="I1773" s="144"/>
      <c r="J1773" s="144"/>
      <c r="K1773" s="144"/>
      <c r="L1773" s="144"/>
      <c r="M1773" s="144"/>
      <c r="N1773" s="144"/>
      <c r="O1773" s="144"/>
    </row>
    <row r="1774" spans="8:15" x14ac:dyDescent="0.25">
      <c r="H1774" s="144"/>
      <c r="I1774" s="144"/>
      <c r="J1774" s="144"/>
      <c r="K1774" s="144"/>
      <c r="L1774" s="144"/>
      <c r="M1774" s="144"/>
      <c r="N1774" s="144"/>
      <c r="O1774" s="144"/>
    </row>
    <row r="1775" spans="8:15" x14ac:dyDescent="0.25">
      <c r="H1775" s="144"/>
      <c r="I1775" s="144"/>
      <c r="J1775" s="144"/>
      <c r="K1775" s="144"/>
      <c r="L1775" s="144"/>
      <c r="M1775" s="144"/>
      <c r="N1775" s="144"/>
      <c r="O1775" s="144"/>
    </row>
    <row r="1776" spans="8:15" x14ac:dyDescent="0.25">
      <c r="H1776" s="144"/>
      <c r="I1776" s="144"/>
      <c r="J1776" s="144"/>
      <c r="K1776" s="144"/>
      <c r="L1776" s="144"/>
      <c r="M1776" s="144"/>
      <c r="N1776" s="144"/>
      <c r="O1776" s="144"/>
    </row>
    <row r="1777" spans="8:15" x14ac:dyDescent="0.25">
      <c r="H1777" s="144"/>
      <c r="I1777" s="144"/>
      <c r="J1777" s="144"/>
      <c r="K1777" s="144"/>
      <c r="L1777" s="144"/>
      <c r="M1777" s="144"/>
      <c r="N1777" s="144"/>
      <c r="O1777" s="144"/>
    </row>
    <row r="1778" spans="8:15" x14ac:dyDescent="0.25">
      <c r="H1778" s="144"/>
      <c r="I1778" s="144"/>
      <c r="J1778" s="144"/>
      <c r="K1778" s="144"/>
      <c r="L1778" s="144"/>
      <c r="M1778" s="144"/>
      <c r="N1778" s="144"/>
      <c r="O1778" s="144"/>
    </row>
    <row r="1779" spans="8:15" x14ac:dyDescent="0.25">
      <c r="H1779" s="144"/>
      <c r="I1779" s="144"/>
      <c r="J1779" s="144"/>
      <c r="K1779" s="144"/>
      <c r="L1779" s="144"/>
      <c r="M1779" s="144"/>
      <c r="N1779" s="144"/>
      <c r="O1779" s="144"/>
    </row>
    <row r="1780" spans="8:15" x14ac:dyDescent="0.25">
      <c r="H1780" s="144"/>
      <c r="I1780" s="144"/>
      <c r="J1780" s="144"/>
      <c r="K1780" s="144"/>
      <c r="L1780" s="144"/>
      <c r="M1780" s="144"/>
      <c r="N1780" s="144"/>
      <c r="O1780" s="144"/>
    </row>
    <row r="1781" spans="8:15" x14ac:dyDescent="0.25">
      <c r="H1781" s="144"/>
      <c r="I1781" s="144"/>
      <c r="J1781" s="144"/>
      <c r="K1781" s="144"/>
      <c r="L1781" s="144"/>
      <c r="M1781" s="144"/>
      <c r="N1781" s="144"/>
      <c r="O1781" s="144"/>
    </row>
    <row r="1782" spans="8:15" x14ac:dyDescent="0.25">
      <c r="H1782" s="144"/>
      <c r="I1782" s="144"/>
      <c r="J1782" s="144"/>
      <c r="K1782" s="144"/>
      <c r="L1782" s="144"/>
      <c r="M1782" s="144"/>
      <c r="N1782" s="144"/>
      <c r="O1782" s="144"/>
    </row>
    <row r="1783" spans="8:15" x14ac:dyDescent="0.25">
      <c r="H1783" s="144"/>
      <c r="I1783" s="144"/>
      <c r="J1783" s="144"/>
      <c r="K1783" s="144"/>
      <c r="L1783" s="144"/>
      <c r="M1783" s="144"/>
      <c r="N1783" s="144"/>
      <c r="O1783" s="144"/>
    </row>
    <row r="1784" spans="8:15" x14ac:dyDescent="0.25">
      <c r="H1784" s="144"/>
      <c r="I1784" s="144"/>
      <c r="J1784" s="144"/>
      <c r="K1784" s="144"/>
      <c r="L1784" s="144"/>
      <c r="M1784" s="144"/>
      <c r="N1784" s="144"/>
      <c r="O1784" s="144"/>
    </row>
    <row r="1785" spans="8:15" x14ac:dyDescent="0.25">
      <c r="H1785" s="144"/>
      <c r="I1785" s="144"/>
      <c r="J1785" s="144"/>
      <c r="K1785" s="144"/>
      <c r="L1785" s="144"/>
      <c r="M1785" s="144"/>
      <c r="N1785" s="144"/>
      <c r="O1785" s="144"/>
    </row>
    <row r="1786" spans="8:15" x14ac:dyDescent="0.25">
      <c r="H1786" s="144"/>
      <c r="I1786" s="144"/>
      <c r="J1786" s="144"/>
      <c r="K1786" s="144"/>
      <c r="L1786" s="144"/>
      <c r="M1786" s="144"/>
      <c r="N1786" s="144"/>
      <c r="O1786" s="144"/>
    </row>
    <row r="1787" spans="8:15" x14ac:dyDescent="0.25">
      <c r="H1787" s="144"/>
      <c r="I1787" s="144"/>
      <c r="J1787" s="144"/>
      <c r="K1787" s="144"/>
      <c r="L1787" s="144"/>
      <c r="M1787" s="144"/>
      <c r="N1787" s="144"/>
      <c r="O1787" s="144"/>
    </row>
    <row r="1788" spans="8:15" x14ac:dyDescent="0.25">
      <c r="H1788" s="144"/>
      <c r="I1788" s="144"/>
      <c r="J1788" s="144"/>
      <c r="K1788" s="144"/>
      <c r="L1788" s="144"/>
      <c r="M1788" s="144"/>
      <c r="N1788" s="144"/>
      <c r="O1788" s="144"/>
    </row>
    <row r="1789" spans="8:15" x14ac:dyDescent="0.25">
      <c r="H1789" s="144"/>
      <c r="I1789" s="144"/>
      <c r="J1789" s="144"/>
      <c r="K1789" s="144"/>
      <c r="L1789" s="144"/>
      <c r="M1789" s="144"/>
      <c r="N1789" s="144"/>
      <c r="O1789" s="144"/>
    </row>
    <row r="1790" spans="8:15" x14ac:dyDescent="0.25">
      <c r="H1790" s="144"/>
      <c r="I1790" s="144"/>
      <c r="J1790" s="144"/>
      <c r="K1790" s="144"/>
      <c r="L1790" s="144"/>
      <c r="M1790" s="144"/>
      <c r="N1790" s="144"/>
      <c r="O1790" s="144"/>
    </row>
    <row r="1791" spans="8:15" x14ac:dyDescent="0.25">
      <c r="H1791" s="144"/>
      <c r="I1791" s="144"/>
      <c r="J1791" s="144"/>
      <c r="K1791" s="144"/>
      <c r="L1791" s="144"/>
      <c r="M1791" s="144"/>
      <c r="N1791" s="144"/>
      <c r="O1791" s="144"/>
    </row>
    <row r="1792" spans="8:15" x14ac:dyDescent="0.25">
      <c r="H1792" s="144"/>
      <c r="I1792" s="144"/>
      <c r="J1792" s="144"/>
      <c r="K1792" s="144"/>
      <c r="L1792" s="144"/>
      <c r="M1792" s="144"/>
      <c r="N1792" s="144"/>
      <c r="O1792" s="144"/>
    </row>
    <row r="1793" spans="8:15" x14ac:dyDescent="0.25">
      <c r="H1793" s="144"/>
      <c r="I1793" s="144"/>
      <c r="J1793" s="144"/>
      <c r="K1793" s="144"/>
      <c r="L1793" s="144"/>
      <c r="M1793" s="144"/>
      <c r="N1793" s="144"/>
      <c r="O1793" s="144"/>
    </row>
    <row r="1794" spans="8:15" x14ac:dyDescent="0.25">
      <c r="H1794" s="144"/>
      <c r="I1794" s="144"/>
      <c r="J1794" s="144"/>
      <c r="K1794" s="144"/>
      <c r="L1794" s="144"/>
      <c r="M1794" s="144"/>
      <c r="N1794" s="144"/>
      <c r="O1794" s="144"/>
    </row>
    <row r="1795" spans="8:15" x14ac:dyDescent="0.25">
      <c r="H1795" s="144"/>
      <c r="I1795" s="144"/>
      <c r="J1795" s="144"/>
      <c r="K1795" s="144"/>
      <c r="L1795" s="144"/>
      <c r="M1795" s="144"/>
      <c r="N1795" s="144"/>
      <c r="O1795" s="144"/>
    </row>
    <row r="1796" spans="8:15" x14ac:dyDescent="0.25">
      <c r="H1796" s="144"/>
      <c r="I1796" s="144"/>
      <c r="J1796" s="144"/>
      <c r="K1796" s="144"/>
      <c r="L1796" s="144"/>
      <c r="M1796" s="144"/>
      <c r="N1796" s="144"/>
      <c r="O1796" s="144"/>
    </row>
    <row r="1797" spans="8:15" x14ac:dyDescent="0.25">
      <c r="H1797" s="144"/>
      <c r="I1797" s="144"/>
      <c r="J1797" s="144"/>
      <c r="K1797" s="144"/>
      <c r="L1797" s="144"/>
      <c r="M1797" s="144"/>
      <c r="N1797" s="144"/>
      <c r="O1797" s="144"/>
    </row>
    <row r="1798" spans="8:15" x14ac:dyDescent="0.25">
      <c r="H1798" s="144"/>
      <c r="I1798" s="144"/>
      <c r="J1798" s="144"/>
      <c r="K1798" s="144"/>
      <c r="L1798" s="144"/>
      <c r="M1798" s="144"/>
      <c r="N1798" s="144"/>
      <c r="O1798" s="144"/>
    </row>
    <row r="1799" spans="8:15" x14ac:dyDescent="0.25">
      <c r="H1799" s="144"/>
      <c r="I1799" s="144"/>
      <c r="J1799" s="144"/>
      <c r="K1799" s="144"/>
      <c r="L1799" s="144"/>
      <c r="M1799" s="144"/>
      <c r="N1799" s="144"/>
      <c r="O1799" s="144"/>
    </row>
    <row r="1800" spans="8:15" x14ac:dyDescent="0.25">
      <c r="H1800" s="144"/>
      <c r="I1800" s="144"/>
      <c r="J1800" s="144"/>
      <c r="K1800" s="144"/>
      <c r="L1800" s="144"/>
      <c r="M1800" s="144"/>
      <c r="N1800" s="144"/>
      <c r="O1800" s="144"/>
    </row>
    <row r="1801" spans="8:15" x14ac:dyDescent="0.25">
      <c r="H1801" s="144"/>
      <c r="I1801" s="144"/>
      <c r="J1801" s="144"/>
      <c r="K1801" s="144"/>
      <c r="L1801" s="144"/>
      <c r="M1801" s="144"/>
      <c r="N1801" s="144"/>
      <c r="O1801" s="144"/>
    </row>
    <row r="1802" spans="8:15" x14ac:dyDescent="0.25">
      <c r="H1802" s="144"/>
      <c r="I1802" s="144"/>
      <c r="J1802" s="144"/>
      <c r="K1802" s="144"/>
      <c r="L1802" s="144"/>
      <c r="M1802" s="144"/>
      <c r="N1802" s="144"/>
      <c r="O1802" s="144"/>
    </row>
    <row r="1803" spans="8:15" x14ac:dyDescent="0.25">
      <c r="H1803" s="144"/>
      <c r="I1803" s="144"/>
      <c r="J1803" s="144"/>
      <c r="K1803" s="144"/>
      <c r="L1803" s="144"/>
      <c r="M1803" s="144"/>
      <c r="N1803" s="144"/>
      <c r="O1803" s="144"/>
    </row>
    <row r="1804" spans="8:15" x14ac:dyDescent="0.25">
      <c r="H1804" s="144"/>
      <c r="I1804" s="144"/>
      <c r="J1804" s="144"/>
      <c r="K1804" s="144"/>
      <c r="L1804" s="144"/>
      <c r="M1804" s="144"/>
      <c r="N1804" s="144"/>
      <c r="O1804" s="144"/>
    </row>
    <row r="1805" spans="8:15" x14ac:dyDescent="0.25">
      <c r="H1805" s="144"/>
      <c r="I1805" s="144"/>
      <c r="J1805" s="144"/>
      <c r="K1805" s="144"/>
      <c r="L1805" s="144"/>
      <c r="M1805" s="144"/>
      <c r="N1805" s="144"/>
      <c r="O1805" s="144"/>
    </row>
    <row r="1806" spans="8:15" x14ac:dyDescent="0.25">
      <c r="H1806" s="144"/>
      <c r="I1806" s="144"/>
      <c r="J1806" s="144"/>
      <c r="K1806" s="144"/>
      <c r="L1806" s="144"/>
      <c r="M1806" s="144"/>
      <c r="N1806" s="144"/>
      <c r="O1806" s="144"/>
    </row>
    <row r="1807" spans="8:15" x14ac:dyDescent="0.25">
      <c r="H1807" s="144"/>
      <c r="I1807" s="144"/>
      <c r="J1807" s="144"/>
      <c r="K1807" s="144"/>
      <c r="L1807" s="144"/>
      <c r="M1807" s="144"/>
      <c r="N1807" s="144"/>
      <c r="O1807" s="144"/>
    </row>
    <row r="1808" spans="8:15" x14ac:dyDescent="0.25">
      <c r="H1808" s="144"/>
      <c r="I1808" s="144"/>
      <c r="J1808" s="144"/>
      <c r="K1808" s="144"/>
      <c r="L1808" s="144"/>
      <c r="M1808" s="144"/>
      <c r="N1808" s="144"/>
      <c r="O1808" s="144"/>
    </row>
    <row r="1809" spans="8:15" x14ac:dyDescent="0.25">
      <c r="H1809" s="144"/>
      <c r="I1809" s="144"/>
      <c r="J1809" s="144"/>
      <c r="K1809" s="144"/>
      <c r="L1809" s="144"/>
      <c r="M1809" s="144"/>
      <c r="N1809" s="144"/>
      <c r="O1809" s="144"/>
    </row>
    <row r="1810" spans="8:15" x14ac:dyDescent="0.25">
      <c r="H1810" s="144"/>
      <c r="I1810" s="144"/>
      <c r="J1810" s="144"/>
      <c r="K1810" s="144"/>
      <c r="L1810" s="144"/>
      <c r="M1810" s="144"/>
      <c r="N1810" s="144"/>
      <c r="O1810" s="144"/>
    </row>
    <row r="1811" spans="8:15" x14ac:dyDescent="0.25">
      <c r="H1811" s="144"/>
      <c r="I1811" s="144"/>
      <c r="J1811" s="144"/>
      <c r="K1811" s="144"/>
      <c r="L1811" s="144"/>
      <c r="M1811" s="144"/>
      <c r="N1811" s="144"/>
      <c r="O1811" s="144"/>
    </row>
    <row r="1812" spans="8:15" x14ac:dyDescent="0.25">
      <c r="H1812" s="144"/>
      <c r="I1812" s="144"/>
      <c r="J1812" s="144"/>
      <c r="K1812" s="144"/>
      <c r="L1812" s="144"/>
      <c r="M1812" s="144"/>
      <c r="N1812" s="144"/>
      <c r="O1812" s="144"/>
    </row>
    <row r="1813" spans="8:15" x14ac:dyDescent="0.25">
      <c r="H1813" s="144"/>
      <c r="I1813" s="144"/>
      <c r="J1813" s="144"/>
      <c r="K1813" s="144"/>
      <c r="L1813" s="144"/>
      <c r="M1813" s="144"/>
      <c r="N1813" s="144"/>
      <c r="O1813" s="144"/>
    </row>
    <row r="1814" spans="8:15" x14ac:dyDescent="0.25">
      <c r="H1814" s="144"/>
      <c r="I1814" s="144"/>
      <c r="J1814" s="144"/>
      <c r="K1814" s="144"/>
      <c r="L1814" s="144"/>
      <c r="M1814" s="144"/>
      <c r="N1814" s="144"/>
      <c r="O1814" s="144"/>
    </row>
    <row r="1815" spans="8:15" x14ac:dyDescent="0.25">
      <c r="H1815" s="144"/>
      <c r="I1815" s="144"/>
      <c r="J1815" s="144"/>
      <c r="K1815" s="144"/>
      <c r="L1815" s="144"/>
      <c r="M1815" s="144"/>
      <c r="N1815" s="144"/>
      <c r="O1815" s="144"/>
    </row>
    <row r="1816" spans="8:15" x14ac:dyDescent="0.25">
      <c r="H1816" s="144"/>
      <c r="I1816" s="144"/>
      <c r="J1816" s="144"/>
      <c r="K1816" s="144"/>
      <c r="L1816" s="144"/>
      <c r="M1816" s="144"/>
      <c r="N1816" s="144"/>
      <c r="O1816" s="144"/>
    </row>
    <row r="1817" spans="8:15" x14ac:dyDescent="0.25">
      <c r="H1817" s="144"/>
      <c r="I1817" s="144"/>
      <c r="J1817" s="144"/>
      <c r="K1817" s="144"/>
      <c r="L1817" s="144"/>
      <c r="M1817" s="144"/>
      <c r="N1817" s="144"/>
      <c r="O1817" s="144"/>
    </row>
    <row r="1818" spans="8:15" x14ac:dyDescent="0.25">
      <c r="H1818" s="144"/>
      <c r="I1818" s="144"/>
      <c r="J1818" s="144"/>
      <c r="K1818" s="144"/>
      <c r="L1818" s="144"/>
      <c r="M1818" s="144"/>
      <c r="N1818" s="144"/>
      <c r="O1818" s="144"/>
    </row>
    <row r="1819" spans="8:15" x14ac:dyDescent="0.25">
      <c r="H1819" s="144"/>
      <c r="I1819" s="144"/>
      <c r="J1819" s="144"/>
      <c r="K1819" s="144"/>
      <c r="L1819" s="144"/>
      <c r="M1819" s="144"/>
      <c r="N1819" s="144"/>
      <c r="O1819" s="144"/>
    </row>
    <row r="1820" spans="8:15" x14ac:dyDescent="0.25">
      <c r="H1820" s="144"/>
      <c r="I1820" s="144"/>
      <c r="J1820" s="144"/>
      <c r="K1820" s="144"/>
      <c r="L1820" s="144"/>
      <c r="M1820" s="144"/>
      <c r="N1820" s="144"/>
      <c r="O1820" s="144"/>
    </row>
    <row r="1821" spans="8:15" x14ac:dyDescent="0.25">
      <c r="H1821" s="144"/>
      <c r="I1821" s="144"/>
      <c r="J1821" s="144"/>
      <c r="K1821" s="144"/>
      <c r="L1821" s="144"/>
      <c r="M1821" s="144"/>
      <c r="N1821" s="144"/>
      <c r="O1821" s="144"/>
    </row>
    <row r="1822" spans="8:15" x14ac:dyDescent="0.25">
      <c r="H1822" s="144"/>
      <c r="I1822" s="144"/>
      <c r="J1822" s="144"/>
      <c r="K1822" s="144"/>
      <c r="L1822" s="144"/>
      <c r="M1822" s="144"/>
      <c r="N1822" s="144"/>
      <c r="O1822" s="144"/>
    </row>
    <row r="1823" spans="8:15" x14ac:dyDescent="0.25">
      <c r="H1823" s="144"/>
      <c r="I1823" s="144"/>
      <c r="J1823" s="144"/>
      <c r="K1823" s="144"/>
      <c r="L1823" s="144"/>
      <c r="M1823" s="144"/>
      <c r="N1823" s="144"/>
      <c r="O1823" s="144"/>
    </row>
    <row r="1824" spans="8:15" x14ac:dyDescent="0.25">
      <c r="H1824" s="144"/>
      <c r="I1824" s="144"/>
      <c r="J1824" s="144"/>
      <c r="K1824" s="144"/>
      <c r="L1824" s="144"/>
      <c r="M1824" s="144"/>
      <c r="N1824" s="144"/>
      <c r="O1824" s="144"/>
    </row>
    <row r="1825" spans="8:15" x14ac:dyDescent="0.25">
      <c r="H1825" s="144"/>
      <c r="I1825" s="144"/>
      <c r="J1825" s="144"/>
      <c r="K1825" s="144"/>
      <c r="L1825" s="144"/>
      <c r="M1825" s="144"/>
      <c r="N1825" s="144"/>
      <c r="O1825" s="144"/>
    </row>
    <row r="1826" spans="8:15" x14ac:dyDescent="0.25">
      <c r="H1826" s="144"/>
      <c r="I1826" s="144"/>
      <c r="J1826" s="144"/>
      <c r="K1826" s="144"/>
      <c r="L1826" s="144"/>
      <c r="M1826" s="144"/>
      <c r="N1826" s="144"/>
      <c r="O1826" s="144"/>
    </row>
    <row r="1827" spans="8:15" x14ac:dyDescent="0.25">
      <c r="H1827" s="144"/>
      <c r="I1827" s="144"/>
      <c r="J1827" s="144"/>
      <c r="K1827" s="144"/>
      <c r="L1827" s="144"/>
      <c r="M1827" s="144"/>
      <c r="N1827" s="144"/>
      <c r="O1827" s="144"/>
    </row>
    <row r="1828" spans="8:15" x14ac:dyDescent="0.25">
      <c r="H1828" s="144"/>
      <c r="I1828" s="144"/>
      <c r="J1828" s="144"/>
      <c r="K1828" s="144"/>
      <c r="L1828" s="144"/>
      <c r="M1828" s="144"/>
      <c r="N1828" s="144"/>
      <c r="O1828" s="144"/>
    </row>
    <row r="1829" spans="8:15" x14ac:dyDescent="0.25">
      <c r="H1829" s="144"/>
      <c r="I1829" s="144"/>
      <c r="J1829" s="144"/>
      <c r="K1829" s="144"/>
      <c r="L1829" s="144"/>
      <c r="M1829" s="144"/>
      <c r="N1829" s="144"/>
      <c r="O1829" s="144"/>
    </row>
    <row r="1830" spans="8:15" x14ac:dyDescent="0.25">
      <c r="H1830" s="144"/>
      <c r="I1830" s="144"/>
      <c r="J1830" s="144"/>
      <c r="K1830" s="144"/>
      <c r="L1830" s="144"/>
      <c r="M1830" s="144"/>
      <c r="N1830" s="144"/>
      <c r="O1830" s="144"/>
    </row>
    <row r="1831" spans="8:15" x14ac:dyDescent="0.25">
      <c r="H1831" s="144"/>
      <c r="I1831" s="144"/>
      <c r="J1831" s="144"/>
      <c r="K1831" s="144"/>
      <c r="L1831" s="144"/>
      <c r="M1831" s="144"/>
      <c r="N1831" s="144"/>
      <c r="O1831" s="144"/>
    </row>
    <row r="1832" spans="8:15" x14ac:dyDescent="0.25">
      <c r="H1832" s="144"/>
      <c r="I1832" s="144"/>
      <c r="J1832" s="144"/>
      <c r="K1832" s="144"/>
      <c r="L1832" s="144"/>
      <c r="M1832" s="144"/>
      <c r="N1832" s="144"/>
      <c r="O1832" s="144"/>
    </row>
    <row r="1833" spans="8:15" x14ac:dyDescent="0.25">
      <c r="H1833" s="144"/>
      <c r="I1833" s="144"/>
      <c r="J1833" s="144"/>
      <c r="K1833" s="144"/>
      <c r="L1833" s="144"/>
      <c r="M1833" s="144"/>
      <c r="N1833" s="144"/>
      <c r="O1833" s="144"/>
    </row>
    <row r="1834" spans="8:15" x14ac:dyDescent="0.25">
      <c r="H1834" s="144"/>
      <c r="I1834" s="144"/>
      <c r="J1834" s="144"/>
      <c r="K1834" s="144"/>
      <c r="L1834" s="144"/>
      <c r="M1834" s="144"/>
      <c r="N1834" s="144"/>
      <c r="O1834" s="144"/>
    </row>
    <row r="1835" spans="8:15" x14ac:dyDescent="0.25">
      <c r="H1835" s="144"/>
      <c r="I1835" s="144"/>
      <c r="J1835" s="144"/>
      <c r="K1835" s="144"/>
      <c r="L1835" s="144"/>
      <c r="M1835" s="144"/>
      <c r="N1835" s="144"/>
      <c r="O1835" s="144"/>
    </row>
    <row r="1836" spans="8:15" x14ac:dyDescent="0.25">
      <c r="H1836" s="144"/>
      <c r="I1836" s="144"/>
      <c r="J1836" s="144"/>
      <c r="K1836" s="144"/>
      <c r="L1836" s="144"/>
      <c r="M1836" s="144"/>
      <c r="N1836" s="144"/>
      <c r="O1836" s="144"/>
    </row>
    <row r="1837" spans="8:15" x14ac:dyDescent="0.25">
      <c r="H1837" s="144"/>
      <c r="I1837" s="144"/>
      <c r="J1837" s="144"/>
      <c r="K1837" s="144"/>
      <c r="L1837" s="144"/>
      <c r="M1837" s="144"/>
      <c r="N1837" s="144"/>
      <c r="O1837" s="144"/>
    </row>
    <row r="1838" spans="8:15" x14ac:dyDescent="0.25">
      <c r="H1838" s="144"/>
      <c r="I1838" s="144"/>
      <c r="J1838" s="144"/>
      <c r="K1838" s="144"/>
      <c r="L1838" s="144"/>
      <c r="M1838" s="144"/>
      <c r="N1838" s="144"/>
      <c r="O1838" s="144"/>
    </row>
    <row r="1839" spans="8:15" x14ac:dyDescent="0.25">
      <c r="H1839" s="144"/>
      <c r="I1839" s="144"/>
      <c r="J1839" s="144"/>
      <c r="K1839" s="144"/>
      <c r="L1839" s="144"/>
      <c r="M1839" s="144"/>
      <c r="N1839" s="144"/>
      <c r="O1839" s="144"/>
    </row>
    <row r="1840" spans="8:15" x14ac:dyDescent="0.25">
      <c r="H1840" s="144"/>
      <c r="I1840" s="144"/>
      <c r="J1840" s="144"/>
      <c r="K1840" s="144"/>
      <c r="L1840" s="144"/>
      <c r="M1840" s="144"/>
      <c r="N1840" s="144"/>
      <c r="O1840" s="144"/>
    </row>
    <row r="1841" spans="8:15" x14ac:dyDescent="0.25">
      <c r="H1841" s="144"/>
      <c r="I1841" s="144"/>
      <c r="J1841" s="144"/>
      <c r="K1841" s="144"/>
      <c r="L1841" s="144"/>
      <c r="M1841" s="144"/>
      <c r="N1841" s="144"/>
      <c r="O1841" s="144"/>
    </row>
    <row r="1842" spans="8:15" x14ac:dyDescent="0.25">
      <c r="H1842" s="144"/>
      <c r="I1842" s="144"/>
      <c r="J1842" s="144"/>
      <c r="K1842" s="144"/>
      <c r="L1842" s="144"/>
      <c r="M1842" s="144"/>
      <c r="N1842" s="144"/>
      <c r="O1842" s="144"/>
    </row>
    <row r="1843" spans="8:15" x14ac:dyDescent="0.25">
      <c r="H1843" s="144"/>
      <c r="I1843" s="144"/>
      <c r="J1843" s="144"/>
      <c r="K1843" s="144"/>
      <c r="L1843" s="144"/>
      <c r="M1843" s="144"/>
      <c r="N1843" s="144"/>
      <c r="O1843" s="144"/>
    </row>
    <row r="1844" spans="8:15" x14ac:dyDescent="0.25">
      <c r="H1844" s="144"/>
      <c r="I1844" s="144"/>
      <c r="J1844" s="144"/>
      <c r="K1844" s="144"/>
      <c r="L1844" s="144"/>
      <c r="M1844" s="144"/>
      <c r="N1844" s="144"/>
      <c r="O1844" s="144"/>
    </row>
    <row r="1845" spans="8:15" x14ac:dyDescent="0.25">
      <c r="H1845" s="144"/>
      <c r="I1845" s="144"/>
      <c r="J1845" s="144"/>
      <c r="K1845" s="144"/>
      <c r="L1845" s="144"/>
      <c r="M1845" s="144"/>
      <c r="N1845" s="144"/>
      <c r="O1845" s="144"/>
    </row>
    <row r="1846" spans="8:15" x14ac:dyDescent="0.25">
      <c r="H1846" s="144"/>
      <c r="I1846" s="144"/>
      <c r="J1846" s="144"/>
      <c r="K1846" s="144"/>
      <c r="L1846" s="144"/>
      <c r="M1846" s="144"/>
      <c r="N1846" s="144"/>
      <c r="O1846" s="144"/>
    </row>
    <row r="1847" spans="8:15" x14ac:dyDescent="0.25">
      <c r="H1847" s="144"/>
      <c r="I1847" s="144"/>
      <c r="J1847" s="144"/>
      <c r="K1847" s="144"/>
      <c r="L1847" s="144"/>
      <c r="M1847" s="144"/>
      <c r="N1847" s="144"/>
      <c r="O1847" s="144"/>
    </row>
    <row r="1848" spans="8:15" x14ac:dyDescent="0.25">
      <c r="H1848" s="144"/>
      <c r="I1848" s="144"/>
      <c r="J1848" s="144"/>
      <c r="K1848" s="144"/>
      <c r="L1848" s="144"/>
      <c r="M1848" s="144"/>
      <c r="N1848" s="144"/>
      <c r="O1848" s="144"/>
    </row>
    <row r="1849" spans="8:15" x14ac:dyDescent="0.25">
      <c r="H1849" s="144"/>
      <c r="I1849" s="144"/>
      <c r="J1849" s="144"/>
      <c r="K1849" s="144"/>
      <c r="L1849" s="144"/>
      <c r="M1849" s="144"/>
      <c r="N1849" s="144"/>
      <c r="O1849" s="144"/>
    </row>
    <row r="1850" spans="8:15" x14ac:dyDescent="0.25">
      <c r="H1850" s="144"/>
      <c r="I1850" s="144"/>
      <c r="J1850" s="144"/>
      <c r="K1850" s="144"/>
      <c r="L1850" s="144"/>
      <c r="M1850" s="144"/>
      <c r="N1850" s="144"/>
      <c r="O1850" s="144"/>
    </row>
    <row r="1851" spans="8:15" x14ac:dyDescent="0.25">
      <c r="H1851" s="144"/>
      <c r="I1851" s="144"/>
      <c r="J1851" s="144"/>
      <c r="K1851" s="144"/>
      <c r="L1851" s="144"/>
      <c r="M1851" s="144"/>
      <c r="N1851" s="144"/>
      <c r="O1851" s="144"/>
    </row>
    <row r="1852" spans="8:15" x14ac:dyDescent="0.25">
      <c r="H1852" s="144"/>
      <c r="I1852" s="144"/>
      <c r="J1852" s="144"/>
      <c r="K1852" s="144"/>
      <c r="L1852" s="144"/>
      <c r="M1852" s="144"/>
      <c r="N1852" s="144"/>
      <c r="O1852" s="144"/>
    </row>
    <row r="1853" spans="8:15" x14ac:dyDescent="0.25">
      <c r="H1853" s="144"/>
      <c r="I1853" s="144"/>
      <c r="J1853" s="144"/>
      <c r="K1853" s="144"/>
      <c r="L1853" s="144"/>
      <c r="M1853" s="144"/>
      <c r="N1853" s="144"/>
      <c r="O1853" s="144"/>
    </row>
    <row r="1854" spans="8:15" x14ac:dyDescent="0.25">
      <c r="H1854" s="144"/>
      <c r="I1854" s="144"/>
      <c r="J1854" s="144"/>
      <c r="K1854" s="144"/>
      <c r="L1854" s="144"/>
      <c r="M1854" s="144"/>
      <c r="N1854" s="144"/>
      <c r="O1854" s="144"/>
    </row>
    <row r="1855" spans="8:15" x14ac:dyDescent="0.25">
      <c r="H1855" s="144"/>
      <c r="I1855" s="144"/>
      <c r="J1855" s="144"/>
      <c r="K1855" s="144"/>
      <c r="L1855" s="144"/>
      <c r="M1855" s="144"/>
      <c r="N1855" s="144"/>
      <c r="O1855" s="144"/>
    </row>
    <row r="1856" spans="8:15" x14ac:dyDescent="0.25">
      <c r="H1856" s="144"/>
      <c r="I1856" s="144"/>
      <c r="J1856" s="144"/>
      <c r="K1856" s="144"/>
      <c r="L1856" s="144"/>
      <c r="M1856" s="144"/>
      <c r="N1856" s="144"/>
      <c r="O1856" s="144"/>
    </row>
    <row r="1857" spans="8:15" x14ac:dyDescent="0.25">
      <c r="H1857" s="144"/>
      <c r="I1857" s="144"/>
      <c r="J1857" s="144"/>
      <c r="K1857" s="144"/>
      <c r="L1857" s="144"/>
      <c r="M1857" s="144"/>
      <c r="N1857" s="144"/>
      <c r="O1857" s="144"/>
    </row>
    <row r="1858" spans="8:15" x14ac:dyDescent="0.25">
      <c r="H1858" s="144"/>
      <c r="I1858" s="144"/>
      <c r="J1858" s="144"/>
      <c r="K1858" s="144"/>
      <c r="L1858" s="144"/>
      <c r="M1858" s="144"/>
      <c r="N1858" s="144"/>
      <c r="O1858" s="144"/>
    </row>
    <row r="1859" spans="8:15" x14ac:dyDescent="0.25">
      <c r="H1859" s="144"/>
      <c r="I1859" s="144"/>
      <c r="J1859" s="144"/>
      <c r="K1859" s="144"/>
      <c r="L1859" s="144"/>
      <c r="M1859" s="144"/>
      <c r="N1859" s="144"/>
      <c r="O1859" s="144"/>
    </row>
    <row r="1860" spans="8:15" x14ac:dyDescent="0.25">
      <c r="H1860" s="144"/>
      <c r="I1860" s="144"/>
      <c r="J1860" s="144"/>
      <c r="K1860" s="144"/>
      <c r="L1860" s="144"/>
      <c r="M1860" s="144"/>
      <c r="N1860" s="144"/>
      <c r="O1860" s="144"/>
    </row>
    <row r="1861" spans="8:15" x14ac:dyDescent="0.25">
      <c r="H1861" s="144"/>
      <c r="I1861" s="144"/>
      <c r="J1861" s="144"/>
      <c r="K1861" s="144"/>
      <c r="L1861" s="144"/>
      <c r="M1861" s="144"/>
      <c r="N1861" s="144"/>
      <c r="O1861" s="144"/>
    </row>
    <row r="1862" spans="8:15" x14ac:dyDescent="0.25">
      <c r="H1862" s="144"/>
      <c r="I1862" s="144"/>
      <c r="J1862" s="144"/>
      <c r="K1862" s="144"/>
      <c r="L1862" s="144"/>
      <c r="M1862" s="144"/>
      <c r="N1862" s="144"/>
      <c r="O1862" s="144"/>
    </row>
    <row r="1863" spans="8:15" x14ac:dyDescent="0.25">
      <c r="H1863" s="144"/>
      <c r="I1863" s="144"/>
      <c r="J1863" s="144"/>
      <c r="K1863" s="144"/>
      <c r="L1863" s="144"/>
      <c r="M1863" s="144"/>
      <c r="N1863" s="144"/>
      <c r="O1863" s="144"/>
    </row>
    <row r="1864" spans="8:15" x14ac:dyDescent="0.25">
      <c r="H1864" s="144"/>
      <c r="I1864" s="144"/>
      <c r="J1864" s="144"/>
      <c r="K1864" s="144"/>
      <c r="L1864" s="144"/>
      <c r="M1864" s="144"/>
      <c r="N1864" s="144"/>
      <c r="O1864" s="144"/>
    </row>
    <row r="1865" spans="8:15" x14ac:dyDescent="0.25">
      <c r="H1865" s="144"/>
      <c r="I1865" s="144"/>
      <c r="J1865" s="144"/>
      <c r="K1865" s="144"/>
      <c r="L1865" s="144"/>
      <c r="M1865" s="144"/>
      <c r="N1865" s="144"/>
      <c r="O1865" s="144"/>
    </row>
    <row r="1866" spans="8:15" x14ac:dyDescent="0.25">
      <c r="H1866" s="144"/>
      <c r="I1866" s="144"/>
      <c r="J1866" s="144"/>
      <c r="K1866" s="144"/>
      <c r="L1866" s="144"/>
      <c r="M1866" s="144"/>
      <c r="N1866" s="144"/>
      <c r="O1866" s="144"/>
    </row>
    <row r="1867" spans="8:15" x14ac:dyDescent="0.25">
      <c r="H1867" s="144"/>
      <c r="I1867" s="144"/>
      <c r="J1867" s="144"/>
      <c r="K1867" s="144"/>
      <c r="L1867" s="144"/>
      <c r="M1867" s="144"/>
      <c r="N1867" s="144"/>
      <c r="O1867" s="144"/>
    </row>
    <row r="1868" spans="8:15" x14ac:dyDescent="0.25">
      <c r="H1868" s="144"/>
      <c r="I1868" s="144"/>
      <c r="J1868" s="144"/>
      <c r="K1868" s="144"/>
      <c r="L1868" s="144"/>
      <c r="M1868" s="144"/>
      <c r="N1868" s="144"/>
      <c r="O1868" s="144"/>
    </row>
    <row r="1869" spans="8:15" x14ac:dyDescent="0.25">
      <c r="H1869" s="144"/>
      <c r="I1869" s="144"/>
      <c r="J1869" s="144"/>
      <c r="K1869" s="144"/>
      <c r="L1869" s="144"/>
      <c r="M1869" s="144"/>
      <c r="N1869" s="144"/>
      <c r="O1869" s="144"/>
    </row>
    <row r="1870" spans="8:15" x14ac:dyDescent="0.25">
      <c r="H1870" s="144"/>
      <c r="I1870" s="144"/>
      <c r="J1870" s="144"/>
      <c r="K1870" s="144"/>
      <c r="L1870" s="144"/>
      <c r="M1870" s="144"/>
      <c r="N1870" s="144"/>
      <c r="O1870" s="144"/>
    </row>
    <row r="1871" spans="8:15" x14ac:dyDescent="0.25">
      <c r="H1871" s="144"/>
      <c r="I1871" s="144"/>
      <c r="J1871" s="144"/>
      <c r="K1871" s="144"/>
      <c r="L1871" s="144"/>
      <c r="M1871" s="144"/>
      <c r="N1871" s="144"/>
      <c r="O1871" s="144"/>
    </row>
    <row r="1872" spans="8:15" x14ac:dyDescent="0.25">
      <c r="H1872" s="144"/>
      <c r="I1872" s="144"/>
      <c r="J1872" s="144"/>
      <c r="K1872" s="144"/>
      <c r="L1872" s="144"/>
      <c r="M1872" s="144"/>
      <c r="N1872" s="144"/>
      <c r="O1872" s="144"/>
    </row>
    <row r="1873" spans="8:15" x14ac:dyDescent="0.25">
      <c r="H1873" s="144"/>
      <c r="I1873" s="144"/>
      <c r="J1873" s="144"/>
      <c r="K1873" s="144"/>
      <c r="L1873" s="144"/>
      <c r="M1873" s="144"/>
      <c r="N1873" s="144"/>
      <c r="O1873" s="144"/>
    </row>
    <row r="1874" spans="8:15" x14ac:dyDescent="0.25">
      <c r="H1874" s="144"/>
      <c r="I1874" s="144"/>
      <c r="J1874" s="144"/>
      <c r="K1874" s="144"/>
      <c r="L1874" s="144"/>
      <c r="M1874" s="144"/>
      <c r="N1874" s="144"/>
      <c r="O1874" s="144"/>
    </row>
    <row r="1875" spans="8:15" x14ac:dyDescent="0.25">
      <c r="H1875" s="144"/>
      <c r="I1875" s="144"/>
      <c r="J1875" s="144"/>
      <c r="K1875" s="144"/>
      <c r="L1875" s="144"/>
      <c r="M1875" s="144"/>
      <c r="N1875" s="144"/>
      <c r="O1875" s="144"/>
    </row>
    <row r="1876" spans="8:15" x14ac:dyDescent="0.25">
      <c r="H1876" s="144"/>
      <c r="I1876" s="144"/>
      <c r="J1876" s="144"/>
      <c r="K1876" s="144"/>
      <c r="L1876" s="144"/>
      <c r="M1876" s="144"/>
      <c r="N1876" s="144"/>
      <c r="O1876" s="144"/>
    </row>
  </sheetData>
  <sheetProtection password="EFD2" sheet="1" objects="1" scenarios="1" selectLockedCells="1"/>
  <conditionalFormatting sqref="E6:O6">
    <cfRule type="cellIs" dxfId="722" priority="101" operator="equal">
      <formula>"EXC"</formula>
    </cfRule>
    <cfRule type="cellIs" dxfId="721" priority="102" operator="equal">
      <formula>"ABS"</formula>
    </cfRule>
  </conditionalFormatting>
  <conditionalFormatting sqref="H6">
    <cfRule type="cellIs" dxfId="720" priority="110" operator="greaterThan">
      <formula>$H$2</formula>
    </cfRule>
  </conditionalFormatting>
  <conditionalFormatting sqref="I6">
    <cfRule type="cellIs" dxfId="719" priority="109" operator="greaterThan">
      <formula>$I$2</formula>
    </cfRule>
  </conditionalFormatting>
  <conditionalFormatting sqref="J6">
    <cfRule type="cellIs" dxfId="718" priority="108" operator="greaterThan">
      <formula>$J$2</formula>
    </cfRule>
  </conditionalFormatting>
  <conditionalFormatting sqref="K6">
    <cfRule type="cellIs" dxfId="717" priority="107" operator="greaterThan">
      <formula>$K$2</formula>
    </cfRule>
  </conditionalFormatting>
  <conditionalFormatting sqref="L6">
    <cfRule type="cellIs" dxfId="716" priority="106" operator="greaterThan">
      <formula>$L$2</formula>
    </cfRule>
  </conditionalFormatting>
  <conditionalFormatting sqref="M6">
    <cfRule type="cellIs" dxfId="715" priority="105" operator="greaterThan">
      <formula>$M$2</formula>
    </cfRule>
  </conditionalFormatting>
  <conditionalFormatting sqref="N6">
    <cfRule type="cellIs" dxfId="714" priority="104" operator="greaterThan">
      <formula>$N$2</formula>
    </cfRule>
  </conditionalFormatting>
  <conditionalFormatting sqref="O6">
    <cfRule type="cellIs" dxfId="713" priority="103" operator="greaterThan">
      <formula>$O$2</formula>
    </cfRule>
  </conditionalFormatting>
  <conditionalFormatting sqref="B6">
    <cfRule type="cellIs" dxfId="712" priority="100" operator="equal">
      <formula>TRUE</formula>
    </cfRule>
  </conditionalFormatting>
  <conditionalFormatting sqref="E7:O7">
    <cfRule type="cellIs" dxfId="711" priority="90" operator="equal">
      <formula>"EXC"</formula>
    </cfRule>
    <cfRule type="cellIs" dxfId="710" priority="91" operator="equal">
      <formula>"ABS"</formula>
    </cfRule>
  </conditionalFormatting>
  <conditionalFormatting sqref="H7">
    <cfRule type="cellIs" dxfId="709" priority="99" operator="greaterThan">
      <formula>$H$2</formula>
    </cfRule>
  </conditionalFormatting>
  <conditionalFormatting sqref="I7">
    <cfRule type="cellIs" dxfId="708" priority="98" operator="greaterThan">
      <formula>$I$2</formula>
    </cfRule>
  </conditionalFormatting>
  <conditionalFormatting sqref="J7">
    <cfRule type="cellIs" dxfId="707" priority="97" operator="greaterThan">
      <formula>$J$2</formula>
    </cfRule>
  </conditionalFormatting>
  <conditionalFormatting sqref="K7">
    <cfRule type="cellIs" dxfId="706" priority="96" operator="greaterThan">
      <formula>$K$2</formula>
    </cfRule>
  </conditionalFormatting>
  <conditionalFormatting sqref="L7">
    <cfRule type="cellIs" dxfId="705" priority="95" operator="greaterThan">
      <formula>$L$2</formula>
    </cfRule>
  </conditionalFormatting>
  <conditionalFormatting sqref="M7">
    <cfRule type="cellIs" dxfId="704" priority="94" operator="greaterThan">
      <formula>$M$2</formula>
    </cfRule>
  </conditionalFormatting>
  <conditionalFormatting sqref="N7">
    <cfRule type="cellIs" dxfId="703" priority="93" operator="greaterThan">
      <formula>$N$2</formula>
    </cfRule>
  </conditionalFormatting>
  <conditionalFormatting sqref="O7">
    <cfRule type="cellIs" dxfId="702" priority="92" operator="greaterThan">
      <formula>$O$2</formula>
    </cfRule>
  </conditionalFormatting>
  <conditionalFormatting sqref="B7">
    <cfRule type="cellIs" dxfId="701" priority="89" operator="equal">
      <formula>TRUE</formula>
    </cfRule>
  </conditionalFormatting>
  <conditionalFormatting sqref="E8:O8">
    <cfRule type="cellIs" dxfId="700" priority="79" operator="equal">
      <formula>"EXC"</formula>
    </cfRule>
    <cfRule type="cellIs" dxfId="699" priority="80" operator="equal">
      <formula>"ABS"</formula>
    </cfRule>
  </conditionalFormatting>
  <conditionalFormatting sqref="H8">
    <cfRule type="cellIs" dxfId="698" priority="88" operator="greaterThan">
      <formula>$H$2</formula>
    </cfRule>
  </conditionalFormatting>
  <conditionalFormatting sqref="I8">
    <cfRule type="cellIs" dxfId="697" priority="87" operator="greaterThan">
      <formula>$I$2</formula>
    </cfRule>
  </conditionalFormatting>
  <conditionalFormatting sqref="J8">
    <cfRule type="cellIs" dxfId="696" priority="86" operator="greaterThan">
      <formula>$J$2</formula>
    </cfRule>
  </conditionalFormatting>
  <conditionalFormatting sqref="K8">
    <cfRule type="cellIs" dxfId="695" priority="85" operator="greaterThan">
      <formula>$K$2</formula>
    </cfRule>
  </conditionalFormatting>
  <conditionalFormatting sqref="L8">
    <cfRule type="cellIs" dxfId="694" priority="84" operator="greaterThan">
      <formula>$L$2</formula>
    </cfRule>
  </conditionalFormatting>
  <conditionalFormatting sqref="M8">
    <cfRule type="cellIs" dxfId="693" priority="83" operator="greaterThan">
      <formula>$M$2</formula>
    </cfRule>
  </conditionalFormatting>
  <conditionalFormatting sqref="N8">
    <cfRule type="cellIs" dxfId="692" priority="82" operator="greaterThan">
      <formula>$N$2</formula>
    </cfRule>
  </conditionalFormatting>
  <conditionalFormatting sqref="O8">
    <cfRule type="cellIs" dxfId="691" priority="81" operator="greaterThan">
      <formula>$O$2</formula>
    </cfRule>
  </conditionalFormatting>
  <conditionalFormatting sqref="B8">
    <cfRule type="cellIs" dxfId="690" priority="78" operator="equal">
      <formula>TRUE</formula>
    </cfRule>
  </conditionalFormatting>
  <conditionalFormatting sqref="E9:O9">
    <cfRule type="cellIs" dxfId="689" priority="68" operator="equal">
      <formula>"EXC"</formula>
    </cfRule>
    <cfRule type="cellIs" dxfId="688" priority="69" operator="equal">
      <formula>"ABS"</formula>
    </cfRule>
  </conditionalFormatting>
  <conditionalFormatting sqref="H9">
    <cfRule type="cellIs" dxfId="687" priority="77" operator="greaterThan">
      <formula>$H$2</formula>
    </cfRule>
  </conditionalFormatting>
  <conditionalFormatting sqref="I9">
    <cfRule type="cellIs" dxfId="686" priority="76" operator="greaterThan">
      <formula>$I$2</formula>
    </cfRule>
  </conditionalFormatting>
  <conditionalFormatting sqref="J9">
    <cfRule type="cellIs" dxfId="685" priority="75" operator="greaterThan">
      <formula>$J$2</formula>
    </cfRule>
  </conditionalFormatting>
  <conditionalFormatting sqref="K9">
    <cfRule type="cellIs" dxfId="684" priority="74" operator="greaterThan">
      <formula>$K$2</formula>
    </cfRule>
  </conditionalFormatting>
  <conditionalFormatting sqref="L9">
    <cfRule type="cellIs" dxfId="683" priority="73" operator="greaterThan">
      <formula>$L$2</formula>
    </cfRule>
  </conditionalFormatting>
  <conditionalFormatting sqref="M9">
    <cfRule type="cellIs" dxfId="682" priority="72" operator="greaterThan">
      <formula>$M$2</formula>
    </cfRule>
  </conditionalFormatting>
  <conditionalFormatting sqref="N9">
    <cfRule type="cellIs" dxfId="681" priority="71" operator="greaterThan">
      <formula>$N$2</formula>
    </cfRule>
  </conditionalFormatting>
  <conditionalFormatting sqref="O9">
    <cfRule type="cellIs" dxfId="680" priority="70" operator="greaterThan">
      <formula>$O$2</formula>
    </cfRule>
  </conditionalFormatting>
  <conditionalFormatting sqref="B9">
    <cfRule type="cellIs" dxfId="679" priority="67" operator="equal">
      <formula>TRUE</formula>
    </cfRule>
  </conditionalFormatting>
  <conditionalFormatting sqref="E10:O10">
    <cfRule type="cellIs" dxfId="678" priority="57" operator="equal">
      <formula>"EXC"</formula>
    </cfRule>
    <cfRule type="cellIs" dxfId="677" priority="58" operator="equal">
      <formula>"ABS"</formula>
    </cfRule>
  </conditionalFormatting>
  <conditionalFormatting sqref="H10">
    <cfRule type="cellIs" dxfId="676" priority="66" operator="greaterThan">
      <formula>$H$2</formula>
    </cfRule>
  </conditionalFormatting>
  <conditionalFormatting sqref="I10">
    <cfRule type="cellIs" dxfId="675" priority="65" operator="greaterThan">
      <formula>$I$2</formula>
    </cfRule>
  </conditionalFormatting>
  <conditionalFormatting sqref="J10">
    <cfRule type="cellIs" dxfId="674" priority="64" operator="greaterThan">
      <formula>$J$2</formula>
    </cfRule>
  </conditionalFormatting>
  <conditionalFormatting sqref="K10">
    <cfRule type="cellIs" dxfId="673" priority="63" operator="greaterThan">
      <formula>$K$2</formula>
    </cfRule>
  </conditionalFormatting>
  <conditionalFormatting sqref="L10">
    <cfRule type="cellIs" dxfId="672" priority="62" operator="greaterThan">
      <formula>$L$2</formula>
    </cfRule>
  </conditionalFormatting>
  <conditionalFormatting sqref="M10">
    <cfRule type="cellIs" dxfId="671" priority="61" operator="greaterThan">
      <formula>$M$2</formula>
    </cfRule>
  </conditionalFormatting>
  <conditionalFormatting sqref="N10">
    <cfRule type="cellIs" dxfId="670" priority="60" operator="greaterThan">
      <formula>$N$2</formula>
    </cfRule>
  </conditionalFormatting>
  <conditionalFormatting sqref="O10">
    <cfRule type="cellIs" dxfId="669" priority="59" operator="greaterThan">
      <formula>$O$2</formula>
    </cfRule>
  </conditionalFormatting>
  <conditionalFormatting sqref="B10">
    <cfRule type="cellIs" dxfId="668" priority="56" operator="equal">
      <formula>TRUE</formula>
    </cfRule>
  </conditionalFormatting>
  <conditionalFormatting sqref="E11:O11">
    <cfRule type="cellIs" dxfId="667" priority="46" operator="equal">
      <formula>"EXC"</formula>
    </cfRule>
    <cfRule type="cellIs" dxfId="666" priority="47" operator="equal">
      <formula>"ABS"</formula>
    </cfRule>
  </conditionalFormatting>
  <conditionalFormatting sqref="H11">
    <cfRule type="cellIs" dxfId="665" priority="55" operator="greaterThan">
      <formula>$H$2</formula>
    </cfRule>
  </conditionalFormatting>
  <conditionalFormatting sqref="I11">
    <cfRule type="cellIs" dxfId="664" priority="54" operator="greaterThan">
      <formula>$I$2</formula>
    </cfRule>
  </conditionalFormatting>
  <conditionalFormatting sqref="J11">
    <cfRule type="cellIs" dxfId="663" priority="53" operator="greaterThan">
      <formula>$J$2</formula>
    </cfRule>
  </conditionalFormatting>
  <conditionalFormatting sqref="K11">
    <cfRule type="cellIs" dxfId="662" priority="52" operator="greaterThan">
      <formula>$K$2</formula>
    </cfRule>
  </conditionalFormatting>
  <conditionalFormatting sqref="L11">
    <cfRule type="cellIs" dxfId="661" priority="51" operator="greaterThan">
      <formula>$L$2</formula>
    </cfRule>
  </conditionalFormatting>
  <conditionalFormatting sqref="M11">
    <cfRule type="cellIs" dxfId="660" priority="50" operator="greaterThan">
      <formula>$M$2</formula>
    </cfRule>
  </conditionalFormatting>
  <conditionalFormatting sqref="N11">
    <cfRule type="cellIs" dxfId="659" priority="49" operator="greaterThan">
      <formula>$N$2</formula>
    </cfRule>
  </conditionalFormatting>
  <conditionalFormatting sqref="O11">
    <cfRule type="cellIs" dxfId="658" priority="48" operator="greaterThan">
      <formula>$O$2</formula>
    </cfRule>
  </conditionalFormatting>
  <conditionalFormatting sqref="B11">
    <cfRule type="cellIs" dxfId="657" priority="45" operator="equal">
      <formula>TRUE</formula>
    </cfRule>
  </conditionalFormatting>
  <conditionalFormatting sqref="E12:O12">
    <cfRule type="cellIs" dxfId="656" priority="35" operator="equal">
      <formula>"EXC"</formula>
    </cfRule>
    <cfRule type="cellIs" dxfId="655" priority="36" operator="equal">
      <formula>"ABS"</formula>
    </cfRule>
  </conditionalFormatting>
  <conditionalFormatting sqref="H12">
    <cfRule type="cellIs" dxfId="654" priority="44" operator="greaterThan">
      <formula>$H$2</formula>
    </cfRule>
  </conditionalFormatting>
  <conditionalFormatting sqref="I12">
    <cfRule type="cellIs" dxfId="653" priority="43" operator="greaterThan">
      <formula>$I$2</formula>
    </cfRule>
  </conditionalFormatting>
  <conditionalFormatting sqref="J12">
    <cfRule type="cellIs" dxfId="652" priority="42" operator="greaterThan">
      <formula>$J$2</formula>
    </cfRule>
  </conditionalFormatting>
  <conditionalFormatting sqref="K12">
    <cfRule type="cellIs" dxfId="651" priority="41" operator="greaterThan">
      <formula>$K$2</formula>
    </cfRule>
  </conditionalFormatting>
  <conditionalFormatting sqref="L12">
    <cfRule type="cellIs" dxfId="650" priority="40" operator="greaterThan">
      <formula>$L$2</formula>
    </cfRule>
  </conditionalFormatting>
  <conditionalFormatting sqref="M12">
    <cfRule type="cellIs" dxfId="649" priority="39" operator="greaterThan">
      <formula>$M$2</formula>
    </cfRule>
  </conditionalFormatting>
  <conditionalFormatting sqref="N12">
    <cfRule type="cellIs" dxfId="648" priority="38" operator="greaterThan">
      <formula>$N$2</formula>
    </cfRule>
  </conditionalFormatting>
  <conditionalFormatting sqref="O12">
    <cfRule type="cellIs" dxfId="647" priority="37" operator="greaterThan">
      <formula>$O$2</formula>
    </cfRule>
  </conditionalFormatting>
  <conditionalFormatting sqref="B12">
    <cfRule type="cellIs" dxfId="646" priority="34" operator="equal">
      <formula>TRUE</formula>
    </cfRule>
  </conditionalFormatting>
  <conditionalFormatting sqref="E13:O13">
    <cfRule type="cellIs" dxfId="645" priority="24" operator="equal">
      <formula>"EXC"</formula>
    </cfRule>
    <cfRule type="cellIs" dxfId="644" priority="25" operator="equal">
      <formula>"ABS"</formula>
    </cfRule>
  </conditionalFormatting>
  <conditionalFormatting sqref="H13">
    <cfRule type="cellIs" dxfId="643" priority="33" operator="greaterThan">
      <formula>$H$2</formula>
    </cfRule>
  </conditionalFormatting>
  <conditionalFormatting sqref="I13">
    <cfRule type="cellIs" dxfId="642" priority="32" operator="greaterThan">
      <formula>$I$2</formula>
    </cfRule>
  </conditionalFormatting>
  <conditionalFormatting sqref="J13">
    <cfRule type="cellIs" dxfId="641" priority="31" operator="greaterThan">
      <formula>$J$2</formula>
    </cfRule>
  </conditionalFormatting>
  <conditionalFormatting sqref="K13">
    <cfRule type="cellIs" dxfId="640" priority="30" operator="greaterThan">
      <formula>$K$2</formula>
    </cfRule>
  </conditionalFormatting>
  <conditionalFormatting sqref="L13">
    <cfRule type="cellIs" dxfId="639" priority="29" operator="greaterThan">
      <formula>$L$2</formula>
    </cfRule>
  </conditionalFormatting>
  <conditionalFormatting sqref="M13">
    <cfRule type="cellIs" dxfId="638" priority="28" operator="greaterThan">
      <formula>$M$2</formula>
    </cfRule>
  </conditionalFormatting>
  <conditionalFormatting sqref="N13">
    <cfRule type="cellIs" dxfId="637" priority="27" operator="greaterThan">
      <formula>$N$2</formula>
    </cfRule>
  </conditionalFormatting>
  <conditionalFormatting sqref="O13">
    <cfRule type="cellIs" dxfId="636" priority="26" operator="greaterThan">
      <formula>$O$2</formula>
    </cfRule>
  </conditionalFormatting>
  <conditionalFormatting sqref="B13">
    <cfRule type="cellIs" dxfId="635" priority="23" operator="equal">
      <formula>TRUE</formula>
    </cfRule>
  </conditionalFormatting>
  <conditionalFormatting sqref="E14:O14">
    <cfRule type="cellIs" dxfId="634" priority="13" operator="equal">
      <formula>"EXC"</formula>
    </cfRule>
    <cfRule type="cellIs" dxfId="633" priority="14" operator="equal">
      <formula>"ABS"</formula>
    </cfRule>
  </conditionalFormatting>
  <conditionalFormatting sqref="H14">
    <cfRule type="cellIs" dxfId="632" priority="22" operator="greaterThan">
      <formula>$H$2</formula>
    </cfRule>
  </conditionalFormatting>
  <conditionalFormatting sqref="I14">
    <cfRule type="cellIs" dxfId="631" priority="21" operator="greaterThan">
      <formula>$I$2</formula>
    </cfRule>
  </conditionalFormatting>
  <conditionalFormatting sqref="J14">
    <cfRule type="cellIs" dxfId="630" priority="20" operator="greaterThan">
      <formula>$J$2</formula>
    </cfRule>
  </conditionalFormatting>
  <conditionalFormatting sqref="K14">
    <cfRule type="cellIs" dxfId="629" priority="19" operator="greaterThan">
      <formula>$K$2</formula>
    </cfRule>
  </conditionalFormatting>
  <conditionalFormatting sqref="L14">
    <cfRule type="cellIs" dxfId="628" priority="18" operator="greaterThan">
      <formula>$L$2</formula>
    </cfRule>
  </conditionalFormatting>
  <conditionalFormatting sqref="M14">
    <cfRule type="cellIs" dxfId="627" priority="17" operator="greaterThan">
      <formula>$M$2</formula>
    </cfRule>
  </conditionalFormatting>
  <conditionalFormatting sqref="N14">
    <cfRule type="cellIs" dxfId="626" priority="16" operator="greaterThan">
      <formula>$N$2</formula>
    </cfRule>
  </conditionalFormatting>
  <conditionalFormatting sqref="O14">
    <cfRule type="cellIs" dxfId="625" priority="15" operator="greaterThan">
      <formula>$O$2</formula>
    </cfRule>
  </conditionalFormatting>
  <conditionalFormatting sqref="B14">
    <cfRule type="cellIs" dxfId="624" priority="12" operator="equal">
      <formula>TRUE</formula>
    </cfRule>
  </conditionalFormatting>
  <conditionalFormatting sqref="E15:O15">
    <cfRule type="cellIs" dxfId="623" priority="2" operator="equal">
      <formula>"EXC"</formula>
    </cfRule>
    <cfRule type="cellIs" dxfId="622" priority="3" operator="equal">
      <formula>"ABS"</formula>
    </cfRule>
  </conditionalFormatting>
  <conditionalFormatting sqref="H15">
    <cfRule type="cellIs" dxfId="621" priority="11" operator="greaterThan">
      <formula>$H$2</formula>
    </cfRule>
  </conditionalFormatting>
  <conditionalFormatting sqref="I15">
    <cfRule type="cellIs" dxfId="620" priority="10" operator="greaterThan">
      <formula>$I$2</formula>
    </cfRule>
  </conditionalFormatting>
  <conditionalFormatting sqref="J15">
    <cfRule type="cellIs" dxfId="619" priority="9" operator="greaterThan">
      <formula>$J$2</formula>
    </cfRule>
  </conditionalFormatting>
  <conditionalFormatting sqref="K15">
    <cfRule type="cellIs" dxfId="618" priority="8" operator="greaterThan">
      <formula>$K$2</formula>
    </cfRule>
  </conditionalFormatting>
  <conditionalFormatting sqref="L15">
    <cfRule type="cellIs" dxfId="617" priority="7" operator="greaterThan">
      <formula>$L$2</formula>
    </cfRule>
  </conditionalFormatting>
  <conditionalFormatting sqref="M15">
    <cfRule type="cellIs" dxfId="616" priority="6" operator="greaterThan">
      <formula>$M$2</formula>
    </cfRule>
  </conditionalFormatting>
  <conditionalFormatting sqref="N15">
    <cfRule type="cellIs" dxfId="615" priority="5" operator="greaterThan">
      <formula>$N$2</formula>
    </cfRule>
  </conditionalFormatting>
  <conditionalFormatting sqref="O15">
    <cfRule type="cellIs" dxfId="614" priority="4" operator="greaterThan">
      <formula>$O$2</formula>
    </cfRule>
  </conditionalFormatting>
  <conditionalFormatting sqref="B15">
    <cfRule type="cellIs" dxfId="61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D1625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6" sqref="H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141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71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0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3" t="s">
        <v>247</v>
      </c>
      <c r="E6" s="172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3" t="s">
        <v>248</v>
      </c>
      <c r="E7" s="172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3" t="s">
        <v>249</v>
      </c>
      <c r="E8" s="172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3" t="s">
        <v>250</v>
      </c>
      <c r="E9" s="172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3" t="s">
        <v>245</v>
      </c>
      <c r="E10" s="172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3" t="s">
        <v>246</v>
      </c>
      <c r="E11" s="172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3" t="s">
        <v>91</v>
      </c>
      <c r="E12" s="172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3" t="s">
        <v>94</v>
      </c>
      <c r="E13" s="172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3" t="s">
        <v>172</v>
      </c>
      <c r="E14" s="172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3" t="s">
        <v>92</v>
      </c>
      <c r="E15" s="172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99"/>
      <c r="D16" s="199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99"/>
      <c r="D17" s="199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99"/>
      <c r="D18" s="199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99"/>
      <c r="D19" s="199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99"/>
      <c r="D20" s="199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99"/>
      <c r="D21" s="199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99"/>
      <c r="D22" s="199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99"/>
      <c r="D23" s="199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99"/>
      <c r="D24" s="199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99"/>
      <c r="D25" s="199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99"/>
      <c r="D26" s="199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99"/>
      <c r="D27" s="199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99"/>
      <c r="D28" s="199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99"/>
      <c r="D29" s="199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99"/>
      <c r="D30" s="199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99"/>
      <c r="D31" s="199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99"/>
      <c r="D32" s="199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99"/>
      <c r="D33" s="199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99"/>
      <c r="D34" s="199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99"/>
      <c r="D35" s="199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99"/>
      <c r="D36" s="199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99"/>
      <c r="D37" s="199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99"/>
      <c r="D38" s="199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99"/>
      <c r="D39" s="199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99"/>
      <c r="D40" s="199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99"/>
      <c r="D41" s="199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99"/>
      <c r="D42" s="199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99"/>
      <c r="D43" s="199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99"/>
      <c r="D44" s="199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99"/>
      <c r="D45" s="199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99"/>
      <c r="D46" s="199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99"/>
      <c r="D47" s="199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99"/>
      <c r="D48" s="199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99"/>
      <c r="D49" s="199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99"/>
      <c r="D50" s="199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99"/>
      <c r="D51" s="199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99"/>
      <c r="D52" s="199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99"/>
      <c r="D53" s="199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99"/>
      <c r="D54" s="199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99"/>
      <c r="D55" s="199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99"/>
      <c r="D56" s="199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99"/>
      <c r="D57" s="199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99"/>
      <c r="D58" s="199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99"/>
      <c r="D59" s="199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99"/>
      <c r="D60" s="199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99"/>
      <c r="D61" s="199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99"/>
      <c r="D62" s="199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99"/>
      <c r="D63" s="199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99"/>
      <c r="D64" s="199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99"/>
      <c r="D65" s="199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99"/>
      <c r="D66" s="199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99"/>
      <c r="D67" s="199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99"/>
      <c r="D68" s="199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99"/>
      <c r="D69" s="199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99"/>
      <c r="D70" s="199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99"/>
      <c r="D71" s="199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99"/>
      <c r="D72" s="199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99"/>
      <c r="D73" s="199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99"/>
      <c r="D74" s="199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99"/>
      <c r="D75" s="199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99"/>
      <c r="D76" s="199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99"/>
      <c r="D77" s="199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99"/>
      <c r="D78" s="199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99"/>
      <c r="D79" s="199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99"/>
      <c r="D80" s="199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99"/>
      <c r="D81" s="199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99"/>
      <c r="D82" s="199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99"/>
      <c r="D83" s="199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99"/>
      <c r="D84" s="199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99"/>
      <c r="D85" s="199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99"/>
      <c r="D86" s="199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99"/>
      <c r="D87" s="199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99"/>
      <c r="D88" s="199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99"/>
      <c r="D89" s="199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99"/>
      <c r="D90" s="199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99"/>
      <c r="D91" s="199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99"/>
      <c r="D92" s="199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99"/>
      <c r="D93" s="199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99"/>
      <c r="D94" s="199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99"/>
      <c r="D95" s="199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99"/>
      <c r="D96" s="199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99"/>
      <c r="D97" s="199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99"/>
      <c r="D98" s="199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99"/>
      <c r="D99" s="199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99"/>
      <c r="D100" s="199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99"/>
      <c r="D101" s="199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99"/>
      <c r="D102" s="199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99"/>
      <c r="D103" s="199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99"/>
      <c r="D104" s="199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99"/>
      <c r="D105" s="199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99"/>
      <c r="D106" s="199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99"/>
      <c r="D107" s="199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99"/>
      <c r="D108" s="199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99"/>
      <c r="D109" s="199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99"/>
      <c r="D110" s="199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99"/>
      <c r="D111" s="199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99"/>
      <c r="D112" s="199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99"/>
      <c r="D113" s="199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99"/>
      <c r="D114" s="199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99"/>
      <c r="D115" s="199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99"/>
      <c r="D116" s="199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99"/>
      <c r="D117" s="199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99"/>
      <c r="D118" s="199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99"/>
      <c r="D119" s="199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99"/>
      <c r="D120" s="199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99"/>
      <c r="D121" s="199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99"/>
      <c r="D122" s="199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99"/>
      <c r="D123" s="199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99"/>
      <c r="D124" s="199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99"/>
      <c r="D125" s="199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99"/>
      <c r="D126" s="199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99"/>
      <c r="D127" s="199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99"/>
      <c r="D128" s="199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99"/>
      <c r="D129" s="199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99"/>
      <c r="D130" s="199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99"/>
      <c r="D131" s="199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99"/>
      <c r="D132" s="199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99"/>
      <c r="D133" s="199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99"/>
      <c r="D134" s="199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99"/>
      <c r="D135" s="199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99"/>
      <c r="D136" s="199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99"/>
      <c r="D137" s="199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99"/>
      <c r="D138" s="199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99"/>
      <c r="D139" s="199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99"/>
      <c r="D140" s="199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99"/>
      <c r="D141" s="199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99"/>
      <c r="D142" s="199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99"/>
      <c r="D143" s="199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99"/>
      <c r="D144" s="199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99"/>
      <c r="D145" s="199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99"/>
      <c r="D146" s="199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99"/>
      <c r="D147" s="199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99"/>
      <c r="D148" s="199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99"/>
      <c r="D149" s="199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99"/>
      <c r="D150" s="199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99"/>
      <c r="D151" s="199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99"/>
      <c r="D152" s="199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99"/>
      <c r="D153" s="199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99"/>
      <c r="D154" s="199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99"/>
      <c r="D155" s="199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99"/>
      <c r="D156" s="199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99"/>
      <c r="D157" s="199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99"/>
      <c r="D158" s="199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99"/>
      <c r="D159" s="199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99"/>
      <c r="D160" s="199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99"/>
      <c r="D161" s="199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99"/>
      <c r="D162" s="199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99"/>
      <c r="D163" s="199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99"/>
      <c r="D164" s="199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99"/>
      <c r="D165" s="199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99"/>
      <c r="D166" s="199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99"/>
      <c r="D167" s="199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99"/>
      <c r="D168" s="199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99"/>
      <c r="D169" s="199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99"/>
      <c r="D170" s="199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99"/>
      <c r="D171" s="199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99"/>
      <c r="D172" s="199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99"/>
      <c r="D173" s="199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99"/>
      <c r="D174" s="199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99"/>
      <c r="D175" s="199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99"/>
      <c r="D176" s="199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99"/>
      <c r="D177" s="199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99"/>
      <c r="D178" s="199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99"/>
      <c r="D179" s="199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99"/>
      <c r="D180" s="199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99"/>
      <c r="D181" s="199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99"/>
      <c r="D182" s="199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99"/>
      <c r="D183" s="199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99"/>
      <c r="D184" s="199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99"/>
      <c r="D185" s="199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99"/>
      <c r="D186" s="199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99"/>
      <c r="D187" s="199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99"/>
      <c r="D188" s="199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99"/>
      <c r="D189" s="199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99"/>
      <c r="D190" s="199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99"/>
      <c r="D191" s="199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99"/>
      <c r="D192" s="199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99"/>
      <c r="D193" s="199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99"/>
      <c r="D194" s="199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99"/>
      <c r="D195" s="199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99"/>
      <c r="D196" s="199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99"/>
      <c r="D197" s="199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99"/>
      <c r="D198" s="199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99"/>
      <c r="D199" s="199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99"/>
      <c r="D200" s="199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99"/>
      <c r="D201" s="199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99"/>
      <c r="D202" s="199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99"/>
      <c r="D203" s="199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99"/>
      <c r="D204" s="199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99"/>
      <c r="D205" s="199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99"/>
      <c r="D206" s="199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99"/>
      <c r="D207" s="199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99"/>
      <c r="D208" s="199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99"/>
      <c r="D209" s="199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99"/>
      <c r="D210" s="199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99"/>
      <c r="D211" s="199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99"/>
      <c r="D212" s="199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99"/>
      <c r="D213" s="199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99"/>
      <c r="D214" s="199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99"/>
      <c r="D215" s="199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99"/>
      <c r="D216" s="199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99"/>
      <c r="D217" s="199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99"/>
      <c r="D218" s="199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99"/>
      <c r="D219" s="199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99"/>
      <c r="D220" s="199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99"/>
      <c r="D221" s="199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99"/>
      <c r="D222" s="199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99"/>
      <c r="D223" s="199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99"/>
      <c r="D224" s="199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99"/>
      <c r="D225" s="199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99"/>
      <c r="D226" s="199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99"/>
      <c r="D227" s="199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99"/>
      <c r="D228" s="199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99"/>
      <c r="D229" s="199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99"/>
      <c r="D230" s="199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99"/>
      <c r="D231" s="199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99"/>
      <c r="D232" s="199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99"/>
      <c r="D233" s="199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99"/>
      <c r="D234" s="199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99"/>
      <c r="D235" s="199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99"/>
      <c r="D236" s="199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99"/>
      <c r="D237" s="199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99"/>
      <c r="D238" s="199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99"/>
      <c r="D239" s="199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99"/>
      <c r="D240" s="199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99"/>
      <c r="D241" s="199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99"/>
      <c r="D242" s="199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99"/>
      <c r="D243" s="199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99"/>
      <c r="D244" s="199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99"/>
      <c r="D245" s="199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99"/>
      <c r="D246" s="199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99"/>
      <c r="D247" s="199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99"/>
      <c r="D248" s="199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99"/>
      <c r="D249" s="199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99"/>
      <c r="D250" s="199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99"/>
      <c r="D251" s="199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99"/>
      <c r="D252" s="199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99"/>
      <c r="D253" s="199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99"/>
      <c r="D254" s="199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99"/>
      <c r="D255" s="199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99"/>
      <c r="D256" s="199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99"/>
      <c r="D257" s="199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99"/>
      <c r="D258" s="199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99"/>
      <c r="D259" s="199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99"/>
      <c r="D260" s="199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99"/>
      <c r="D261" s="199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99"/>
      <c r="D262" s="199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99"/>
      <c r="D263" s="199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99"/>
      <c r="D264" s="199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99"/>
      <c r="D265" s="199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99"/>
      <c r="D266" s="199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99"/>
      <c r="D267" s="199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99"/>
      <c r="D268" s="199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99"/>
      <c r="D269" s="199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99"/>
      <c r="D270" s="199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99"/>
      <c r="D271" s="199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99"/>
      <c r="D272" s="199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99"/>
      <c r="D273" s="199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99"/>
      <c r="D274" s="199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99"/>
      <c r="D275" s="199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99"/>
      <c r="D276" s="199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99"/>
      <c r="D277" s="199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99"/>
      <c r="D278" s="199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99"/>
      <c r="D279" s="199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99"/>
      <c r="D280" s="199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99"/>
      <c r="D281" s="199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99"/>
      <c r="D282" s="199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99"/>
      <c r="D283" s="199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99"/>
      <c r="D284" s="199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99"/>
      <c r="D285" s="199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99"/>
      <c r="D286" s="199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99"/>
      <c r="D287" s="199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99"/>
      <c r="D288" s="199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99"/>
      <c r="D289" s="199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99"/>
      <c r="D290" s="199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99"/>
      <c r="D291" s="199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99"/>
      <c r="D292" s="199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99"/>
      <c r="D293" s="199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99"/>
      <c r="D294" s="199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99"/>
      <c r="D295" s="199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99"/>
      <c r="D296" s="199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99"/>
      <c r="D297" s="199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99"/>
      <c r="D298" s="199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99"/>
      <c r="D299" s="199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99"/>
      <c r="D300" s="199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99"/>
      <c r="D301" s="199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99"/>
      <c r="D302" s="199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99"/>
      <c r="D303" s="199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99"/>
      <c r="D304" s="199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99"/>
      <c r="D305" s="199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99"/>
      <c r="D306" s="199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99"/>
      <c r="D307" s="199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99"/>
      <c r="D308" s="199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99"/>
      <c r="D309" s="199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99"/>
      <c r="D310" s="199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99"/>
      <c r="D311" s="199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99"/>
      <c r="D312" s="199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99"/>
      <c r="D313" s="199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99"/>
      <c r="D314" s="199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99"/>
      <c r="D315" s="199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99"/>
      <c r="D316" s="199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99"/>
      <c r="D317" s="199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99"/>
      <c r="D318" s="199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99"/>
      <c r="D319" s="199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99"/>
      <c r="D320" s="199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99"/>
      <c r="D321" s="199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99"/>
      <c r="D322" s="199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99"/>
      <c r="D323" s="199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99"/>
      <c r="D324" s="199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99"/>
      <c r="D325" s="199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99"/>
      <c r="D326" s="199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99"/>
      <c r="D327" s="199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99"/>
      <c r="D328" s="199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99"/>
      <c r="D329" s="199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99"/>
      <c r="D330" s="199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99"/>
      <c r="D331" s="199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99"/>
      <c r="D332" s="199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99"/>
      <c r="D333" s="199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99"/>
      <c r="D334" s="199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99"/>
      <c r="D335" s="199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99"/>
      <c r="D336" s="199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99"/>
      <c r="D337" s="199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99"/>
      <c r="D338" s="199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99"/>
      <c r="D339" s="199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99"/>
      <c r="D340" s="199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99"/>
      <c r="D341" s="199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99"/>
      <c r="D342" s="199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99"/>
      <c r="D343" s="199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99"/>
      <c r="D344" s="199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99"/>
      <c r="D345" s="199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99"/>
      <c r="D346" s="199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99"/>
      <c r="D347" s="199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99"/>
      <c r="D348" s="199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99"/>
      <c r="D349" s="199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99"/>
      <c r="D350" s="199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99"/>
      <c r="D351" s="199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99"/>
      <c r="D352" s="199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99"/>
      <c r="D353" s="199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99"/>
      <c r="D354" s="199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99"/>
      <c r="D355" s="199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99"/>
      <c r="D356" s="199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99"/>
      <c r="D357" s="199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99"/>
      <c r="D358" s="199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99"/>
      <c r="D359" s="199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99"/>
      <c r="D360" s="199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99"/>
      <c r="D361" s="199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99"/>
      <c r="D362" s="199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99"/>
      <c r="D363" s="199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99"/>
      <c r="D364" s="199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99"/>
      <c r="D365" s="199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99"/>
      <c r="D366" s="199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99"/>
      <c r="D367" s="199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99"/>
      <c r="D368" s="199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99"/>
      <c r="D369" s="199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99"/>
      <c r="D370" s="199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99"/>
      <c r="D371" s="199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99"/>
      <c r="D372" s="199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99"/>
      <c r="D373" s="199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99"/>
      <c r="D374" s="199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99"/>
      <c r="D375" s="199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99"/>
      <c r="D376" s="199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99"/>
      <c r="D377" s="199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99"/>
      <c r="D378" s="199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99"/>
      <c r="D379" s="199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99"/>
      <c r="D380" s="199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99"/>
      <c r="D381" s="199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99"/>
      <c r="D382" s="199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99"/>
      <c r="D383" s="199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99"/>
      <c r="D384" s="199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99"/>
      <c r="D385" s="199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99"/>
      <c r="D386" s="199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99"/>
      <c r="D387" s="199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99"/>
      <c r="D388" s="199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99"/>
      <c r="D389" s="199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99"/>
      <c r="D390" s="199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99"/>
      <c r="D391" s="199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99"/>
      <c r="D392" s="199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99"/>
      <c r="D393" s="199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99"/>
      <c r="D394" s="199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99"/>
      <c r="D395" s="199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99"/>
      <c r="D396" s="199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99"/>
      <c r="D397" s="199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99"/>
      <c r="D398" s="199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99"/>
      <c r="D399" s="199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99"/>
      <c r="D400" s="199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99"/>
      <c r="D401" s="199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99"/>
      <c r="D402" s="199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99"/>
      <c r="D403" s="199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99"/>
      <c r="D404" s="199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99"/>
      <c r="D405" s="199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99"/>
      <c r="D406" s="199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99"/>
      <c r="D407" s="199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99"/>
      <c r="D408" s="199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99"/>
      <c r="D409" s="199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99"/>
      <c r="D410" s="199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99"/>
      <c r="D411" s="199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99"/>
      <c r="D412" s="199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99"/>
      <c r="D413" s="199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99"/>
      <c r="D414" s="199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99"/>
      <c r="D415" s="199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99"/>
      <c r="D416" s="199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99"/>
      <c r="D417" s="199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99"/>
      <c r="D418" s="199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99"/>
      <c r="D419" s="199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99"/>
      <c r="D420" s="199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99"/>
      <c r="D421" s="199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99"/>
      <c r="D422" s="199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99"/>
      <c r="D423" s="199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99"/>
      <c r="D424" s="199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99"/>
      <c r="D425" s="199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99"/>
      <c r="D426" s="199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99"/>
      <c r="D427" s="199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99"/>
      <c r="D428" s="199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99"/>
      <c r="D429" s="199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99"/>
      <c r="D430" s="199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99"/>
      <c r="D431" s="199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99"/>
      <c r="D432" s="199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99"/>
      <c r="D433" s="199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99"/>
      <c r="D434" s="199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99"/>
      <c r="D435" s="199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99"/>
      <c r="D436" s="199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99"/>
      <c r="D437" s="199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99"/>
      <c r="D438" s="199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99"/>
      <c r="D439" s="199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99"/>
      <c r="D440" s="199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99"/>
      <c r="D441" s="199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99"/>
      <c r="D442" s="199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99"/>
      <c r="D443" s="199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99"/>
      <c r="D444" s="199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99"/>
      <c r="D445" s="199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99"/>
      <c r="D446" s="199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99"/>
      <c r="D447" s="199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99"/>
      <c r="D448" s="199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99"/>
      <c r="D449" s="199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99"/>
      <c r="D450" s="199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99"/>
      <c r="D451" s="199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99"/>
      <c r="D452" s="199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99"/>
      <c r="D453" s="199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99"/>
      <c r="D454" s="199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99"/>
      <c r="D455" s="199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99"/>
      <c r="D456" s="199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99"/>
      <c r="D457" s="199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99"/>
      <c r="D458" s="199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99"/>
      <c r="D459" s="199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99"/>
      <c r="D460" s="199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99"/>
      <c r="D461" s="199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99"/>
      <c r="D462" s="199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99"/>
      <c r="D463" s="199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99"/>
      <c r="D464" s="199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99"/>
      <c r="D465" s="199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99"/>
      <c r="D466" s="199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99"/>
      <c r="D467" s="199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99"/>
      <c r="D468" s="199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99"/>
      <c r="D469" s="199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99"/>
      <c r="D470" s="199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99"/>
      <c r="D471" s="199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99"/>
      <c r="D472" s="199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99"/>
      <c r="D473" s="199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99"/>
      <c r="D474" s="199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99"/>
      <c r="D475" s="199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99"/>
      <c r="D476" s="199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99"/>
      <c r="D477" s="199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99"/>
      <c r="D478" s="199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99"/>
      <c r="D479" s="199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99"/>
      <c r="D480" s="199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99"/>
      <c r="D481" s="199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99"/>
      <c r="D482" s="199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99"/>
      <c r="D483" s="199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99"/>
      <c r="D484" s="199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99"/>
      <c r="D485" s="199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99"/>
      <c r="D486" s="199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99"/>
      <c r="D487" s="199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99"/>
      <c r="D488" s="199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99"/>
      <c r="D489" s="199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99"/>
      <c r="D490" s="199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99"/>
      <c r="D491" s="199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99"/>
      <c r="D492" s="199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99"/>
      <c r="D493" s="199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99"/>
      <c r="D494" s="199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99"/>
      <c r="D495" s="199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99"/>
      <c r="D496" s="199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99"/>
      <c r="D497" s="199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99"/>
      <c r="D498" s="199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99"/>
      <c r="D499" s="199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99"/>
      <c r="D500" s="199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99"/>
      <c r="D501" s="199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99"/>
      <c r="D502" s="199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99"/>
      <c r="D503" s="199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99"/>
      <c r="D504" s="199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99"/>
      <c r="D505" s="199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99"/>
      <c r="D506" s="199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99"/>
      <c r="D507" s="199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99"/>
      <c r="D508" s="199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99"/>
      <c r="D509" s="199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99"/>
      <c r="D510" s="199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99"/>
      <c r="D511" s="199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99"/>
      <c r="D512" s="199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99"/>
      <c r="D513" s="199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99"/>
      <c r="D514" s="199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99"/>
      <c r="D515" s="199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99"/>
      <c r="D516" s="199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99"/>
      <c r="D517" s="199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99"/>
      <c r="D518" s="199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99"/>
      <c r="D519" s="199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99"/>
      <c r="D520" s="199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99"/>
      <c r="D521" s="199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99"/>
      <c r="D522" s="199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99"/>
      <c r="D523" s="199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99"/>
      <c r="D524" s="199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99"/>
      <c r="D525" s="199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99"/>
      <c r="D526" s="199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99"/>
      <c r="D527" s="199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99"/>
      <c r="D528" s="199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99"/>
      <c r="D529" s="199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99"/>
      <c r="D530" s="199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99"/>
      <c r="D531" s="199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99"/>
      <c r="D532" s="199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99"/>
      <c r="D533" s="199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99"/>
      <c r="D534" s="199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99"/>
      <c r="D535" s="199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99"/>
      <c r="D536" s="199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99"/>
      <c r="D537" s="199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99"/>
      <c r="D538" s="199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99"/>
      <c r="D539" s="199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99"/>
      <c r="D540" s="199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99"/>
      <c r="D541" s="199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99"/>
      <c r="D542" s="199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99"/>
      <c r="D543" s="199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99"/>
      <c r="D544" s="199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99"/>
      <c r="D545" s="199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99"/>
      <c r="D546" s="199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99"/>
      <c r="D547" s="199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99"/>
      <c r="D548" s="199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99"/>
      <c r="D549" s="199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99"/>
      <c r="D550" s="199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99"/>
      <c r="D551" s="199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99"/>
      <c r="D552" s="199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99"/>
      <c r="D553" s="199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99"/>
      <c r="D554" s="199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99"/>
      <c r="D555" s="199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99"/>
      <c r="D556" s="199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99"/>
      <c r="D557" s="199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99"/>
      <c r="D558" s="199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99"/>
      <c r="D559" s="199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99"/>
      <c r="D560" s="199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99"/>
      <c r="D561" s="199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99"/>
      <c r="D562" s="199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99"/>
      <c r="D563" s="199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99"/>
      <c r="D564" s="199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99"/>
      <c r="D565" s="199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99"/>
      <c r="D566" s="199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99"/>
      <c r="D567" s="199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99"/>
      <c r="D568" s="199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99"/>
      <c r="D569" s="199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99"/>
      <c r="D570" s="199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99"/>
      <c r="D571" s="199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99"/>
      <c r="D572" s="199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99"/>
      <c r="D573" s="199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99"/>
      <c r="D574" s="199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99"/>
      <c r="D575" s="199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99"/>
      <c r="D576" s="199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99"/>
      <c r="D577" s="199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99"/>
      <c r="D578" s="199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99"/>
      <c r="D579" s="199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99"/>
      <c r="D580" s="199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99"/>
      <c r="D581" s="199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99"/>
      <c r="D582" s="199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99"/>
      <c r="D583" s="199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99"/>
      <c r="D584" s="199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99"/>
      <c r="D585" s="199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99"/>
      <c r="D586" s="199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99"/>
      <c r="D587" s="199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99"/>
      <c r="D588" s="199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99"/>
      <c r="D589" s="199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99"/>
      <c r="D590" s="199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99"/>
      <c r="D591" s="199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99"/>
      <c r="D592" s="199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99"/>
      <c r="D593" s="199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99"/>
      <c r="D594" s="199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99"/>
      <c r="D595" s="199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99"/>
      <c r="D596" s="199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99"/>
      <c r="D597" s="199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99"/>
      <c r="D598" s="199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99"/>
      <c r="D599" s="199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99"/>
      <c r="D600" s="199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99"/>
      <c r="D601" s="199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99"/>
      <c r="D602" s="199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99"/>
      <c r="D603" s="199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99"/>
      <c r="D604" s="199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99"/>
      <c r="D605" s="199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99"/>
      <c r="D606" s="199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99"/>
      <c r="D607" s="199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99"/>
      <c r="D608" s="199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99"/>
      <c r="D609" s="199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99"/>
      <c r="D610" s="199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99"/>
      <c r="D611" s="199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99"/>
      <c r="D612" s="199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99"/>
      <c r="D613" s="199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99"/>
      <c r="D614" s="199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99"/>
      <c r="D615" s="199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99"/>
      <c r="D616" s="199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99"/>
      <c r="D617" s="199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99"/>
      <c r="D618" s="199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99"/>
      <c r="D619" s="199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99"/>
      <c r="D620" s="199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99"/>
      <c r="D621" s="199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99"/>
      <c r="D622" s="199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99"/>
      <c r="D623" s="199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99"/>
      <c r="D624" s="199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99"/>
      <c r="D625" s="199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99"/>
      <c r="D626" s="199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99"/>
      <c r="D627" s="199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99"/>
      <c r="D628" s="199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99"/>
      <c r="D629" s="199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99"/>
      <c r="D630" s="199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99"/>
      <c r="D631" s="199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99"/>
      <c r="D632" s="199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99"/>
      <c r="D633" s="199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99"/>
      <c r="D634" s="199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99"/>
      <c r="D635" s="199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99"/>
      <c r="D636" s="199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99"/>
      <c r="D637" s="199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99"/>
      <c r="D638" s="199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99"/>
      <c r="D639" s="199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99"/>
      <c r="D640" s="199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99"/>
      <c r="D641" s="199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99"/>
      <c r="D642" s="199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99"/>
      <c r="D643" s="199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99"/>
      <c r="D644" s="199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99"/>
      <c r="D645" s="199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99"/>
      <c r="D646" s="199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99"/>
      <c r="D647" s="199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99"/>
      <c r="D648" s="199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99"/>
      <c r="D649" s="199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99"/>
      <c r="D650" s="199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99"/>
      <c r="D651" s="199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99"/>
      <c r="D652" s="199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99"/>
      <c r="D653" s="199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99"/>
      <c r="D654" s="199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99"/>
      <c r="D655" s="199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99"/>
      <c r="D656" s="199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99"/>
      <c r="D657" s="199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99"/>
      <c r="D658" s="199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99"/>
      <c r="D659" s="199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99"/>
      <c r="D660" s="199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99"/>
      <c r="D661" s="199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99"/>
      <c r="D662" s="199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99"/>
      <c r="D663" s="199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99"/>
      <c r="D664" s="199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99"/>
      <c r="D665" s="199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99"/>
      <c r="D666" s="199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99"/>
      <c r="D667" s="199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99"/>
      <c r="D668" s="199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99"/>
      <c r="D669" s="199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99"/>
      <c r="D670" s="199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99"/>
      <c r="D671" s="199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99"/>
      <c r="D672" s="199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99"/>
      <c r="D673" s="199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99"/>
      <c r="D674" s="199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99"/>
      <c r="D675" s="199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99"/>
      <c r="D676" s="199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99"/>
      <c r="D677" s="199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99"/>
      <c r="D678" s="199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99"/>
      <c r="D679" s="199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99"/>
      <c r="D680" s="199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99"/>
      <c r="D681" s="199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99"/>
      <c r="D682" s="199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99"/>
      <c r="D683" s="199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99"/>
      <c r="D684" s="199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99"/>
      <c r="D685" s="199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99"/>
      <c r="D686" s="199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99"/>
      <c r="D687" s="199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99"/>
      <c r="D688" s="199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99"/>
      <c r="D689" s="199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99"/>
      <c r="D690" s="199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99"/>
      <c r="D691" s="199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99"/>
      <c r="D692" s="199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99"/>
      <c r="D693" s="199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99"/>
      <c r="D694" s="199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99"/>
      <c r="D695" s="199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99"/>
      <c r="D696" s="199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99"/>
      <c r="D697" s="199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99"/>
      <c r="D698" s="199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99"/>
      <c r="D699" s="199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99"/>
      <c r="D700" s="199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99"/>
      <c r="D701" s="199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99"/>
      <c r="D702" s="199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99"/>
      <c r="D703" s="199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99"/>
      <c r="D704" s="199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99"/>
      <c r="D705" s="199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99"/>
      <c r="D706" s="199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99"/>
      <c r="D707" s="199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99"/>
      <c r="D708" s="199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99"/>
      <c r="D709" s="199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99"/>
      <c r="D710" s="199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99"/>
      <c r="D711" s="199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99"/>
      <c r="D712" s="199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99"/>
      <c r="D713" s="199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99"/>
      <c r="D714" s="199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99"/>
      <c r="D715" s="199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99"/>
      <c r="D716" s="199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99"/>
      <c r="D717" s="199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99"/>
      <c r="D718" s="199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99"/>
      <c r="D719" s="199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99"/>
      <c r="D720" s="199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99"/>
      <c r="D721" s="199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99"/>
      <c r="D722" s="199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99"/>
      <c r="D723" s="199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99"/>
      <c r="D724" s="199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99"/>
      <c r="D725" s="199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99"/>
      <c r="D726" s="199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99"/>
      <c r="D727" s="199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99"/>
      <c r="D728" s="199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99"/>
      <c r="D729" s="199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99"/>
      <c r="D730" s="199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99"/>
      <c r="D731" s="199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99"/>
      <c r="D732" s="199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99"/>
      <c r="D733" s="199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99"/>
      <c r="D734" s="199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99"/>
      <c r="D735" s="199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99"/>
      <c r="D736" s="199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99"/>
      <c r="D737" s="199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99"/>
      <c r="D738" s="199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99"/>
      <c r="D739" s="199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99"/>
      <c r="D740" s="199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99"/>
      <c r="D741" s="199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99"/>
      <c r="D742" s="199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99"/>
      <c r="D743" s="199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99"/>
      <c r="D744" s="199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99"/>
      <c r="D745" s="199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99"/>
      <c r="D746" s="199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99"/>
      <c r="D747" s="199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99"/>
      <c r="D748" s="199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99"/>
      <c r="D749" s="199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99"/>
      <c r="D750" s="199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99"/>
      <c r="D751" s="199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99"/>
      <c r="D752" s="199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99"/>
      <c r="D753" s="199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99"/>
      <c r="D754" s="199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99"/>
      <c r="D755" s="199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99"/>
      <c r="D756" s="199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99"/>
      <c r="D757" s="199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99"/>
      <c r="D758" s="199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99"/>
      <c r="D759" s="199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99"/>
      <c r="D760" s="199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99"/>
      <c r="D761" s="199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99"/>
      <c r="D762" s="199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99"/>
      <c r="D763" s="199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99"/>
      <c r="D764" s="199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99"/>
      <c r="D765" s="199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99"/>
      <c r="D766" s="199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99"/>
      <c r="D767" s="199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99"/>
      <c r="D768" s="199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99"/>
      <c r="D769" s="199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99"/>
      <c r="D770" s="199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99"/>
      <c r="D771" s="199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99"/>
      <c r="D772" s="199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99"/>
      <c r="D773" s="199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99"/>
      <c r="D774" s="199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99"/>
      <c r="D775" s="199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99"/>
      <c r="D776" s="199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99"/>
      <c r="D777" s="199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99"/>
      <c r="D778" s="199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99"/>
      <c r="D779" s="199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99"/>
      <c r="D780" s="199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99"/>
      <c r="D781" s="199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99"/>
      <c r="D782" s="199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99"/>
      <c r="D783" s="199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99"/>
      <c r="D784" s="199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99"/>
      <c r="D785" s="199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99"/>
      <c r="D786" s="199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99"/>
      <c r="D787" s="199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99"/>
      <c r="D788" s="199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99"/>
      <c r="D789" s="199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99"/>
      <c r="D790" s="199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99"/>
      <c r="D791" s="199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99"/>
      <c r="D792" s="199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99"/>
      <c r="D793" s="199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99"/>
      <c r="D794" s="199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99"/>
      <c r="D795" s="199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99"/>
      <c r="D796" s="199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99"/>
      <c r="D797" s="199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99"/>
      <c r="D798" s="199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99"/>
      <c r="D799" s="199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99"/>
      <c r="D800" s="199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99"/>
      <c r="D801" s="199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99"/>
      <c r="D802" s="199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99"/>
      <c r="D803" s="199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99"/>
      <c r="D804" s="199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99"/>
      <c r="D805" s="199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99"/>
      <c r="D806" s="199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99"/>
      <c r="D807" s="199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99"/>
      <c r="D808" s="199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99"/>
      <c r="D809" s="199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99"/>
      <c r="D810" s="199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99"/>
      <c r="D811" s="199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99"/>
      <c r="D812" s="199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99"/>
      <c r="D813" s="199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99"/>
      <c r="D814" s="199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99"/>
      <c r="D815" s="199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99"/>
      <c r="D816" s="199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99"/>
      <c r="D817" s="199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99"/>
      <c r="D818" s="199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99"/>
      <c r="D819" s="199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99"/>
      <c r="D820" s="199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99"/>
      <c r="D821" s="199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99"/>
      <c r="D822" s="199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99"/>
      <c r="D823" s="199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99"/>
      <c r="D824" s="199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99"/>
      <c r="D825" s="199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99"/>
      <c r="D826" s="199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99"/>
      <c r="D827" s="199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99"/>
      <c r="D828" s="199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99"/>
      <c r="D829" s="199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99"/>
      <c r="D830" s="199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99"/>
      <c r="D831" s="199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99"/>
      <c r="D832" s="199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99"/>
      <c r="D833" s="199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99"/>
      <c r="D834" s="199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99"/>
      <c r="D835" s="199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99"/>
      <c r="D836" s="199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99"/>
      <c r="D837" s="199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99"/>
      <c r="D838" s="199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99"/>
      <c r="D839" s="199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99"/>
      <c r="D840" s="199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99"/>
      <c r="D841" s="199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99"/>
      <c r="D842" s="199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99"/>
      <c r="D843" s="199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99"/>
      <c r="D844" s="199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99"/>
      <c r="D845" s="199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99"/>
      <c r="D846" s="199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99"/>
      <c r="D847" s="199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99"/>
      <c r="D848" s="199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99"/>
      <c r="D849" s="199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99"/>
      <c r="D850" s="199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99"/>
      <c r="D851" s="199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99"/>
      <c r="D852" s="199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99"/>
      <c r="D853" s="199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99"/>
      <c r="D854" s="199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99"/>
      <c r="D855" s="199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99"/>
      <c r="D856" s="199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99"/>
      <c r="D857" s="199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99"/>
      <c r="D858" s="199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99"/>
      <c r="D859" s="199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99"/>
      <c r="D860" s="199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99"/>
      <c r="D861" s="199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99"/>
      <c r="D862" s="199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99"/>
      <c r="D863" s="199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99"/>
      <c r="D864" s="199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99"/>
      <c r="D865" s="199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99"/>
      <c r="D866" s="199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99"/>
      <c r="D867" s="199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99"/>
      <c r="D868" s="199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99"/>
      <c r="D869" s="199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99"/>
      <c r="D870" s="199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99"/>
      <c r="D871" s="199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99"/>
      <c r="D872" s="199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99"/>
      <c r="D873" s="199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99"/>
      <c r="D874" s="199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99"/>
      <c r="D875" s="199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99"/>
      <c r="D876" s="199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99"/>
      <c r="D877" s="199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99"/>
      <c r="D878" s="199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99"/>
      <c r="D879" s="199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99"/>
      <c r="D880" s="199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99"/>
      <c r="D881" s="199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99"/>
      <c r="D882" s="199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99"/>
      <c r="D883" s="199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99"/>
      <c r="D884" s="199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99"/>
      <c r="D885" s="199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99"/>
      <c r="D886" s="199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99"/>
      <c r="D887" s="199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99"/>
      <c r="D888" s="199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99"/>
      <c r="D889" s="199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99"/>
      <c r="D890" s="199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99"/>
      <c r="D891" s="199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99"/>
      <c r="D892" s="199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99"/>
      <c r="D893" s="199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99"/>
      <c r="D894" s="199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99"/>
      <c r="D895" s="199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99"/>
      <c r="D896" s="199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99"/>
      <c r="D897" s="199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99"/>
      <c r="D898" s="199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99"/>
      <c r="D899" s="199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99"/>
      <c r="D900" s="199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99"/>
      <c r="D901" s="199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99"/>
      <c r="D902" s="199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99"/>
      <c r="D903" s="199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99"/>
      <c r="D904" s="199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99"/>
      <c r="D905" s="199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99"/>
      <c r="D906" s="199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99"/>
      <c r="D907" s="199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99"/>
      <c r="D908" s="199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99"/>
      <c r="D909" s="199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99"/>
      <c r="D910" s="199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99"/>
      <c r="D911" s="199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99"/>
      <c r="D912" s="199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99"/>
      <c r="D913" s="199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99"/>
      <c r="D914" s="199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99"/>
      <c r="D915" s="199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99"/>
      <c r="D916" s="199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99"/>
      <c r="D917" s="199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99"/>
      <c r="D918" s="199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99"/>
      <c r="D919" s="199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99"/>
      <c r="D920" s="199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99"/>
      <c r="D921" s="199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99"/>
      <c r="D922" s="199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99"/>
      <c r="D923" s="199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99"/>
      <c r="D924" s="199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99"/>
      <c r="D925" s="199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99"/>
      <c r="D926" s="199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99"/>
      <c r="D927" s="199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99"/>
      <c r="D928" s="199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99"/>
      <c r="D929" s="199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99"/>
      <c r="D930" s="199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99"/>
      <c r="D931" s="199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99"/>
      <c r="D932" s="199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99"/>
      <c r="D933" s="199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99"/>
      <c r="D934" s="199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99"/>
      <c r="D935" s="199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99"/>
      <c r="D936" s="199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99"/>
      <c r="D937" s="199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99"/>
      <c r="D938" s="199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99"/>
      <c r="D939" s="199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99"/>
      <c r="D940" s="199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99"/>
      <c r="D941" s="199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99"/>
      <c r="D942" s="199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99"/>
      <c r="D943" s="199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99"/>
      <c r="D944" s="199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99"/>
      <c r="D945" s="199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99"/>
      <c r="D946" s="199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99"/>
      <c r="D947" s="199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99"/>
      <c r="D948" s="199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99"/>
      <c r="D949" s="199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99"/>
      <c r="D950" s="199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99"/>
      <c r="D951" s="199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99"/>
      <c r="D952" s="199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99"/>
      <c r="D953" s="199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99"/>
      <c r="D954" s="199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99"/>
      <c r="D955" s="199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99"/>
      <c r="D956" s="199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99"/>
      <c r="D957" s="199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99"/>
      <c r="D958" s="199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99"/>
      <c r="D959" s="199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99"/>
      <c r="D960" s="199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99"/>
      <c r="D961" s="199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99"/>
      <c r="D962" s="199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99"/>
      <c r="D963" s="199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99"/>
      <c r="D964" s="199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99"/>
      <c r="D965" s="199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99"/>
      <c r="D966" s="199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99"/>
      <c r="D967" s="199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99"/>
      <c r="D968" s="199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99"/>
      <c r="D969" s="199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99"/>
      <c r="D970" s="199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99"/>
      <c r="D971" s="199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99"/>
      <c r="D972" s="199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99"/>
      <c r="D973" s="199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99"/>
      <c r="D974" s="199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99"/>
      <c r="D975" s="199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99"/>
      <c r="D976" s="199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99"/>
      <c r="D977" s="199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99"/>
      <c r="D978" s="199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99"/>
      <c r="D979" s="199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99"/>
      <c r="D980" s="199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99"/>
      <c r="D981" s="199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99"/>
      <c r="D982" s="199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99"/>
      <c r="D983" s="199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99"/>
      <c r="D984" s="199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99"/>
      <c r="D985" s="199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99"/>
      <c r="D986" s="199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99"/>
      <c r="D987" s="199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99"/>
      <c r="D988" s="199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99"/>
      <c r="D989" s="199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99"/>
      <c r="D990" s="199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99"/>
      <c r="D991" s="199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99"/>
      <c r="D992" s="199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99"/>
      <c r="D993" s="199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99"/>
      <c r="D994" s="199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99"/>
      <c r="D995" s="199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99"/>
      <c r="D996" s="199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99"/>
      <c r="D997" s="199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99"/>
      <c r="D998" s="199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99"/>
      <c r="D999" s="199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99"/>
      <c r="D1000" s="199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99"/>
      <c r="D1001" s="199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99"/>
      <c r="D1002" s="199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99"/>
      <c r="D1003" s="199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99"/>
      <c r="D1004" s="199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99"/>
      <c r="D1005" s="199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99"/>
      <c r="D1006" s="199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99"/>
      <c r="D1007" s="199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99"/>
      <c r="D1008" s="199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99"/>
      <c r="D1009" s="199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99"/>
      <c r="D1010" s="199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99"/>
      <c r="D1011" s="199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99"/>
      <c r="D1012" s="199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99"/>
      <c r="D1013" s="199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99"/>
      <c r="D1014" s="199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99"/>
      <c r="D1015" s="199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99"/>
      <c r="D1016" s="199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99"/>
      <c r="D1017" s="199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99"/>
      <c r="D1018" s="199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99"/>
      <c r="D1019" s="199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99"/>
      <c r="D1020" s="199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99"/>
      <c r="D1021" s="199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99"/>
      <c r="D1022" s="199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99"/>
      <c r="D1023" s="199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99"/>
      <c r="D1024" s="199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99"/>
      <c r="D1025" s="199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99"/>
      <c r="D1026" s="199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99"/>
      <c r="D1027" s="199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99"/>
      <c r="D1028" s="199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99"/>
      <c r="D1029" s="199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99"/>
      <c r="D1030" s="199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99"/>
      <c r="D1031" s="199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99"/>
      <c r="D1032" s="199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99"/>
      <c r="D1033" s="199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99"/>
      <c r="D1034" s="199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99"/>
      <c r="D1035" s="199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99"/>
      <c r="D1036" s="199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99"/>
      <c r="D1037" s="199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99"/>
      <c r="D1038" s="199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99"/>
      <c r="D1039" s="199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99"/>
      <c r="D1040" s="199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99"/>
      <c r="D1041" s="199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99"/>
      <c r="D1042" s="199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99"/>
      <c r="D1043" s="199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99"/>
      <c r="D1044" s="199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99"/>
      <c r="D1045" s="199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99"/>
      <c r="D1046" s="199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99"/>
      <c r="D1047" s="199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99"/>
      <c r="D1048" s="199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99"/>
      <c r="D1049" s="199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99"/>
      <c r="D1050" s="199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99"/>
      <c r="D1051" s="199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99"/>
      <c r="D1052" s="199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99"/>
      <c r="D1053" s="199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99"/>
      <c r="D1054" s="199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99"/>
      <c r="D1055" s="199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99"/>
      <c r="D1056" s="199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99"/>
      <c r="D1057" s="199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99"/>
      <c r="D1058" s="199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99"/>
      <c r="D1059" s="199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99"/>
      <c r="D1060" s="199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99"/>
      <c r="D1061" s="199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99"/>
      <c r="D1062" s="199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99"/>
      <c r="D1063" s="199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99"/>
      <c r="D1064" s="199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99"/>
      <c r="D1065" s="199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99"/>
      <c r="D1066" s="199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99"/>
      <c r="D1067" s="199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99"/>
      <c r="D1068" s="199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99"/>
      <c r="D1069" s="199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99"/>
      <c r="D1070" s="199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99"/>
      <c r="D1071" s="199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99"/>
      <c r="D1072" s="199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99"/>
      <c r="D1073" s="199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99"/>
      <c r="D1074" s="199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99"/>
      <c r="D1075" s="199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99"/>
      <c r="D1076" s="199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99"/>
      <c r="D1077" s="199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99"/>
      <c r="D1078" s="199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99"/>
      <c r="D1079" s="199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99"/>
      <c r="D1080" s="199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99"/>
      <c r="D1081" s="199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99"/>
      <c r="D1082" s="199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99"/>
      <c r="D1083" s="199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99"/>
      <c r="D1084" s="199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99"/>
      <c r="D1085" s="199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99"/>
      <c r="D1086" s="199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99"/>
      <c r="D1087" s="199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99"/>
      <c r="D1088" s="199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99"/>
      <c r="D1089" s="199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99"/>
      <c r="D1090" s="199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99"/>
      <c r="D1091" s="199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99"/>
      <c r="D1092" s="199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99"/>
      <c r="D1093" s="199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99"/>
      <c r="D1094" s="199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99"/>
      <c r="D1095" s="199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99"/>
      <c r="D1096" s="199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99"/>
      <c r="D1097" s="199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99"/>
      <c r="D1098" s="199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99"/>
      <c r="D1099" s="199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99"/>
      <c r="D1100" s="199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99"/>
      <c r="D1101" s="199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99"/>
      <c r="D1102" s="199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99"/>
      <c r="D1103" s="199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99"/>
      <c r="D1104" s="199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99"/>
      <c r="D1105" s="199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99"/>
      <c r="D1106" s="199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99"/>
      <c r="D1107" s="199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99"/>
      <c r="D1108" s="199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99"/>
      <c r="D1109" s="199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99"/>
      <c r="D1110" s="199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99"/>
      <c r="D1111" s="199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99"/>
      <c r="D1112" s="199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99"/>
      <c r="D1113" s="199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99"/>
      <c r="D1114" s="199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99"/>
      <c r="D1115" s="199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99"/>
      <c r="D1116" s="199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99"/>
      <c r="D1117" s="199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99"/>
      <c r="D1118" s="199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</sheetData>
  <sheetProtection password="EFD2" sheet="1" objects="1" scenarios="1" selectLockedCells="1"/>
  <conditionalFormatting sqref="E6:O6">
    <cfRule type="cellIs" dxfId="612" priority="101" operator="equal">
      <formula>"EXC"</formula>
    </cfRule>
    <cfRule type="cellIs" dxfId="611" priority="102" operator="equal">
      <formula>"ABS"</formula>
    </cfRule>
  </conditionalFormatting>
  <conditionalFormatting sqref="H6">
    <cfRule type="cellIs" dxfId="610" priority="110" operator="greaterThan">
      <formula>$H$2</formula>
    </cfRule>
  </conditionalFormatting>
  <conditionalFormatting sqref="I6">
    <cfRule type="cellIs" dxfId="609" priority="109" operator="greaterThan">
      <formula>$I$2</formula>
    </cfRule>
  </conditionalFormatting>
  <conditionalFormatting sqref="J6">
    <cfRule type="cellIs" dxfId="608" priority="108" operator="greaterThan">
      <formula>$J$2</formula>
    </cfRule>
  </conditionalFormatting>
  <conditionalFormatting sqref="K6">
    <cfRule type="cellIs" dxfId="607" priority="107" operator="greaterThan">
      <formula>$K$2</formula>
    </cfRule>
  </conditionalFormatting>
  <conditionalFormatting sqref="L6">
    <cfRule type="cellIs" dxfId="606" priority="106" operator="greaterThan">
      <formula>$L$2</formula>
    </cfRule>
  </conditionalFormatting>
  <conditionalFormatting sqref="M6">
    <cfRule type="cellIs" dxfId="605" priority="105" operator="greaterThan">
      <formula>$M$2</formula>
    </cfRule>
  </conditionalFormatting>
  <conditionalFormatting sqref="N6">
    <cfRule type="cellIs" dxfId="604" priority="104" operator="greaterThan">
      <formula>$N$2</formula>
    </cfRule>
  </conditionalFormatting>
  <conditionalFormatting sqref="O6">
    <cfRule type="cellIs" dxfId="603" priority="103" operator="greaterThan">
      <formula>$O$2</formula>
    </cfRule>
  </conditionalFormatting>
  <conditionalFormatting sqref="B6">
    <cfRule type="cellIs" dxfId="602" priority="100" operator="equal">
      <formula>TRUE</formula>
    </cfRule>
  </conditionalFormatting>
  <conditionalFormatting sqref="E7:O7">
    <cfRule type="cellIs" dxfId="601" priority="90" operator="equal">
      <formula>"EXC"</formula>
    </cfRule>
    <cfRule type="cellIs" dxfId="600" priority="91" operator="equal">
      <formula>"ABS"</formula>
    </cfRule>
  </conditionalFormatting>
  <conditionalFormatting sqref="H7">
    <cfRule type="cellIs" dxfId="599" priority="99" operator="greaterThan">
      <formula>$H$2</formula>
    </cfRule>
  </conditionalFormatting>
  <conditionalFormatting sqref="I7">
    <cfRule type="cellIs" dxfId="598" priority="98" operator="greaterThan">
      <formula>$I$2</formula>
    </cfRule>
  </conditionalFormatting>
  <conditionalFormatting sqref="J7">
    <cfRule type="cellIs" dxfId="597" priority="97" operator="greaterThan">
      <formula>$J$2</formula>
    </cfRule>
  </conditionalFormatting>
  <conditionalFormatting sqref="K7">
    <cfRule type="cellIs" dxfId="596" priority="96" operator="greaterThan">
      <formula>$K$2</formula>
    </cfRule>
  </conditionalFormatting>
  <conditionalFormatting sqref="L7">
    <cfRule type="cellIs" dxfId="595" priority="95" operator="greaterThan">
      <formula>$L$2</formula>
    </cfRule>
  </conditionalFormatting>
  <conditionalFormatting sqref="M7">
    <cfRule type="cellIs" dxfId="594" priority="94" operator="greaterThan">
      <formula>$M$2</formula>
    </cfRule>
  </conditionalFormatting>
  <conditionalFormatting sqref="N7">
    <cfRule type="cellIs" dxfId="593" priority="93" operator="greaterThan">
      <formula>$N$2</formula>
    </cfRule>
  </conditionalFormatting>
  <conditionalFormatting sqref="O7">
    <cfRule type="cellIs" dxfId="592" priority="92" operator="greaterThan">
      <formula>$O$2</formula>
    </cfRule>
  </conditionalFormatting>
  <conditionalFormatting sqref="B7">
    <cfRule type="cellIs" dxfId="591" priority="89" operator="equal">
      <formula>TRUE</formula>
    </cfRule>
  </conditionalFormatting>
  <conditionalFormatting sqref="E8:O8">
    <cfRule type="cellIs" dxfId="590" priority="79" operator="equal">
      <formula>"EXC"</formula>
    </cfRule>
    <cfRule type="cellIs" dxfId="589" priority="80" operator="equal">
      <formula>"ABS"</formula>
    </cfRule>
  </conditionalFormatting>
  <conditionalFormatting sqref="H8">
    <cfRule type="cellIs" dxfId="588" priority="88" operator="greaterThan">
      <formula>$H$2</formula>
    </cfRule>
  </conditionalFormatting>
  <conditionalFormatting sqref="I8">
    <cfRule type="cellIs" dxfId="587" priority="87" operator="greaterThan">
      <formula>$I$2</formula>
    </cfRule>
  </conditionalFormatting>
  <conditionalFormatting sqref="J8">
    <cfRule type="cellIs" dxfId="586" priority="86" operator="greaterThan">
      <formula>$J$2</formula>
    </cfRule>
  </conditionalFormatting>
  <conditionalFormatting sqref="K8">
    <cfRule type="cellIs" dxfId="585" priority="85" operator="greaterThan">
      <formula>$K$2</formula>
    </cfRule>
  </conditionalFormatting>
  <conditionalFormatting sqref="L8">
    <cfRule type="cellIs" dxfId="584" priority="84" operator="greaterThan">
      <formula>$L$2</formula>
    </cfRule>
  </conditionalFormatting>
  <conditionalFormatting sqref="M8">
    <cfRule type="cellIs" dxfId="583" priority="83" operator="greaterThan">
      <formula>$M$2</formula>
    </cfRule>
  </conditionalFormatting>
  <conditionalFormatting sqref="N8">
    <cfRule type="cellIs" dxfId="582" priority="82" operator="greaterThan">
      <formula>$N$2</formula>
    </cfRule>
  </conditionalFormatting>
  <conditionalFormatting sqref="O8">
    <cfRule type="cellIs" dxfId="581" priority="81" operator="greaterThan">
      <formula>$O$2</formula>
    </cfRule>
  </conditionalFormatting>
  <conditionalFormatting sqref="B8">
    <cfRule type="cellIs" dxfId="580" priority="78" operator="equal">
      <formula>TRUE</formula>
    </cfRule>
  </conditionalFormatting>
  <conditionalFormatting sqref="E9:O9">
    <cfRule type="cellIs" dxfId="579" priority="68" operator="equal">
      <formula>"EXC"</formula>
    </cfRule>
    <cfRule type="cellIs" dxfId="578" priority="69" operator="equal">
      <formula>"ABS"</formula>
    </cfRule>
  </conditionalFormatting>
  <conditionalFormatting sqref="H9">
    <cfRule type="cellIs" dxfId="577" priority="77" operator="greaterThan">
      <formula>$H$2</formula>
    </cfRule>
  </conditionalFormatting>
  <conditionalFormatting sqref="I9">
    <cfRule type="cellIs" dxfId="576" priority="76" operator="greaterThan">
      <formula>$I$2</formula>
    </cfRule>
  </conditionalFormatting>
  <conditionalFormatting sqref="J9">
    <cfRule type="cellIs" dxfId="575" priority="75" operator="greaterThan">
      <formula>$J$2</formula>
    </cfRule>
  </conditionalFormatting>
  <conditionalFormatting sqref="K9">
    <cfRule type="cellIs" dxfId="574" priority="74" operator="greaterThan">
      <formula>$K$2</formula>
    </cfRule>
  </conditionalFormatting>
  <conditionalFormatting sqref="L9">
    <cfRule type="cellIs" dxfId="573" priority="73" operator="greaterThan">
      <formula>$L$2</formula>
    </cfRule>
  </conditionalFormatting>
  <conditionalFormatting sqref="M9">
    <cfRule type="cellIs" dxfId="572" priority="72" operator="greaterThan">
      <formula>$M$2</formula>
    </cfRule>
  </conditionalFormatting>
  <conditionalFormatting sqref="N9">
    <cfRule type="cellIs" dxfId="571" priority="71" operator="greaterThan">
      <formula>$N$2</formula>
    </cfRule>
  </conditionalFormatting>
  <conditionalFormatting sqref="O9">
    <cfRule type="cellIs" dxfId="570" priority="70" operator="greaterThan">
      <formula>$O$2</formula>
    </cfRule>
  </conditionalFormatting>
  <conditionalFormatting sqref="B9">
    <cfRule type="cellIs" dxfId="569" priority="67" operator="equal">
      <formula>TRUE</formula>
    </cfRule>
  </conditionalFormatting>
  <conditionalFormatting sqref="E10:O10">
    <cfRule type="cellIs" dxfId="568" priority="57" operator="equal">
      <formula>"EXC"</formula>
    </cfRule>
    <cfRule type="cellIs" dxfId="567" priority="58" operator="equal">
      <formula>"ABS"</formula>
    </cfRule>
  </conditionalFormatting>
  <conditionalFormatting sqref="H10">
    <cfRule type="cellIs" dxfId="566" priority="66" operator="greaterThan">
      <formula>$H$2</formula>
    </cfRule>
  </conditionalFormatting>
  <conditionalFormatting sqref="I10">
    <cfRule type="cellIs" dxfId="565" priority="65" operator="greaterThan">
      <formula>$I$2</formula>
    </cfRule>
  </conditionalFormatting>
  <conditionalFormatting sqref="J10">
    <cfRule type="cellIs" dxfId="564" priority="64" operator="greaterThan">
      <formula>$J$2</formula>
    </cfRule>
  </conditionalFormatting>
  <conditionalFormatting sqref="K10">
    <cfRule type="cellIs" dxfId="563" priority="63" operator="greaterThan">
      <formula>$K$2</formula>
    </cfRule>
  </conditionalFormatting>
  <conditionalFormatting sqref="L10">
    <cfRule type="cellIs" dxfId="562" priority="62" operator="greaterThan">
      <formula>$L$2</formula>
    </cfRule>
  </conditionalFormatting>
  <conditionalFormatting sqref="M10">
    <cfRule type="cellIs" dxfId="561" priority="61" operator="greaterThan">
      <formula>$M$2</formula>
    </cfRule>
  </conditionalFormatting>
  <conditionalFormatting sqref="N10">
    <cfRule type="cellIs" dxfId="560" priority="60" operator="greaterThan">
      <formula>$N$2</formula>
    </cfRule>
  </conditionalFormatting>
  <conditionalFormatting sqref="O10">
    <cfRule type="cellIs" dxfId="559" priority="59" operator="greaterThan">
      <formula>$O$2</formula>
    </cfRule>
  </conditionalFormatting>
  <conditionalFormatting sqref="B10">
    <cfRule type="cellIs" dxfId="558" priority="56" operator="equal">
      <formula>TRUE</formula>
    </cfRule>
  </conditionalFormatting>
  <conditionalFormatting sqref="E11:O11">
    <cfRule type="cellIs" dxfId="557" priority="46" operator="equal">
      <formula>"EXC"</formula>
    </cfRule>
    <cfRule type="cellIs" dxfId="556" priority="47" operator="equal">
      <formula>"ABS"</formula>
    </cfRule>
  </conditionalFormatting>
  <conditionalFormatting sqref="H11">
    <cfRule type="cellIs" dxfId="555" priority="55" operator="greaterThan">
      <formula>$H$2</formula>
    </cfRule>
  </conditionalFormatting>
  <conditionalFormatting sqref="I11">
    <cfRule type="cellIs" dxfId="554" priority="54" operator="greaterThan">
      <formula>$I$2</formula>
    </cfRule>
  </conditionalFormatting>
  <conditionalFormatting sqref="J11">
    <cfRule type="cellIs" dxfId="553" priority="53" operator="greaterThan">
      <formula>$J$2</formula>
    </cfRule>
  </conditionalFormatting>
  <conditionalFormatting sqref="K11">
    <cfRule type="cellIs" dxfId="552" priority="52" operator="greaterThan">
      <formula>$K$2</formula>
    </cfRule>
  </conditionalFormatting>
  <conditionalFormatting sqref="L11">
    <cfRule type="cellIs" dxfId="551" priority="51" operator="greaterThan">
      <formula>$L$2</formula>
    </cfRule>
  </conditionalFormatting>
  <conditionalFormatting sqref="M11">
    <cfRule type="cellIs" dxfId="550" priority="50" operator="greaterThan">
      <formula>$M$2</formula>
    </cfRule>
  </conditionalFormatting>
  <conditionalFormatting sqref="N11">
    <cfRule type="cellIs" dxfId="549" priority="49" operator="greaterThan">
      <formula>$N$2</formula>
    </cfRule>
  </conditionalFormatting>
  <conditionalFormatting sqref="O11">
    <cfRule type="cellIs" dxfId="548" priority="48" operator="greaterThan">
      <formula>$O$2</formula>
    </cfRule>
  </conditionalFormatting>
  <conditionalFormatting sqref="B11">
    <cfRule type="cellIs" dxfId="547" priority="45" operator="equal">
      <formula>TRUE</formula>
    </cfRule>
  </conditionalFormatting>
  <conditionalFormatting sqref="E12:O12">
    <cfRule type="cellIs" dxfId="546" priority="35" operator="equal">
      <formula>"EXC"</formula>
    </cfRule>
    <cfRule type="cellIs" dxfId="545" priority="36" operator="equal">
      <formula>"ABS"</formula>
    </cfRule>
  </conditionalFormatting>
  <conditionalFormatting sqref="H12">
    <cfRule type="cellIs" dxfId="544" priority="44" operator="greaterThan">
      <formula>$H$2</formula>
    </cfRule>
  </conditionalFormatting>
  <conditionalFormatting sqref="I12">
    <cfRule type="cellIs" dxfId="543" priority="43" operator="greaterThan">
      <formula>$I$2</formula>
    </cfRule>
  </conditionalFormatting>
  <conditionalFormatting sqref="J12">
    <cfRule type="cellIs" dxfId="542" priority="42" operator="greaterThan">
      <formula>$J$2</formula>
    </cfRule>
  </conditionalFormatting>
  <conditionalFormatting sqref="K12">
    <cfRule type="cellIs" dxfId="541" priority="41" operator="greaterThan">
      <formula>$K$2</formula>
    </cfRule>
  </conditionalFormatting>
  <conditionalFormatting sqref="L12">
    <cfRule type="cellIs" dxfId="540" priority="40" operator="greaterThan">
      <formula>$L$2</formula>
    </cfRule>
  </conditionalFormatting>
  <conditionalFormatting sqref="M12">
    <cfRule type="cellIs" dxfId="539" priority="39" operator="greaterThan">
      <formula>$M$2</formula>
    </cfRule>
  </conditionalFormatting>
  <conditionalFormatting sqref="N12">
    <cfRule type="cellIs" dxfId="538" priority="38" operator="greaterThan">
      <formula>$N$2</formula>
    </cfRule>
  </conditionalFormatting>
  <conditionalFormatting sqref="O12">
    <cfRule type="cellIs" dxfId="537" priority="37" operator="greaterThan">
      <formula>$O$2</formula>
    </cfRule>
  </conditionalFormatting>
  <conditionalFormatting sqref="B12">
    <cfRule type="cellIs" dxfId="536" priority="34" operator="equal">
      <formula>TRUE</formula>
    </cfRule>
  </conditionalFormatting>
  <conditionalFormatting sqref="E13:O13">
    <cfRule type="cellIs" dxfId="535" priority="24" operator="equal">
      <formula>"EXC"</formula>
    </cfRule>
    <cfRule type="cellIs" dxfId="534" priority="25" operator="equal">
      <formula>"ABS"</formula>
    </cfRule>
  </conditionalFormatting>
  <conditionalFormatting sqref="H13">
    <cfRule type="cellIs" dxfId="533" priority="33" operator="greaterThan">
      <formula>$H$2</formula>
    </cfRule>
  </conditionalFormatting>
  <conditionalFormatting sqref="I13">
    <cfRule type="cellIs" dxfId="532" priority="32" operator="greaterThan">
      <formula>$I$2</formula>
    </cfRule>
  </conditionalFormatting>
  <conditionalFormatting sqref="J13">
    <cfRule type="cellIs" dxfId="531" priority="31" operator="greaterThan">
      <formula>$J$2</formula>
    </cfRule>
  </conditionalFormatting>
  <conditionalFormatting sqref="K13">
    <cfRule type="cellIs" dxfId="530" priority="30" operator="greaterThan">
      <formula>$K$2</formula>
    </cfRule>
  </conditionalFormatting>
  <conditionalFormatting sqref="L13">
    <cfRule type="cellIs" dxfId="529" priority="29" operator="greaterThan">
      <formula>$L$2</formula>
    </cfRule>
  </conditionalFormatting>
  <conditionalFormatting sqref="M13">
    <cfRule type="cellIs" dxfId="528" priority="28" operator="greaterThan">
      <formula>$M$2</formula>
    </cfRule>
  </conditionalFormatting>
  <conditionalFormatting sqref="N13">
    <cfRule type="cellIs" dxfId="527" priority="27" operator="greaterThan">
      <formula>$N$2</formula>
    </cfRule>
  </conditionalFormatting>
  <conditionalFormatting sqref="O13">
    <cfRule type="cellIs" dxfId="526" priority="26" operator="greaterThan">
      <formula>$O$2</formula>
    </cfRule>
  </conditionalFormatting>
  <conditionalFormatting sqref="B13">
    <cfRule type="cellIs" dxfId="525" priority="23" operator="equal">
      <formula>TRUE</formula>
    </cfRule>
  </conditionalFormatting>
  <conditionalFormatting sqref="E14:O14">
    <cfRule type="cellIs" dxfId="524" priority="13" operator="equal">
      <formula>"EXC"</formula>
    </cfRule>
    <cfRule type="cellIs" dxfId="523" priority="14" operator="equal">
      <formula>"ABS"</formula>
    </cfRule>
  </conditionalFormatting>
  <conditionalFormatting sqref="H14">
    <cfRule type="cellIs" dxfId="522" priority="22" operator="greaterThan">
      <formula>$H$2</formula>
    </cfRule>
  </conditionalFormatting>
  <conditionalFormatting sqref="I14">
    <cfRule type="cellIs" dxfId="521" priority="21" operator="greaterThan">
      <formula>$I$2</formula>
    </cfRule>
  </conditionalFormatting>
  <conditionalFormatting sqref="J14">
    <cfRule type="cellIs" dxfId="520" priority="20" operator="greaterThan">
      <formula>$J$2</formula>
    </cfRule>
  </conditionalFormatting>
  <conditionalFormatting sqref="K14">
    <cfRule type="cellIs" dxfId="519" priority="19" operator="greaterThan">
      <formula>$K$2</formula>
    </cfRule>
  </conditionalFormatting>
  <conditionalFormatting sqref="L14">
    <cfRule type="cellIs" dxfId="518" priority="18" operator="greaterThan">
      <formula>$L$2</formula>
    </cfRule>
  </conditionalFormatting>
  <conditionalFormatting sqref="M14">
    <cfRule type="cellIs" dxfId="517" priority="17" operator="greaterThan">
      <formula>$M$2</formula>
    </cfRule>
  </conditionalFormatting>
  <conditionalFormatting sqref="N14">
    <cfRule type="cellIs" dxfId="516" priority="16" operator="greaterThan">
      <formula>$N$2</formula>
    </cfRule>
  </conditionalFormatting>
  <conditionalFormatting sqref="O14">
    <cfRule type="cellIs" dxfId="515" priority="15" operator="greaterThan">
      <formula>$O$2</formula>
    </cfRule>
  </conditionalFormatting>
  <conditionalFormatting sqref="B14">
    <cfRule type="cellIs" dxfId="514" priority="12" operator="equal">
      <formula>TRUE</formula>
    </cfRule>
  </conditionalFormatting>
  <conditionalFormatting sqref="E15:O15">
    <cfRule type="cellIs" dxfId="513" priority="2" operator="equal">
      <formula>"EXC"</formula>
    </cfRule>
    <cfRule type="cellIs" dxfId="512" priority="3" operator="equal">
      <formula>"ABS"</formula>
    </cfRule>
  </conditionalFormatting>
  <conditionalFormatting sqref="H15">
    <cfRule type="cellIs" dxfId="511" priority="11" operator="greaterThan">
      <formula>$H$2</formula>
    </cfRule>
  </conditionalFormatting>
  <conditionalFormatting sqref="I15">
    <cfRule type="cellIs" dxfId="510" priority="10" operator="greaterThan">
      <formula>$I$2</formula>
    </cfRule>
  </conditionalFormatting>
  <conditionalFormatting sqref="J15">
    <cfRule type="cellIs" dxfId="509" priority="9" operator="greaterThan">
      <formula>$J$2</formula>
    </cfRule>
  </conditionalFormatting>
  <conditionalFormatting sqref="K15">
    <cfRule type="cellIs" dxfId="508" priority="8" operator="greaterThan">
      <formula>$K$2</formula>
    </cfRule>
  </conditionalFormatting>
  <conditionalFormatting sqref="L15">
    <cfRule type="cellIs" dxfId="507" priority="7" operator="greaterThan">
      <formula>$L$2</formula>
    </cfRule>
  </conditionalFormatting>
  <conditionalFormatting sqref="M15">
    <cfRule type="cellIs" dxfId="506" priority="6" operator="greaterThan">
      <formula>$M$2</formula>
    </cfRule>
  </conditionalFormatting>
  <conditionalFormatting sqref="N15">
    <cfRule type="cellIs" dxfId="505" priority="5" operator="greaterThan">
      <formula>$N$2</formula>
    </cfRule>
  </conditionalFormatting>
  <conditionalFormatting sqref="O15">
    <cfRule type="cellIs" dxfId="504" priority="4" operator="greaterThan">
      <formula>$O$2</formula>
    </cfRule>
  </conditionalFormatting>
  <conditionalFormatting sqref="B15">
    <cfRule type="cellIs" dxfId="50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D1751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6" sqref="H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176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3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3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3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3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3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3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3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3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3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3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99"/>
      <c r="D16" s="199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99"/>
      <c r="D17" s="199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99"/>
      <c r="D18" s="199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99"/>
      <c r="D19" s="199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99"/>
      <c r="D20" s="199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99"/>
      <c r="D21" s="199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99"/>
      <c r="D22" s="199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99"/>
      <c r="D23" s="199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99"/>
      <c r="D24" s="199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99"/>
      <c r="D25" s="199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99"/>
      <c r="D26" s="199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99"/>
      <c r="D27" s="199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99"/>
      <c r="D28" s="199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99"/>
      <c r="D29" s="199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99"/>
      <c r="D30" s="199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99"/>
      <c r="D31" s="199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99"/>
      <c r="D32" s="199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99"/>
      <c r="D33" s="199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99"/>
      <c r="D34" s="199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99"/>
      <c r="D35" s="199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99"/>
      <c r="D36" s="199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99"/>
      <c r="D37" s="199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99"/>
      <c r="D38" s="199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99"/>
      <c r="D39" s="199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99"/>
      <c r="D40" s="199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99"/>
      <c r="D41" s="199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99"/>
      <c r="D42" s="199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99"/>
      <c r="D43" s="199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99"/>
      <c r="D44" s="199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99"/>
      <c r="D45" s="199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99"/>
      <c r="D46" s="199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99"/>
      <c r="D47" s="199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99"/>
      <c r="D48" s="199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99"/>
      <c r="D49" s="199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99"/>
      <c r="D50" s="199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99"/>
      <c r="D51" s="199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99"/>
      <c r="D52" s="199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99"/>
      <c r="D53" s="199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99"/>
      <c r="D54" s="199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99"/>
      <c r="D55" s="199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99"/>
      <c r="D56" s="199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99"/>
      <c r="D57" s="199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99"/>
      <c r="D58" s="199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99"/>
      <c r="D59" s="199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99"/>
      <c r="D60" s="199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99"/>
      <c r="D61" s="199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99"/>
      <c r="D62" s="199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99"/>
      <c r="D63" s="199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99"/>
      <c r="D64" s="199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99"/>
      <c r="D65" s="199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99"/>
      <c r="D66" s="199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99"/>
      <c r="D67" s="199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99"/>
      <c r="D68" s="199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99"/>
      <c r="D69" s="199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99"/>
      <c r="D70" s="199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99"/>
      <c r="D71" s="199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99"/>
      <c r="D72" s="199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99"/>
      <c r="D73" s="199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99"/>
      <c r="D74" s="199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99"/>
      <c r="D75" s="199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99"/>
      <c r="D76" s="199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99"/>
      <c r="D77" s="199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99"/>
      <c r="D78" s="199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99"/>
      <c r="D79" s="199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99"/>
      <c r="D80" s="199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99"/>
      <c r="D81" s="199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99"/>
      <c r="D82" s="199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99"/>
      <c r="D83" s="199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99"/>
      <c r="D84" s="199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99"/>
      <c r="D85" s="199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99"/>
      <c r="D86" s="199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99"/>
      <c r="D87" s="199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99"/>
      <c r="D88" s="199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99"/>
      <c r="D89" s="199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99"/>
      <c r="D90" s="199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99"/>
      <c r="D91" s="199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99"/>
      <c r="D92" s="199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99"/>
      <c r="D93" s="199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99"/>
      <c r="D94" s="199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99"/>
      <c r="D95" s="199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99"/>
      <c r="D96" s="199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99"/>
      <c r="D97" s="199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99"/>
      <c r="D98" s="199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99"/>
      <c r="D99" s="199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99"/>
      <c r="D100" s="199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99"/>
      <c r="D101" s="199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99"/>
      <c r="D102" s="199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99"/>
      <c r="D103" s="199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99"/>
      <c r="D104" s="199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99"/>
      <c r="D105" s="199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99"/>
      <c r="D106" s="199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99"/>
      <c r="D107" s="199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99"/>
      <c r="D108" s="199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99"/>
      <c r="D109" s="199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99"/>
      <c r="D110" s="199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99"/>
      <c r="D111" s="199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99"/>
      <c r="D112" s="199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99"/>
      <c r="D113" s="199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99"/>
      <c r="D114" s="199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99"/>
      <c r="D115" s="199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99"/>
      <c r="D116" s="199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99"/>
      <c r="D117" s="199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99"/>
      <c r="D118" s="199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99"/>
      <c r="D119" s="199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99"/>
      <c r="D120" s="199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99"/>
      <c r="D121" s="199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99"/>
      <c r="D122" s="199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99"/>
      <c r="D123" s="199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99"/>
      <c r="D124" s="199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99"/>
      <c r="D125" s="199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99"/>
      <c r="D126" s="199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99"/>
      <c r="D127" s="199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99"/>
      <c r="D128" s="199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99"/>
      <c r="D129" s="199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99"/>
      <c r="D130" s="199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99"/>
      <c r="D131" s="199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99"/>
      <c r="D132" s="199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99"/>
      <c r="D133" s="199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99"/>
      <c r="D134" s="199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99"/>
      <c r="D135" s="199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99"/>
      <c r="D136" s="199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99"/>
      <c r="D137" s="199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99"/>
      <c r="D138" s="199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99"/>
      <c r="D139" s="199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99"/>
      <c r="D140" s="199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99"/>
      <c r="D141" s="199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99"/>
      <c r="D142" s="199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99"/>
      <c r="D143" s="199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99"/>
      <c r="D144" s="199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99"/>
      <c r="D145" s="199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99"/>
      <c r="D146" s="199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99"/>
      <c r="D147" s="199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99"/>
      <c r="D148" s="199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99"/>
      <c r="D149" s="199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99"/>
      <c r="D150" s="199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99"/>
      <c r="D151" s="199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99"/>
      <c r="D152" s="199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99"/>
      <c r="D153" s="199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99"/>
      <c r="D154" s="199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99"/>
      <c r="D155" s="199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99"/>
      <c r="D156" s="199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99"/>
      <c r="D157" s="199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99"/>
      <c r="D158" s="199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99"/>
      <c r="D159" s="199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99"/>
      <c r="D160" s="199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99"/>
      <c r="D161" s="199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99"/>
      <c r="D162" s="199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99"/>
      <c r="D163" s="199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99"/>
      <c r="D164" s="199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99"/>
      <c r="D165" s="199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99"/>
      <c r="D166" s="199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99"/>
      <c r="D167" s="199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99"/>
      <c r="D168" s="199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99"/>
      <c r="D169" s="199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99"/>
      <c r="D170" s="199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99"/>
      <c r="D171" s="199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99"/>
      <c r="D172" s="199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99"/>
      <c r="D173" s="199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99"/>
      <c r="D174" s="199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99"/>
      <c r="D175" s="199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99"/>
      <c r="D176" s="199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99"/>
      <c r="D177" s="199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99"/>
      <c r="D178" s="199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99"/>
      <c r="D179" s="199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99"/>
      <c r="D180" s="199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99"/>
      <c r="D181" s="199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99"/>
      <c r="D182" s="199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99"/>
      <c r="D183" s="199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99"/>
      <c r="D184" s="199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99"/>
      <c r="D185" s="199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99"/>
      <c r="D186" s="199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99"/>
      <c r="D187" s="199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99"/>
      <c r="D188" s="199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99"/>
      <c r="D189" s="199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99"/>
      <c r="D190" s="199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99"/>
      <c r="D191" s="199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99"/>
      <c r="D192" s="199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99"/>
      <c r="D193" s="199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99"/>
      <c r="D194" s="199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99"/>
      <c r="D195" s="199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99"/>
      <c r="D196" s="199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99"/>
      <c r="D197" s="199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99"/>
      <c r="D198" s="199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99"/>
      <c r="D199" s="199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99"/>
      <c r="D200" s="199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99"/>
      <c r="D201" s="199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99"/>
      <c r="D202" s="199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99"/>
      <c r="D203" s="199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99"/>
      <c r="D204" s="199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99"/>
      <c r="D205" s="199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99"/>
      <c r="D206" s="199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99"/>
      <c r="D207" s="199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99"/>
      <c r="D208" s="199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99"/>
      <c r="D209" s="199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99"/>
      <c r="D210" s="199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99"/>
      <c r="D211" s="199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99"/>
      <c r="D212" s="199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99"/>
      <c r="D213" s="199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99"/>
      <c r="D214" s="199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99"/>
      <c r="D215" s="199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99"/>
      <c r="D216" s="199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99"/>
      <c r="D217" s="199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99"/>
      <c r="D218" s="199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99"/>
      <c r="D219" s="199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99"/>
      <c r="D220" s="199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99"/>
      <c r="D221" s="199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99"/>
      <c r="D222" s="199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99"/>
      <c r="D223" s="199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99"/>
      <c r="D224" s="199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99"/>
      <c r="D225" s="199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99"/>
      <c r="D226" s="199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99"/>
      <c r="D227" s="199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99"/>
      <c r="D228" s="199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99"/>
      <c r="D229" s="199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99"/>
      <c r="D230" s="199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99"/>
      <c r="D231" s="199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99"/>
      <c r="D232" s="199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99"/>
      <c r="D233" s="199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99"/>
      <c r="D234" s="199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99"/>
      <c r="D235" s="199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99"/>
      <c r="D236" s="199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99"/>
      <c r="D237" s="199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99"/>
      <c r="D238" s="199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99"/>
      <c r="D239" s="199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99"/>
      <c r="D240" s="199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99"/>
      <c r="D241" s="199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99"/>
      <c r="D242" s="199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99"/>
      <c r="D243" s="199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99"/>
      <c r="D244" s="199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99"/>
      <c r="D245" s="199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99"/>
      <c r="D246" s="199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99"/>
      <c r="D247" s="199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99"/>
      <c r="D248" s="199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99"/>
      <c r="D249" s="199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99"/>
      <c r="D250" s="199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99"/>
      <c r="D251" s="199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99"/>
      <c r="D252" s="199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99"/>
      <c r="D253" s="199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99"/>
      <c r="D254" s="199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99"/>
      <c r="D255" s="199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99"/>
      <c r="D256" s="199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99"/>
      <c r="D257" s="199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99"/>
      <c r="D258" s="199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99"/>
      <c r="D259" s="199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99"/>
      <c r="D260" s="199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99"/>
      <c r="D261" s="199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99"/>
      <c r="D262" s="199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99"/>
      <c r="D263" s="199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99"/>
      <c r="D264" s="199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99"/>
      <c r="D265" s="199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99"/>
      <c r="D266" s="199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99"/>
      <c r="D267" s="199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99"/>
      <c r="D268" s="199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99"/>
      <c r="D269" s="199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99"/>
      <c r="D270" s="199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99"/>
      <c r="D271" s="199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99"/>
      <c r="D272" s="199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99"/>
      <c r="D273" s="199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99"/>
      <c r="D274" s="199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99"/>
      <c r="D275" s="199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99"/>
      <c r="D276" s="199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99"/>
      <c r="D277" s="199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99"/>
      <c r="D278" s="199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99"/>
      <c r="D279" s="199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99"/>
      <c r="D280" s="199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99"/>
      <c r="D281" s="199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99"/>
      <c r="D282" s="199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99"/>
      <c r="D283" s="199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99"/>
      <c r="D284" s="199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99"/>
      <c r="D285" s="199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99"/>
      <c r="D286" s="199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99"/>
      <c r="D287" s="199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99"/>
      <c r="D288" s="199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99"/>
      <c r="D289" s="199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99"/>
      <c r="D290" s="199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99"/>
      <c r="D291" s="199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99"/>
      <c r="D292" s="199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99"/>
      <c r="D293" s="199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99"/>
      <c r="D294" s="199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99"/>
      <c r="D295" s="199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99"/>
      <c r="D296" s="199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99"/>
      <c r="D297" s="199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99"/>
      <c r="D298" s="199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99"/>
      <c r="D299" s="199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99"/>
      <c r="D300" s="199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99"/>
      <c r="D301" s="199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99"/>
      <c r="D302" s="199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99"/>
      <c r="D303" s="199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99"/>
      <c r="D304" s="199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99"/>
      <c r="D305" s="199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99"/>
      <c r="D306" s="199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99"/>
      <c r="D307" s="199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99"/>
      <c r="D308" s="199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99"/>
      <c r="D309" s="199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99"/>
      <c r="D310" s="199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99"/>
      <c r="D311" s="199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99"/>
      <c r="D312" s="199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99"/>
      <c r="D313" s="199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99"/>
      <c r="D314" s="199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99"/>
      <c r="D315" s="199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99"/>
      <c r="D316" s="199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99"/>
      <c r="D317" s="199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99"/>
      <c r="D318" s="199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99"/>
      <c r="D319" s="199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99"/>
      <c r="D320" s="199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99"/>
      <c r="D321" s="199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99"/>
      <c r="D322" s="199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99"/>
      <c r="D323" s="199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99"/>
      <c r="D324" s="199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99"/>
      <c r="D325" s="199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99"/>
      <c r="D326" s="199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99"/>
      <c r="D327" s="199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99"/>
      <c r="D328" s="199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99"/>
      <c r="D329" s="199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99"/>
      <c r="D330" s="199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99"/>
      <c r="D331" s="199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99"/>
      <c r="D332" s="199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99"/>
      <c r="D333" s="199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99"/>
      <c r="D334" s="199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99"/>
      <c r="D335" s="199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99"/>
      <c r="D336" s="199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99"/>
      <c r="D337" s="199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99"/>
      <c r="D338" s="199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99"/>
      <c r="D339" s="199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99"/>
      <c r="D340" s="199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99"/>
      <c r="D341" s="199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99"/>
      <c r="D342" s="199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99"/>
      <c r="D343" s="199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99"/>
      <c r="D344" s="199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99"/>
      <c r="D345" s="199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99"/>
      <c r="D346" s="199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99"/>
      <c r="D347" s="199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99"/>
      <c r="D348" s="199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99"/>
      <c r="D349" s="199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99"/>
      <c r="D350" s="199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99"/>
      <c r="D351" s="199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99"/>
      <c r="D352" s="199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99"/>
      <c r="D353" s="199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99"/>
      <c r="D354" s="199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99"/>
      <c r="D355" s="199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99"/>
      <c r="D356" s="199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99"/>
      <c r="D357" s="199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99"/>
      <c r="D358" s="199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99"/>
      <c r="D359" s="199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99"/>
      <c r="D360" s="199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99"/>
      <c r="D361" s="199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99"/>
      <c r="D362" s="199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99"/>
      <c r="D363" s="199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99"/>
      <c r="D364" s="199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99"/>
      <c r="D365" s="199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99"/>
      <c r="D366" s="199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99"/>
      <c r="D367" s="199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99"/>
      <c r="D368" s="199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99"/>
      <c r="D369" s="199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99"/>
      <c r="D370" s="199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99"/>
      <c r="D371" s="199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99"/>
      <c r="D372" s="199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99"/>
      <c r="D373" s="199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99"/>
      <c r="D374" s="199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99"/>
      <c r="D375" s="199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99"/>
      <c r="D376" s="199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99"/>
      <c r="D377" s="199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99"/>
      <c r="D378" s="199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99"/>
      <c r="D379" s="199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99"/>
      <c r="D380" s="199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99"/>
      <c r="D381" s="199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99"/>
      <c r="D382" s="199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99"/>
      <c r="D383" s="199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99"/>
      <c r="D384" s="199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99"/>
      <c r="D385" s="199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99"/>
      <c r="D386" s="199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99"/>
      <c r="D387" s="199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99"/>
      <c r="D388" s="199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99"/>
      <c r="D389" s="199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99"/>
      <c r="D390" s="199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99"/>
      <c r="D391" s="199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99"/>
      <c r="D392" s="199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99"/>
      <c r="D393" s="199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99"/>
      <c r="D394" s="199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99"/>
      <c r="D395" s="199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99"/>
      <c r="D396" s="199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99"/>
      <c r="D397" s="199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99"/>
      <c r="D398" s="199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99"/>
      <c r="D399" s="199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99"/>
      <c r="D400" s="199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99"/>
      <c r="D401" s="199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99"/>
      <c r="D402" s="199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99"/>
      <c r="D403" s="199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99"/>
      <c r="D404" s="199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99"/>
      <c r="D405" s="199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99"/>
      <c r="D406" s="199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99"/>
      <c r="D407" s="199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99"/>
      <c r="D408" s="199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99"/>
      <c r="D409" s="199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99"/>
      <c r="D410" s="199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99"/>
      <c r="D411" s="199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99"/>
      <c r="D412" s="199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99"/>
      <c r="D413" s="199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99"/>
      <c r="D414" s="199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99"/>
      <c r="D415" s="199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99"/>
      <c r="D416" s="199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99"/>
      <c r="D417" s="199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99"/>
      <c r="D418" s="199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99"/>
      <c r="D419" s="199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99"/>
      <c r="D420" s="199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99"/>
      <c r="D421" s="199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99"/>
      <c r="D422" s="199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99"/>
      <c r="D423" s="199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99"/>
      <c r="D424" s="199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99"/>
      <c r="D425" s="199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99"/>
      <c r="D426" s="199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99"/>
      <c r="D427" s="199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99"/>
      <c r="D428" s="199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99"/>
      <c r="D429" s="199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99"/>
      <c r="D430" s="199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99"/>
      <c r="D431" s="199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99"/>
      <c r="D432" s="199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99"/>
      <c r="D433" s="199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99"/>
      <c r="D434" s="199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99"/>
      <c r="D435" s="199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99"/>
      <c r="D436" s="199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99"/>
      <c r="D437" s="199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99"/>
      <c r="D438" s="199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99"/>
      <c r="D439" s="199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99"/>
      <c r="D440" s="199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99"/>
      <c r="D441" s="199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99"/>
      <c r="D442" s="199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99"/>
      <c r="D443" s="199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99"/>
      <c r="D444" s="199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99"/>
      <c r="D445" s="199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99"/>
      <c r="D446" s="199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99"/>
      <c r="D447" s="199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99"/>
      <c r="D448" s="199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99"/>
      <c r="D449" s="199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99"/>
      <c r="D450" s="199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99"/>
      <c r="D451" s="199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99"/>
      <c r="D452" s="199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99"/>
      <c r="D453" s="199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99"/>
      <c r="D454" s="199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99"/>
      <c r="D455" s="199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99"/>
      <c r="D456" s="199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99"/>
      <c r="D457" s="199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99"/>
      <c r="D458" s="199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99"/>
      <c r="D459" s="199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99"/>
      <c r="D460" s="199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99"/>
      <c r="D461" s="199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99"/>
      <c r="D462" s="199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99"/>
      <c r="D463" s="199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99"/>
      <c r="D464" s="199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99"/>
      <c r="D465" s="199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99"/>
      <c r="D466" s="199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99"/>
      <c r="D467" s="199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99"/>
      <c r="D468" s="199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99"/>
      <c r="D469" s="199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99"/>
      <c r="D470" s="199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99"/>
      <c r="D471" s="199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99"/>
      <c r="D472" s="199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99"/>
      <c r="D473" s="199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99"/>
      <c r="D474" s="199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99"/>
      <c r="D475" s="199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99"/>
      <c r="D476" s="199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99"/>
      <c r="D477" s="199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99"/>
      <c r="D478" s="199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99"/>
      <c r="D479" s="199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99"/>
      <c r="D480" s="199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99"/>
      <c r="D481" s="199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99"/>
      <c r="D482" s="199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99"/>
      <c r="D483" s="199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99"/>
      <c r="D484" s="199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99"/>
      <c r="D485" s="199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99"/>
      <c r="D486" s="199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99"/>
      <c r="D487" s="199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99"/>
      <c r="D488" s="199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99"/>
      <c r="D489" s="199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99"/>
      <c r="D490" s="199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99"/>
      <c r="D491" s="199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99"/>
      <c r="D492" s="199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99"/>
      <c r="D493" s="199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99"/>
      <c r="D494" s="199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99"/>
      <c r="D495" s="199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99"/>
      <c r="D496" s="199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99"/>
      <c r="D497" s="199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99"/>
      <c r="D498" s="199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99"/>
      <c r="D499" s="199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99"/>
      <c r="D500" s="199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99"/>
      <c r="D501" s="199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99"/>
      <c r="D502" s="199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99"/>
      <c r="D503" s="199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99"/>
      <c r="D504" s="199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99"/>
      <c r="D505" s="199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99"/>
      <c r="D506" s="199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99"/>
      <c r="D507" s="199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99"/>
      <c r="D508" s="199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99"/>
      <c r="D509" s="199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99"/>
      <c r="D510" s="199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99"/>
      <c r="D511" s="199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99"/>
      <c r="D512" s="199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99"/>
      <c r="D513" s="199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99"/>
      <c r="D514" s="199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99"/>
      <c r="D515" s="199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99"/>
      <c r="D516" s="199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99"/>
      <c r="D517" s="199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99"/>
      <c r="D518" s="199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99"/>
      <c r="D519" s="199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99"/>
      <c r="D520" s="199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99"/>
      <c r="D521" s="199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99"/>
      <c r="D522" s="199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99"/>
      <c r="D523" s="199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99"/>
      <c r="D524" s="199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99"/>
      <c r="D525" s="199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99"/>
      <c r="D526" s="199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99"/>
      <c r="D527" s="199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99"/>
      <c r="D528" s="199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99"/>
      <c r="D529" s="199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99"/>
      <c r="D530" s="199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99"/>
      <c r="D531" s="199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99"/>
      <c r="D532" s="199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99"/>
      <c r="D533" s="199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99"/>
      <c r="D534" s="199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99"/>
      <c r="D535" s="199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99"/>
      <c r="D536" s="199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99"/>
      <c r="D537" s="199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99"/>
      <c r="D538" s="199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99"/>
      <c r="D539" s="199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99"/>
      <c r="D540" s="199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99"/>
      <c r="D541" s="199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99"/>
      <c r="D542" s="199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99"/>
      <c r="D543" s="199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99"/>
      <c r="D544" s="199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99"/>
      <c r="D545" s="199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99"/>
      <c r="D546" s="199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99"/>
      <c r="D547" s="199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99"/>
      <c r="D548" s="199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99"/>
      <c r="D549" s="199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99"/>
      <c r="D550" s="199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99"/>
      <c r="D551" s="199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99"/>
      <c r="D552" s="199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99"/>
      <c r="D553" s="199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99"/>
      <c r="D554" s="199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99"/>
      <c r="D555" s="199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99"/>
      <c r="D556" s="199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99"/>
      <c r="D557" s="199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99"/>
      <c r="D558" s="199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99"/>
      <c r="D559" s="199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99"/>
      <c r="D560" s="199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99"/>
      <c r="D561" s="199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99"/>
      <c r="D562" s="199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99"/>
      <c r="D563" s="199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99"/>
      <c r="D564" s="199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99"/>
      <c r="D565" s="199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99"/>
      <c r="D566" s="199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99"/>
      <c r="D567" s="199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99"/>
      <c r="D568" s="199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99"/>
      <c r="D569" s="199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99"/>
      <c r="D570" s="199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99"/>
      <c r="D571" s="199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99"/>
      <c r="D572" s="199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99"/>
      <c r="D573" s="199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99"/>
      <c r="D574" s="199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99"/>
      <c r="D575" s="199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99"/>
      <c r="D576" s="199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99"/>
      <c r="D577" s="199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99"/>
      <c r="D578" s="199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99"/>
      <c r="D579" s="199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99"/>
      <c r="D580" s="199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99"/>
      <c r="D581" s="199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99"/>
      <c r="D582" s="199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99"/>
      <c r="D583" s="199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99"/>
      <c r="D584" s="199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99"/>
      <c r="D585" s="199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99"/>
      <c r="D586" s="199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99"/>
      <c r="D587" s="199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99"/>
      <c r="D588" s="199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99"/>
      <c r="D589" s="199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99"/>
      <c r="D590" s="199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99"/>
      <c r="D591" s="199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99"/>
      <c r="D592" s="199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99"/>
      <c r="D593" s="199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99"/>
      <c r="D594" s="199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99"/>
      <c r="D595" s="199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99"/>
      <c r="D596" s="199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99"/>
      <c r="D597" s="199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99"/>
      <c r="D598" s="199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99"/>
      <c r="D599" s="199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99"/>
      <c r="D600" s="199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99"/>
      <c r="D601" s="199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99"/>
      <c r="D602" s="199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99"/>
      <c r="D603" s="199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99"/>
      <c r="D604" s="199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99"/>
      <c r="D605" s="199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99"/>
      <c r="D606" s="199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99"/>
      <c r="D607" s="199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99"/>
      <c r="D608" s="199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99"/>
      <c r="D609" s="199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99"/>
      <c r="D610" s="199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99"/>
      <c r="D611" s="199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99"/>
      <c r="D612" s="199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99"/>
      <c r="D613" s="199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99"/>
      <c r="D614" s="199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99"/>
      <c r="D615" s="199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99"/>
      <c r="D616" s="199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99"/>
      <c r="D617" s="199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99"/>
      <c r="D618" s="199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99"/>
      <c r="D619" s="199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99"/>
      <c r="D620" s="199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99"/>
      <c r="D621" s="199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99"/>
      <c r="D622" s="199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99"/>
      <c r="D623" s="199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99"/>
      <c r="D624" s="199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99"/>
      <c r="D625" s="199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99"/>
      <c r="D626" s="199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99"/>
      <c r="D627" s="199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99"/>
      <c r="D628" s="199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99"/>
      <c r="D629" s="199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99"/>
      <c r="D630" s="199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99"/>
      <c r="D631" s="199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99"/>
      <c r="D632" s="199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99"/>
      <c r="D633" s="199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99"/>
      <c r="D634" s="199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99"/>
      <c r="D635" s="199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99"/>
      <c r="D636" s="199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99"/>
      <c r="D637" s="199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99"/>
      <c r="D638" s="199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99"/>
      <c r="D639" s="199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99"/>
      <c r="D640" s="199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99"/>
      <c r="D641" s="199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99"/>
      <c r="D642" s="199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99"/>
      <c r="D643" s="199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99"/>
      <c r="D644" s="199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99"/>
      <c r="D645" s="199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99"/>
      <c r="D646" s="199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99"/>
      <c r="D647" s="199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99"/>
      <c r="D648" s="199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99"/>
      <c r="D649" s="199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99"/>
      <c r="D650" s="199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99"/>
      <c r="D651" s="199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99"/>
      <c r="D652" s="199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99"/>
      <c r="D653" s="199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99"/>
      <c r="D654" s="199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99"/>
      <c r="D655" s="199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99"/>
      <c r="D656" s="199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99"/>
      <c r="D657" s="199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99"/>
      <c r="D658" s="199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99"/>
      <c r="D659" s="199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99"/>
      <c r="D660" s="199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99"/>
      <c r="D661" s="199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99"/>
      <c r="D662" s="199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99"/>
      <c r="D663" s="199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99"/>
      <c r="D664" s="199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99"/>
      <c r="D665" s="199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99"/>
      <c r="D666" s="199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99"/>
      <c r="D667" s="199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99"/>
      <c r="D668" s="199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99"/>
      <c r="D669" s="199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99"/>
      <c r="D670" s="199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99"/>
      <c r="D671" s="199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99"/>
      <c r="D672" s="199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99"/>
      <c r="D673" s="199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99"/>
      <c r="D674" s="199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99"/>
      <c r="D675" s="199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99"/>
      <c r="D676" s="199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99"/>
      <c r="D677" s="199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99"/>
      <c r="D678" s="199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99"/>
      <c r="D679" s="199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99"/>
      <c r="D680" s="199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99"/>
      <c r="D681" s="199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99"/>
      <c r="D682" s="199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99"/>
      <c r="D683" s="199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99"/>
      <c r="D684" s="199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99"/>
      <c r="D685" s="199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99"/>
      <c r="D686" s="199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99"/>
      <c r="D687" s="199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99"/>
      <c r="D688" s="199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99"/>
      <c r="D689" s="199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99"/>
      <c r="D690" s="199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99"/>
      <c r="D691" s="199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99"/>
      <c r="D692" s="199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99"/>
      <c r="D693" s="199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99"/>
      <c r="D694" s="199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99"/>
      <c r="D695" s="199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99"/>
      <c r="D696" s="199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99"/>
      <c r="D697" s="199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99"/>
      <c r="D698" s="199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99"/>
      <c r="D699" s="199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99"/>
      <c r="D700" s="199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99"/>
      <c r="D701" s="199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99"/>
      <c r="D702" s="199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99"/>
      <c r="D703" s="199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99"/>
      <c r="D704" s="199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99"/>
      <c r="D705" s="199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99"/>
      <c r="D706" s="199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99"/>
      <c r="D707" s="199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99"/>
      <c r="D708" s="199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99"/>
      <c r="D709" s="199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99"/>
      <c r="D710" s="199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99"/>
      <c r="D711" s="199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99"/>
      <c r="D712" s="199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99"/>
      <c r="D713" s="199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99"/>
      <c r="D714" s="199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99"/>
      <c r="D715" s="199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99"/>
      <c r="D716" s="199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99"/>
      <c r="D717" s="199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99"/>
      <c r="D718" s="199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99"/>
      <c r="D719" s="199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99"/>
      <c r="D720" s="199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99"/>
      <c r="D721" s="199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99"/>
      <c r="D722" s="199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99"/>
      <c r="D723" s="199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99"/>
      <c r="D724" s="199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99"/>
      <c r="D725" s="199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99"/>
      <c r="D726" s="199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99"/>
      <c r="D727" s="199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99"/>
      <c r="D728" s="199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99"/>
      <c r="D729" s="199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99"/>
      <c r="D730" s="199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99"/>
      <c r="D731" s="199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99"/>
      <c r="D732" s="199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99"/>
      <c r="D733" s="199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99"/>
      <c r="D734" s="199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99"/>
      <c r="D735" s="199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99"/>
      <c r="D736" s="199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99"/>
      <c r="D737" s="199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99"/>
      <c r="D738" s="199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99"/>
      <c r="D739" s="199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99"/>
      <c r="D740" s="199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99"/>
      <c r="D741" s="199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99"/>
      <c r="D742" s="199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99"/>
      <c r="D743" s="199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99"/>
      <c r="D744" s="199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99"/>
      <c r="D745" s="199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99"/>
      <c r="D746" s="199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99"/>
      <c r="D747" s="199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99"/>
      <c r="D748" s="199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99"/>
      <c r="D749" s="199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99"/>
      <c r="D750" s="199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99"/>
      <c r="D751" s="199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99"/>
      <c r="D752" s="199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99"/>
      <c r="D753" s="199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99"/>
      <c r="D754" s="199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99"/>
      <c r="D755" s="199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99"/>
      <c r="D756" s="199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99"/>
      <c r="D757" s="199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99"/>
      <c r="D758" s="199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99"/>
      <c r="D759" s="199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99"/>
      <c r="D760" s="199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99"/>
      <c r="D761" s="199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99"/>
      <c r="D762" s="199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99"/>
      <c r="D763" s="199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99"/>
      <c r="D764" s="199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99"/>
      <c r="D765" s="199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99"/>
      <c r="D766" s="199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99"/>
      <c r="D767" s="199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99"/>
      <c r="D768" s="199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99"/>
      <c r="D769" s="199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99"/>
      <c r="D770" s="199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99"/>
      <c r="D771" s="199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99"/>
      <c r="D772" s="199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99"/>
      <c r="D773" s="199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99"/>
      <c r="D774" s="199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99"/>
      <c r="D775" s="199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99"/>
      <c r="D776" s="199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99"/>
      <c r="D777" s="199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99"/>
      <c r="D778" s="199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99"/>
      <c r="D779" s="199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99"/>
      <c r="D780" s="199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99"/>
      <c r="D781" s="199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99"/>
      <c r="D782" s="199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99"/>
      <c r="D783" s="199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99"/>
      <c r="D784" s="199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99"/>
      <c r="D785" s="199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99"/>
      <c r="D786" s="199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99"/>
      <c r="D787" s="199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99"/>
      <c r="D788" s="199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99"/>
      <c r="D789" s="199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99"/>
      <c r="D790" s="199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99"/>
      <c r="D791" s="199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99"/>
      <c r="D792" s="199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99"/>
      <c r="D793" s="199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99"/>
      <c r="D794" s="199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99"/>
      <c r="D795" s="199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99"/>
      <c r="D796" s="199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99"/>
      <c r="D797" s="199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99"/>
      <c r="D798" s="199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99"/>
      <c r="D799" s="199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99"/>
      <c r="D800" s="199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99"/>
      <c r="D801" s="199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99"/>
      <c r="D802" s="199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99"/>
      <c r="D803" s="199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99"/>
      <c r="D804" s="199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99"/>
      <c r="D805" s="199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99"/>
      <c r="D806" s="199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99"/>
      <c r="D807" s="199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99"/>
      <c r="D808" s="199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99"/>
      <c r="D809" s="199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99"/>
      <c r="D810" s="199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99"/>
      <c r="D811" s="199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99"/>
      <c r="D812" s="199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99"/>
      <c r="D813" s="199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99"/>
      <c r="D814" s="199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99"/>
      <c r="D815" s="199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99"/>
      <c r="D816" s="199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99"/>
      <c r="D817" s="199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99"/>
      <c r="D818" s="199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99"/>
      <c r="D819" s="199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99"/>
      <c r="D820" s="199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99"/>
      <c r="D821" s="199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99"/>
      <c r="D822" s="199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99"/>
      <c r="D823" s="199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99"/>
      <c r="D824" s="199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99"/>
      <c r="D825" s="199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99"/>
      <c r="D826" s="199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99"/>
      <c r="D827" s="199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99"/>
      <c r="D828" s="199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99"/>
      <c r="D829" s="199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99"/>
      <c r="D830" s="199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99"/>
      <c r="D831" s="199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99"/>
      <c r="D832" s="199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99"/>
      <c r="D833" s="199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99"/>
      <c r="D834" s="199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99"/>
      <c r="D835" s="199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99"/>
      <c r="D836" s="199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99"/>
      <c r="D837" s="199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99"/>
      <c r="D838" s="199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99"/>
      <c r="D839" s="199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99"/>
      <c r="D840" s="199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99"/>
      <c r="D841" s="199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99"/>
      <c r="D842" s="199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99"/>
      <c r="D843" s="199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99"/>
      <c r="D844" s="199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99"/>
      <c r="D845" s="199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99"/>
      <c r="D846" s="199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99"/>
      <c r="D847" s="199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99"/>
      <c r="D848" s="199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99"/>
      <c r="D849" s="199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99"/>
      <c r="D850" s="199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99"/>
      <c r="D851" s="199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99"/>
      <c r="D852" s="199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99"/>
      <c r="D853" s="199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99"/>
      <c r="D854" s="199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99"/>
      <c r="D855" s="199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99"/>
      <c r="D856" s="199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99"/>
      <c r="D857" s="199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99"/>
      <c r="D858" s="199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99"/>
      <c r="D859" s="199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99"/>
      <c r="D860" s="199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99"/>
      <c r="D861" s="199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99"/>
      <c r="D862" s="199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99"/>
      <c r="D863" s="199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99"/>
      <c r="D864" s="199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99"/>
      <c r="D865" s="199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99"/>
      <c r="D866" s="199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99"/>
      <c r="D867" s="199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99"/>
      <c r="D868" s="199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99"/>
      <c r="D869" s="199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99"/>
      <c r="D870" s="199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99"/>
      <c r="D871" s="199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99"/>
      <c r="D872" s="199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99"/>
      <c r="D873" s="199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99"/>
      <c r="D874" s="199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99"/>
      <c r="D875" s="199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99"/>
      <c r="D876" s="199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99"/>
      <c r="D877" s="199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99"/>
      <c r="D878" s="199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99"/>
      <c r="D879" s="199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99"/>
      <c r="D880" s="199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99"/>
      <c r="D881" s="199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99"/>
      <c r="D882" s="199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99"/>
      <c r="D883" s="199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99"/>
      <c r="D884" s="199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99"/>
      <c r="D885" s="199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99"/>
      <c r="D886" s="199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99"/>
      <c r="D887" s="199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99"/>
      <c r="D888" s="199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99"/>
      <c r="D889" s="199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99"/>
      <c r="D890" s="199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99"/>
      <c r="D891" s="199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99"/>
      <c r="D892" s="199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99"/>
      <c r="D893" s="199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99"/>
      <c r="D894" s="199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99"/>
      <c r="D895" s="199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99"/>
      <c r="D896" s="199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99"/>
      <c r="D897" s="199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99"/>
      <c r="D898" s="199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99"/>
      <c r="D899" s="199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99"/>
      <c r="D900" s="199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99"/>
      <c r="D901" s="199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99"/>
      <c r="D902" s="199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99"/>
      <c r="D903" s="199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99"/>
      <c r="D904" s="199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99"/>
      <c r="D905" s="199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99"/>
      <c r="D906" s="199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99"/>
      <c r="D907" s="199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99"/>
      <c r="D908" s="199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99"/>
      <c r="D909" s="199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99"/>
      <c r="D910" s="199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99"/>
      <c r="D911" s="199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99"/>
      <c r="D912" s="199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99"/>
      <c r="D913" s="199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99"/>
      <c r="D914" s="199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99"/>
      <c r="D915" s="199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99"/>
      <c r="D916" s="199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99"/>
      <c r="D917" s="199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99"/>
      <c r="D918" s="199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99"/>
      <c r="D919" s="199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99"/>
      <c r="D920" s="199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99"/>
      <c r="D921" s="199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99"/>
      <c r="D922" s="199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99"/>
      <c r="D923" s="199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99"/>
      <c r="D924" s="199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99"/>
      <c r="D925" s="199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99"/>
      <c r="D926" s="199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99"/>
      <c r="D927" s="199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99"/>
      <c r="D928" s="199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99"/>
      <c r="D929" s="199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99"/>
      <c r="D930" s="199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99"/>
      <c r="D931" s="199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99"/>
      <c r="D932" s="199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99"/>
      <c r="D933" s="199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99"/>
      <c r="D934" s="199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99"/>
      <c r="D935" s="199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99"/>
      <c r="D936" s="199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99"/>
      <c r="D937" s="199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99"/>
      <c r="D938" s="199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99"/>
      <c r="D939" s="199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99"/>
      <c r="D940" s="199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99"/>
      <c r="D941" s="199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99"/>
      <c r="D942" s="199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99"/>
      <c r="D943" s="199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99"/>
      <c r="D944" s="199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99"/>
      <c r="D945" s="199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99"/>
      <c r="D946" s="199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99"/>
      <c r="D947" s="199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99"/>
      <c r="D948" s="199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99"/>
      <c r="D949" s="199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99"/>
      <c r="D950" s="199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99"/>
      <c r="D951" s="199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99"/>
      <c r="D952" s="199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99"/>
      <c r="D953" s="199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99"/>
      <c r="D954" s="199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99"/>
      <c r="D955" s="199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99"/>
      <c r="D956" s="199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99"/>
      <c r="D957" s="199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99"/>
      <c r="D958" s="199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99"/>
      <c r="D959" s="199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99"/>
      <c r="D960" s="199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99"/>
      <c r="D961" s="199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99"/>
      <c r="D962" s="199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99"/>
      <c r="D963" s="199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99"/>
      <c r="D964" s="199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99"/>
      <c r="D965" s="199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99"/>
      <c r="D966" s="199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99"/>
      <c r="D967" s="199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99"/>
      <c r="D968" s="199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99"/>
      <c r="D969" s="199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99"/>
      <c r="D970" s="199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99"/>
      <c r="D971" s="199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99"/>
      <c r="D972" s="199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99"/>
      <c r="D973" s="199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99"/>
      <c r="D974" s="199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99"/>
      <c r="D975" s="199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99"/>
      <c r="D976" s="199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99"/>
      <c r="D977" s="199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99"/>
      <c r="D978" s="199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99"/>
      <c r="D979" s="199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99"/>
      <c r="D980" s="199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99"/>
      <c r="D981" s="199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99"/>
      <c r="D982" s="199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99"/>
      <c r="D983" s="199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99"/>
      <c r="D984" s="199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99"/>
      <c r="D985" s="199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99"/>
      <c r="D986" s="199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99"/>
      <c r="D987" s="199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99"/>
      <c r="D988" s="199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99"/>
      <c r="D989" s="199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99"/>
      <c r="D990" s="199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99"/>
      <c r="D991" s="199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99"/>
      <c r="D992" s="199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99"/>
      <c r="D993" s="199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99"/>
      <c r="D994" s="199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99"/>
      <c r="D995" s="199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99"/>
      <c r="D996" s="199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99"/>
      <c r="D997" s="199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99"/>
      <c r="D998" s="199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99"/>
      <c r="D999" s="199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99"/>
      <c r="D1000" s="199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99"/>
      <c r="D1001" s="199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99"/>
      <c r="D1002" s="199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99"/>
      <c r="D1003" s="199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99"/>
      <c r="D1004" s="199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99"/>
      <c r="D1005" s="199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99"/>
      <c r="D1006" s="199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99"/>
      <c r="D1007" s="199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99"/>
      <c r="D1008" s="199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99"/>
      <c r="D1009" s="199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99"/>
      <c r="D1010" s="199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99"/>
      <c r="D1011" s="199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99"/>
      <c r="D1012" s="199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99"/>
      <c r="D1013" s="199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99"/>
      <c r="D1014" s="199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99"/>
      <c r="D1015" s="199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99"/>
      <c r="D1016" s="199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99"/>
      <c r="D1017" s="199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99"/>
      <c r="D1018" s="199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99"/>
      <c r="D1019" s="199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99"/>
      <c r="D1020" s="199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99"/>
      <c r="D1021" s="199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99"/>
      <c r="D1022" s="199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99"/>
      <c r="D1023" s="199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99"/>
      <c r="D1024" s="199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99"/>
      <c r="D1025" s="199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99"/>
      <c r="D1026" s="199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99"/>
      <c r="D1027" s="199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99"/>
      <c r="D1028" s="199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99"/>
      <c r="D1029" s="199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99"/>
      <c r="D1030" s="199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99"/>
      <c r="D1031" s="199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99"/>
      <c r="D1032" s="199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99"/>
      <c r="D1033" s="199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99"/>
      <c r="D1034" s="199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99"/>
      <c r="D1035" s="199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99"/>
      <c r="D1036" s="199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99"/>
      <c r="D1037" s="199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99"/>
      <c r="D1038" s="199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99"/>
      <c r="D1039" s="199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99"/>
      <c r="D1040" s="199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99"/>
      <c r="D1041" s="199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99"/>
      <c r="D1042" s="199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99"/>
      <c r="D1043" s="199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99"/>
      <c r="D1044" s="199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99"/>
      <c r="D1045" s="199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99"/>
      <c r="D1046" s="199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99"/>
      <c r="D1047" s="199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99"/>
      <c r="D1048" s="199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99"/>
      <c r="D1049" s="199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99"/>
      <c r="D1050" s="199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99"/>
      <c r="D1051" s="199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99"/>
      <c r="D1052" s="199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99"/>
      <c r="D1053" s="199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99"/>
      <c r="D1054" s="199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99"/>
      <c r="D1055" s="199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99"/>
      <c r="D1056" s="199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99"/>
      <c r="D1057" s="199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99"/>
      <c r="D1058" s="199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99"/>
      <c r="D1059" s="199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99"/>
      <c r="D1060" s="199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99"/>
      <c r="D1061" s="199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99"/>
      <c r="D1062" s="199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99"/>
      <c r="D1063" s="199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99"/>
      <c r="D1064" s="199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99"/>
      <c r="D1065" s="199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99"/>
      <c r="D1066" s="199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99"/>
      <c r="D1067" s="199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99"/>
      <c r="D1068" s="199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99"/>
      <c r="D1069" s="199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99"/>
      <c r="D1070" s="199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99"/>
      <c r="D1071" s="199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99"/>
      <c r="D1072" s="199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99"/>
      <c r="D1073" s="199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99"/>
      <c r="D1074" s="199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99"/>
      <c r="D1075" s="199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99"/>
      <c r="D1076" s="199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99"/>
      <c r="D1077" s="199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99"/>
      <c r="D1078" s="199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99"/>
      <c r="D1079" s="199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99"/>
      <c r="D1080" s="199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99"/>
      <c r="D1081" s="199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99"/>
      <c r="D1082" s="199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99"/>
      <c r="D1083" s="199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99"/>
      <c r="D1084" s="199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99"/>
      <c r="D1085" s="199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99"/>
      <c r="D1086" s="199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99"/>
      <c r="D1087" s="199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99"/>
      <c r="D1088" s="199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99"/>
      <c r="D1089" s="199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99"/>
      <c r="D1090" s="199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99"/>
      <c r="D1091" s="199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99"/>
      <c r="D1092" s="199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99"/>
      <c r="D1093" s="199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99"/>
      <c r="D1094" s="199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99"/>
      <c r="D1095" s="199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99"/>
      <c r="D1096" s="199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99"/>
      <c r="D1097" s="199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99"/>
      <c r="D1098" s="199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99"/>
      <c r="D1099" s="199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99"/>
      <c r="D1100" s="199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99"/>
      <c r="D1101" s="199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99"/>
      <c r="D1102" s="199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99"/>
      <c r="D1103" s="199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99"/>
      <c r="D1104" s="199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99"/>
      <c r="D1105" s="199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99"/>
      <c r="D1106" s="199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99"/>
      <c r="D1107" s="199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99"/>
      <c r="D1108" s="199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99"/>
      <c r="D1109" s="199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99"/>
      <c r="D1110" s="199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99"/>
      <c r="D1111" s="199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99"/>
      <c r="D1112" s="199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99"/>
      <c r="D1113" s="199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99"/>
      <c r="D1114" s="199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99"/>
      <c r="D1115" s="199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99"/>
      <c r="D1116" s="199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99"/>
      <c r="D1117" s="199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99"/>
      <c r="D1118" s="199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</sheetData>
  <sheetProtection password="EFD2" sheet="1" objects="1" scenarios="1" selectLockedCells="1"/>
  <conditionalFormatting sqref="E6:O6">
    <cfRule type="cellIs" dxfId="502" priority="101" operator="equal">
      <formula>"EXC"</formula>
    </cfRule>
    <cfRule type="cellIs" dxfId="501" priority="102" operator="equal">
      <formula>"ABS"</formula>
    </cfRule>
  </conditionalFormatting>
  <conditionalFormatting sqref="H6">
    <cfRule type="cellIs" dxfId="500" priority="110" operator="greaterThan">
      <formula>$H$2</formula>
    </cfRule>
  </conditionalFormatting>
  <conditionalFormatting sqref="I6">
    <cfRule type="cellIs" dxfId="499" priority="109" operator="greaterThan">
      <formula>$I$2</formula>
    </cfRule>
  </conditionalFormatting>
  <conditionalFormatting sqref="J6">
    <cfRule type="cellIs" dxfId="498" priority="108" operator="greaterThan">
      <formula>$J$2</formula>
    </cfRule>
  </conditionalFormatting>
  <conditionalFormatting sqref="K6">
    <cfRule type="cellIs" dxfId="497" priority="107" operator="greaterThan">
      <formula>$K$2</formula>
    </cfRule>
  </conditionalFormatting>
  <conditionalFormatting sqref="L6">
    <cfRule type="cellIs" dxfId="496" priority="106" operator="greaterThan">
      <formula>$L$2</formula>
    </cfRule>
  </conditionalFormatting>
  <conditionalFormatting sqref="M6">
    <cfRule type="cellIs" dxfId="495" priority="105" operator="greaterThan">
      <formula>$M$2</formula>
    </cfRule>
  </conditionalFormatting>
  <conditionalFormatting sqref="N6">
    <cfRule type="cellIs" dxfId="494" priority="104" operator="greaterThan">
      <formula>$N$2</formula>
    </cfRule>
  </conditionalFormatting>
  <conditionalFormatting sqref="O6">
    <cfRule type="cellIs" dxfId="493" priority="103" operator="greaterThan">
      <formula>$O$2</formula>
    </cfRule>
  </conditionalFormatting>
  <conditionalFormatting sqref="B6">
    <cfRule type="cellIs" dxfId="492" priority="100" operator="equal">
      <formula>TRUE</formula>
    </cfRule>
  </conditionalFormatting>
  <conditionalFormatting sqref="E7:O7">
    <cfRule type="cellIs" dxfId="491" priority="90" operator="equal">
      <formula>"EXC"</formula>
    </cfRule>
    <cfRule type="cellIs" dxfId="490" priority="91" operator="equal">
      <formula>"ABS"</formula>
    </cfRule>
  </conditionalFormatting>
  <conditionalFormatting sqref="H7">
    <cfRule type="cellIs" dxfId="489" priority="99" operator="greaterThan">
      <formula>$H$2</formula>
    </cfRule>
  </conditionalFormatting>
  <conditionalFormatting sqref="I7">
    <cfRule type="cellIs" dxfId="488" priority="98" operator="greaterThan">
      <formula>$I$2</formula>
    </cfRule>
  </conditionalFormatting>
  <conditionalFormatting sqref="J7">
    <cfRule type="cellIs" dxfId="487" priority="97" operator="greaterThan">
      <formula>$J$2</formula>
    </cfRule>
  </conditionalFormatting>
  <conditionalFormatting sqref="K7">
    <cfRule type="cellIs" dxfId="486" priority="96" operator="greaterThan">
      <formula>$K$2</formula>
    </cfRule>
  </conditionalFormatting>
  <conditionalFormatting sqref="L7">
    <cfRule type="cellIs" dxfId="485" priority="95" operator="greaterThan">
      <formula>$L$2</formula>
    </cfRule>
  </conditionalFormatting>
  <conditionalFormatting sqref="M7">
    <cfRule type="cellIs" dxfId="484" priority="94" operator="greaterThan">
      <formula>$M$2</formula>
    </cfRule>
  </conditionalFormatting>
  <conditionalFormatting sqref="N7">
    <cfRule type="cellIs" dxfId="483" priority="93" operator="greaterThan">
      <formula>$N$2</formula>
    </cfRule>
  </conditionalFormatting>
  <conditionalFormatting sqref="O7">
    <cfRule type="cellIs" dxfId="482" priority="92" operator="greaterThan">
      <formula>$O$2</formula>
    </cfRule>
  </conditionalFormatting>
  <conditionalFormatting sqref="B7">
    <cfRule type="cellIs" dxfId="481" priority="89" operator="equal">
      <formula>TRUE</formula>
    </cfRule>
  </conditionalFormatting>
  <conditionalFormatting sqref="E8:O8">
    <cfRule type="cellIs" dxfId="480" priority="79" operator="equal">
      <formula>"EXC"</formula>
    </cfRule>
    <cfRule type="cellIs" dxfId="479" priority="80" operator="equal">
      <formula>"ABS"</formula>
    </cfRule>
  </conditionalFormatting>
  <conditionalFormatting sqref="H8">
    <cfRule type="cellIs" dxfId="478" priority="88" operator="greaterThan">
      <formula>$H$2</formula>
    </cfRule>
  </conditionalFormatting>
  <conditionalFormatting sqref="I8">
    <cfRule type="cellIs" dxfId="477" priority="87" operator="greaterThan">
      <formula>$I$2</formula>
    </cfRule>
  </conditionalFormatting>
  <conditionalFormatting sqref="J8">
    <cfRule type="cellIs" dxfId="476" priority="86" operator="greaterThan">
      <formula>$J$2</formula>
    </cfRule>
  </conditionalFormatting>
  <conditionalFormatting sqref="K8">
    <cfRule type="cellIs" dxfId="475" priority="85" operator="greaterThan">
      <formula>$K$2</formula>
    </cfRule>
  </conditionalFormatting>
  <conditionalFormatting sqref="L8">
    <cfRule type="cellIs" dxfId="474" priority="84" operator="greaterThan">
      <formula>$L$2</formula>
    </cfRule>
  </conditionalFormatting>
  <conditionalFormatting sqref="M8">
    <cfRule type="cellIs" dxfId="473" priority="83" operator="greaterThan">
      <formula>$M$2</formula>
    </cfRule>
  </conditionalFormatting>
  <conditionalFormatting sqref="N8">
    <cfRule type="cellIs" dxfId="472" priority="82" operator="greaterThan">
      <formula>$N$2</formula>
    </cfRule>
  </conditionalFormatting>
  <conditionalFormatting sqref="O8">
    <cfRule type="cellIs" dxfId="471" priority="81" operator="greaterThan">
      <formula>$O$2</formula>
    </cfRule>
  </conditionalFormatting>
  <conditionalFormatting sqref="B8">
    <cfRule type="cellIs" dxfId="470" priority="78" operator="equal">
      <formula>TRUE</formula>
    </cfRule>
  </conditionalFormatting>
  <conditionalFormatting sqref="E9:O9">
    <cfRule type="cellIs" dxfId="469" priority="68" operator="equal">
      <formula>"EXC"</formula>
    </cfRule>
    <cfRule type="cellIs" dxfId="468" priority="69" operator="equal">
      <formula>"ABS"</formula>
    </cfRule>
  </conditionalFormatting>
  <conditionalFormatting sqref="H9">
    <cfRule type="cellIs" dxfId="467" priority="77" operator="greaterThan">
      <formula>$H$2</formula>
    </cfRule>
  </conditionalFormatting>
  <conditionalFormatting sqref="I9">
    <cfRule type="cellIs" dxfId="466" priority="76" operator="greaterThan">
      <formula>$I$2</formula>
    </cfRule>
  </conditionalFormatting>
  <conditionalFormatting sqref="J9">
    <cfRule type="cellIs" dxfId="465" priority="75" operator="greaterThan">
      <formula>$J$2</formula>
    </cfRule>
  </conditionalFormatting>
  <conditionalFormatting sqref="K9">
    <cfRule type="cellIs" dxfId="464" priority="74" operator="greaterThan">
      <formula>$K$2</formula>
    </cfRule>
  </conditionalFormatting>
  <conditionalFormatting sqref="L9">
    <cfRule type="cellIs" dxfId="463" priority="73" operator="greaterThan">
      <formula>$L$2</formula>
    </cfRule>
  </conditionalFormatting>
  <conditionalFormatting sqref="M9">
    <cfRule type="cellIs" dxfId="462" priority="72" operator="greaterThan">
      <formula>$M$2</formula>
    </cfRule>
  </conditionalFormatting>
  <conditionalFormatting sqref="N9">
    <cfRule type="cellIs" dxfId="461" priority="71" operator="greaterThan">
      <formula>$N$2</formula>
    </cfRule>
  </conditionalFormatting>
  <conditionalFormatting sqref="O9">
    <cfRule type="cellIs" dxfId="460" priority="70" operator="greaterThan">
      <formula>$O$2</formula>
    </cfRule>
  </conditionalFormatting>
  <conditionalFormatting sqref="B9">
    <cfRule type="cellIs" dxfId="459" priority="67" operator="equal">
      <formula>TRUE</formula>
    </cfRule>
  </conditionalFormatting>
  <conditionalFormatting sqref="E10:O10">
    <cfRule type="cellIs" dxfId="458" priority="57" operator="equal">
      <formula>"EXC"</formula>
    </cfRule>
    <cfRule type="cellIs" dxfId="457" priority="58" operator="equal">
      <formula>"ABS"</formula>
    </cfRule>
  </conditionalFormatting>
  <conditionalFormatting sqref="H10">
    <cfRule type="cellIs" dxfId="456" priority="66" operator="greaterThan">
      <formula>$H$2</formula>
    </cfRule>
  </conditionalFormatting>
  <conditionalFormatting sqref="I10">
    <cfRule type="cellIs" dxfId="455" priority="65" operator="greaterThan">
      <formula>$I$2</formula>
    </cfRule>
  </conditionalFormatting>
  <conditionalFormatting sqref="J10">
    <cfRule type="cellIs" dxfId="454" priority="64" operator="greaterThan">
      <formula>$J$2</formula>
    </cfRule>
  </conditionalFormatting>
  <conditionalFormatting sqref="K10">
    <cfRule type="cellIs" dxfId="453" priority="63" operator="greaterThan">
      <formula>$K$2</formula>
    </cfRule>
  </conditionalFormatting>
  <conditionalFormatting sqref="L10">
    <cfRule type="cellIs" dxfId="452" priority="62" operator="greaterThan">
      <formula>$L$2</formula>
    </cfRule>
  </conditionalFormatting>
  <conditionalFormatting sqref="M10">
    <cfRule type="cellIs" dxfId="451" priority="61" operator="greaterThan">
      <formula>$M$2</formula>
    </cfRule>
  </conditionalFormatting>
  <conditionalFormatting sqref="N10">
    <cfRule type="cellIs" dxfId="450" priority="60" operator="greaterThan">
      <formula>$N$2</formula>
    </cfRule>
  </conditionalFormatting>
  <conditionalFormatting sqref="O10">
    <cfRule type="cellIs" dxfId="449" priority="59" operator="greaterThan">
      <formula>$O$2</formula>
    </cfRule>
  </conditionalFormatting>
  <conditionalFormatting sqref="B10">
    <cfRule type="cellIs" dxfId="448" priority="56" operator="equal">
      <formula>TRUE</formula>
    </cfRule>
  </conditionalFormatting>
  <conditionalFormatting sqref="E11:O11">
    <cfRule type="cellIs" dxfId="447" priority="46" operator="equal">
      <formula>"EXC"</formula>
    </cfRule>
    <cfRule type="cellIs" dxfId="446" priority="47" operator="equal">
      <formula>"ABS"</formula>
    </cfRule>
  </conditionalFormatting>
  <conditionalFormatting sqref="H11">
    <cfRule type="cellIs" dxfId="445" priority="55" operator="greaterThan">
      <formula>$H$2</formula>
    </cfRule>
  </conditionalFormatting>
  <conditionalFormatting sqref="I11">
    <cfRule type="cellIs" dxfId="444" priority="54" operator="greaterThan">
      <formula>$I$2</formula>
    </cfRule>
  </conditionalFormatting>
  <conditionalFormatting sqref="J11">
    <cfRule type="cellIs" dxfId="443" priority="53" operator="greaterThan">
      <formula>$J$2</formula>
    </cfRule>
  </conditionalFormatting>
  <conditionalFormatting sqref="K11">
    <cfRule type="cellIs" dxfId="442" priority="52" operator="greaterThan">
      <formula>$K$2</formula>
    </cfRule>
  </conditionalFormatting>
  <conditionalFormatting sqref="L11">
    <cfRule type="cellIs" dxfId="441" priority="51" operator="greaterThan">
      <formula>$L$2</formula>
    </cfRule>
  </conditionalFormatting>
  <conditionalFormatting sqref="M11">
    <cfRule type="cellIs" dxfId="440" priority="50" operator="greaterThan">
      <formula>$M$2</formula>
    </cfRule>
  </conditionalFormatting>
  <conditionalFormatting sqref="N11">
    <cfRule type="cellIs" dxfId="439" priority="49" operator="greaterThan">
      <formula>$N$2</formula>
    </cfRule>
  </conditionalFormatting>
  <conditionalFormatting sqref="O11">
    <cfRule type="cellIs" dxfId="438" priority="48" operator="greaterThan">
      <formula>$O$2</formula>
    </cfRule>
  </conditionalFormatting>
  <conditionalFormatting sqref="B11">
    <cfRule type="cellIs" dxfId="437" priority="45" operator="equal">
      <formula>TRUE</formula>
    </cfRule>
  </conditionalFormatting>
  <conditionalFormatting sqref="E12:O12">
    <cfRule type="cellIs" dxfId="436" priority="35" operator="equal">
      <formula>"EXC"</formula>
    </cfRule>
    <cfRule type="cellIs" dxfId="435" priority="36" operator="equal">
      <formula>"ABS"</formula>
    </cfRule>
  </conditionalFormatting>
  <conditionalFormatting sqref="H12">
    <cfRule type="cellIs" dxfId="434" priority="44" operator="greaterThan">
      <formula>$H$2</formula>
    </cfRule>
  </conditionalFormatting>
  <conditionalFormatting sqref="I12">
    <cfRule type="cellIs" dxfId="433" priority="43" operator="greaterThan">
      <formula>$I$2</formula>
    </cfRule>
  </conditionalFormatting>
  <conditionalFormatting sqref="J12">
    <cfRule type="cellIs" dxfId="432" priority="42" operator="greaterThan">
      <formula>$J$2</formula>
    </cfRule>
  </conditionalFormatting>
  <conditionalFormatting sqref="K12">
    <cfRule type="cellIs" dxfId="431" priority="41" operator="greaterThan">
      <formula>$K$2</formula>
    </cfRule>
  </conditionalFormatting>
  <conditionalFormatting sqref="L12">
    <cfRule type="cellIs" dxfId="430" priority="40" operator="greaterThan">
      <formula>$L$2</formula>
    </cfRule>
  </conditionalFormatting>
  <conditionalFormatting sqref="M12">
    <cfRule type="cellIs" dxfId="429" priority="39" operator="greaterThan">
      <formula>$M$2</formula>
    </cfRule>
  </conditionalFormatting>
  <conditionalFormatting sqref="N12">
    <cfRule type="cellIs" dxfId="428" priority="38" operator="greaterThan">
      <formula>$N$2</formula>
    </cfRule>
  </conditionalFormatting>
  <conditionalFormatting sqref="O12">
    <cfRule type="cellIs" dxfId="427" priority="37" operator="greaterThan">
      <formula>$O$2</formula>
    </cfRule>
  </conditionalFormatting>
  <conditionalFormatting sqref="B12">
    <cfRule type="cellIs" dxfId="426" priority="34" operator="equal">
      <formula>TRUE</formula>
    </cfRule>
  </conditionalFormatting>
  <conditionalFormatting sqref="E13:O13">
    <cfRule type="cellIs" dxfId="425" priority="24" operator="equal">
      <formula>"EXC"</formula>
    </cfRule>
    <cfRule type="cellIs" dxfId="424" priority="25" operator="equal">
      <formula>"ABS"</formula>
    </cfRule>
  </conditionalFormatting>
  <conditionalFormatting sqref="H13">
    <cfRule type="cellIs" dxfId="423" priority="33" operator="greaterThan">
      <formula>$H$2</formula>
    </cfRule>
  </conditionalFormatting>
  <conditionalFormatting sqref="I13">
    <cfRule type="cellIs" dxfId="422" priority="32" operator="greaterThan">
      <formula>$I$2</formula>
    </cfRule>
  </conditionalFormatting>
  <conditionalFormatting sqref="J13">
    <cfRule type="cellIs" dxfId="421" priority="31" operator="greaterThan">
      <formula>$J$2</formula>
    </cfRule>
  </conditionalFormatting>
  <conditionalFormatting sqref="K13">
    <cfRule type="cellIs" dxfId="420" priority="30" operator="greaterThan">
      <formula>$K$2</formula>
    </cfRule>
  </conditionalFormatting>
  <conditionalFormatting sqref="L13">
    <cfRule type="cellIs" dxfId="419" priority="29" operator="greaterThan">
      <formula>$L$2</formula>
    </cfRule>
  </conditionalFormatting>
  <conditionalFormatting sqref="M13">
    <cfRule type="cellIs" dxfId="418" priority="28" operator="greaterThan">
      <formula>$M$2</formula>
    </cfRule>
  </conditionalFormatting>
  <conditionalFormatting sqref="N13">
    <cfRule type="cellIs" dxfId="417" priority="27" operator="greaterThan">
      <formula>$N$2</formula>
    </cfRule>
  </conditionalFormatting>
  <conditionalFormatting sqref="O13">
    <cfRule type="cellIs" dxfId="416" priority="26" operator="greaterThan">
      <formula>$O$2</formula>
    </cfRule>
  </conditionalFormatting>
  <conditionalFormatting sqref="B13">
    <cfRule type="cellIs" dxfId="415" priority="23" operator="equal">
      <formula>TRUE</formula>
    </cfRule>
  </conditionalFormatting>
  <conditionalFormatting sqref="E14:O14">
    <cfRule type="cellIs" dxfId="414" priority="13" operator="equal">
      <formula>"EXC"</formula>
    </cfRule>
    <cfRule type="cellIs" dxfId="413" priority="14" operator="equal">
      <formula>"ABS"</formula>
    </cfRule>
  </conditionalFormatting>
  <conditionalFormatting sqref="H14">
    <cfRule type="cellIs" dxfId="412" priority="22" operator="greaterThan">
      <formula>$H$2</formula>
    </cfRule>
  </conditionalFormatting>
  <conditionalFormatting sqref="I14">
    <cfRule type="cellIs" dxfId="411" priority="21" operator="greaterThan">
      <formula>$I$2</formula>
    </cfRule>
  </conditionalFormatting>
  <conditionalFormatting sqref="J14">
    <cfRule type="cellIs" dxfId="410" priority="20" operator="greaterThan">
      <formula>$J$2</formula>
    </cfRule>
  </conditionalFormatting>
  <conditionalFormatting sqref="K14">
    <cfRule type="cellIs" dxfId="409" priority="19" operator="greaterThan">
      <formula>$K$2</formula>
    </cfRule>
  </conditionalFormatting>
  <conditionalFormatting sqref="L14">
    <cfRule type="cellIs" dxfId="408" priority="18" operator="greaterThan">
      <formula>$L$2</formula>
    </cfRule>
  </conditionalFormatting>
  <conditionalFormatting sqref="M14">
    <cfRule type="cellIs" dxfId="407" priority="17" operator="greaterThan">
      <formula>$M$2</formula>
    </cfRule>
  </conditionalFormatting>
  <conditionalFormatting sqref="N14">
    <cfRule type="cellIs" dxfId="406" priority="16" operator="greaterThan">
      <formula>$N$2</formula>
    </cfRule>
  </conditionalFormatting>
  <conditionalFormatting sqref="O14">
    <cfRule type="cellIs" dxfId="405" priority="15" operator="greaterThan">
      <formula>$O$2</formula>
    </cfRule>
  </conditionalFormatting>
  <conditionalFormatting sqref="B14">
    <cfRule type="cellIs" dxfId="404" priority="12" operator="equal">
      <formula>TRUE</formula>
    </cfRule>
  </conditionalFormatting>
  <conditionalFormatting sqref="E15:O15">
    <cfRule type="cellIs" dxfId="403" priority="2" operator="equal">
      <formula>"EXC"</formula>
    </cfRule>
    <cfRule type="cellIs" dxfId="402" priority="3" operator="equal">
      <formula>"ABS"</formula>
    </cfRule>
  </conditionalFormatting>
  <conditionalFormatting sqref="H15">
    <cfRule type="cellIs" dxfId="401" priority="11" operator="greaterThan">
      <formula>$H$2</formula>
    </cfRule>
  </conditionalFormatting>
  <conditionalFormatting sqref="I15">
    <cfRule type="cellIs" dxfId="400" priority="10" operator="greaterThan">
      <formula>$I$2</formula>
    </cfRule>
  </conditionalFormatting>
  <conditionalFormatting sqref="J15">
    <cfRule type="cellIs" dxfId="399" priority="9" operator="greaterThan">
      <formula>$J$2</formula>
    </cfRule>
  </conditionalFormatting>
  <conditionalFormatting sqref="K15">
    <cfRule type="cellIs" dxfId="398" priority="8" operator="greaterThan">
      <formula>$K$2</formula>
    </cfRule>
  </conditionalFormatting>
  <conditionalFormatting sqref="L15">
    <cfRule type="cellIs" dxfId="397" priority="7" operator="greaterThan">
      <formula>$L$2</formula>
    </cfRule>
  </conditionalFormatting>
  <conditionalFormatting sqref="M15">
    <cfRule type="cellIs" dxfId="396" priority="6" operator="greaterThan">
      <formula>$M$2</formula>
    </cfRule>
  </conditionalFormatting>
  <conditionalFormatting sqref="N15">
    <cfRule type="cellIs" dxfId="395" priority="5" operator="greaterThan">
      <formula>$N$2</formula>
    </cfRule>
  </conditionalFormatting>
  <conditionalFormatting sqref="O15">
    <cfRule type="cellIs" dxfId="394" priority="4" operator="greaterThan">
      <formula>$O$2</formula>
    </cfRule>
  </conditionalFormatting>
  <conditionalFormatting sqref="B15">
    <cfRule type="cellIs" dxfId="39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C1162"/>
  <sheetViews>
    <sheetView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D1" sqref="D1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29" ht="15.75" thickBot="1" x14ac:dyDescent="0.3">
      <c r="A1" s="1" t="s">
        <v>62</v>
      </c>
      <c r="D1" s="126" t="s">
        <v>1</v>
      </c>
      <c r="E1" s="197"/>
      <c r="G1" s="197"/>
      <c r="H1" s="197"/>
      <c r="I1" s="197"/>
      <c r="J1" s="197"/>
      <c r="Z1" s="2"/>
      <c r="AA1" s="2"/>
      <c r="AB1" s="2"/>
      <c r="AC1" s="2"/>
    </row>
    <row r="2" spans="1:29" ht="15.75" thickBot="1" x14ac:dyDescent="0.3">
      <c r="D2" s="3" t="s">
        <v>2</v>
      </c>
      <c r="E2" s="5">
        <v>100</v>
      </c>
      <c r="F2" s="137"/>
      <c r="G2" s="40">
        <f>'CT1'!E2</f>
        <v>40</v>
      </c>
      <c r="H2" s="40">
        <f>'CT2'!E2</f>
        <v>40</v>
      </c>
      <c r="I2" s="104">
        <f>'CT3'!E2</f>
        <v>40</v>
      </c>
      <c r="J2" s="40">
        <f>'CT4'!E2</f>
        <v>40</v>
      </c>
      <c r="K2" s="40">
        <f>'CT5'!E2</f>
        <v>40</v>
      </c>
      <c r="N2" s="22"/>
      <c r="Z2" s="2"/>
      <c r="AA2" s="2"/>
      <c r="AB2" s="2"/>
      <c r="AC2" s="2"/>
    </row>
    <row r="3" spans="1:29" ht="15.75" thickBot="1" x14ac:dyDescent="0.3">
      <c r="D3" s="3" t="s">
        <v>11</v>
      </c>
      <c r="E3" s="36"/>
      <c r="F3" s="138"/>
      <c r="G3" s="37">
        <v>1</v>
      </c>
      <c r="H3" s="37">
        <v>0</v>
      </c>
      <c r="I3" s="108">
        <v>0</v>
      </c>
      <c r="J3" s="37">
        <v>0</v>
      </c>
      <c r="K3" s="37">
        <v>0</v>
      </c>
      <c r="Z3" s="2"/>
      <c r="AA3" s="2"/>
      <c r="AB3" s="2"/>
      <c r="AC3" s="2"/>
    </row>
    <row r="4" spans="1:29" ht="15.75" thickBot="1" x14ac:dyDescent="0.3">
      <c r="D4" s="6" t="s">
        <v>3</v>
      </c>
      <c r="E4" s="38" t="e">
        <f>IF(SUM(E7:E1999)=0,"",AVERAGE(E7:E1999))</f>
        <v>#DIV/0!</v>
      </c>
      <c r="F4" s="139"/>
      <c r="G4" s="38">
        <f>IF(SUM(G7:G1999)=0,"",AVERAGE(G7:G1999))</f>
        <v>28.5</v>
      </c>
      <c r="H4" s="38" t="str">
        <f>IF(SUM(H7:H1999)=0,"",AVERAGE(H7:H1999))</f>
        <v/>
      </c>
      <c r="I4" s="38" t="str">
        <f>IF(SUM(I7:I1999)=0,"",AVERAGE(I7:I1999))</f>
        <v/>
      </c>
      <c r="J4" s="38" t="str">
        <f>IF(SUM(J7:J1999)=0,"",AVERAGE(J7:J1999))</f>
        <v/>
      </c>
      <c r="K4" s="38" t="str">
        <f>IF(SUM(K7:K1999)=0,"",AVERAGE(K7:K1999))</f>
        <v/>
      </c>
      <c r="Z4" s="2"/>
      <c r="AA4" s="2"/>
      <c r="AB4" s="2"/>
      <c r="AC4" s="2"/>
    </row>
    <row r="5" spans="1:29" ht="15.75" thickBot="1" x14ac:dyDescent="0.3">
      <c r="A5" s="8"/>
      <c r="B5" s="8"/>
      <c r="C5" s="8"/>
      <c r="D5" s="25"/>
      <c r="E5" s="9"/>
      <c r="F5" s="140"/>
      <c r="G5" s="9"/>
      <c r="H5" s="39"/>
      <c r="I5" s="105"/>
      <c r="J5" s="9"/>
      <c r="K5" s="9"/>
      <c r="Z5" s="2"/>
      <c r="AA5" s="2"/>
      <c r="AB5" s="2"/>
      <c r="AC5" s="2"/>
    </row>
    <row r="6" spans="1:29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31" t="s">
        <v>9</v>
      </c>
      <c r="F6" s="135"/>
      <c r="G6" s="183" t="s">
        <v>63</v>
      </c>
      <c r="H6" s="184" t="s">
        <v>64</v>
      </c>
      <c r="I6" s="191" t="s">
        <v>65</v>
      </c>
      <c r="J6" s="181" t="s">
        <v>142</v>
      </c>
      <c r="K6" s="181" t="s">
        <v>177</v>
      </c>
      <c r="Z6" s="2"/>
      <c r="AA6" s="2"/>
      <c r="AB6" s="2"/>
      <c r="AC6" s="2"/>
    </row>
    <row r="7" spans="1:29" x14ac:dyDescent="0.25">
      <c r="A7" s="11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14">
        <f t="shared" ref="E7:E16" si="0">100*(IF(OR(G7="EXC",G7="ABS"),0,G7/$G$2)*$G$3+IF(OR(H7="EXC",H7="ABS"),0,H7/$H$2)*$H$3+IF(OR(I7="EXC",I7="ABS"),0,I7/$I$2)*$I$3+IF(OR(J7="EXC",J7="ABS"),0,J7/$J$2)*$J$3+IF(OR(K7="EXC",K7="ABS"),0,K7/$K$2)*$K$3)/(IF(G7="EXC",0,$G$3)+IF(H7="EXC",0,$H$3)+IF(I7="EXC",0,$I$3)+IF(J7="EXC",0,$J$3)+IF(K7="EXC",0,$K$3))</f>
        <v>100</v>
      </c>
      <c r="F7" s="136"/>
      <c r="G7" s="12">
        <f>VLOOKUP(C7,'CT1'!$C:$E,3,FALSE)</f>
        <v>40</v>
      </c>
      <c r="H7" s="12">
        <f>VLOOKUP(C7,'CT2'!$C:$E,3,FALSE)</f>
        <v>0</v>
      </c>
      <c r="I7" s="12">
        <f>VLOOKUP(C7,'CT3'!$C:$E,3,FALSE)</f>
        <v>0</v>
      </c>
      <c r="J7" s="12">
        <f>VLOOKUP(C7,'CT4'!$C:$E,3,FALSE)</f>
        <v>0</v>
      </c>
      <c r="K7" s="12">
        <f>VLOOKUP(C7,'CT5'!$C:$E,3,FALSE)</f>
        <v>0</v>
      </c>
      <c r="Z7" s="2"/>
      <c r="AA7" s="2"/>
      <c r="AB7" s="2"/>
      <c r="AC7" s="2"/>
    </row>
    <row r="8" spans="1:29" x14ac:dyDescent="0.25">
      <c r="A8" s="11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14">
        <f t="shared" si="0"/>
        <v>50</v>
      </c>
      <c r="F8" s="136"/>
      <c r="G8" s="12">
        <f>VLOOKUP(C8,'CT1'!$C:$E,3,FALSE)</f>
        <v>20</v>
      </c>
      <c r="H8" s="12">
        <f>VLOOKUP(C8,'CT2'!$C:$E,3,FALSE)</f>
        <v>0</v>
      </c>
      <c r="I8" s="12">
        <f>VLOOKUP(C8,'CT3'!$C:$E,3,FALSE)</f>
        <v>0</v>
      </c>
      <c r="J8" s="12">
        <f>VLOOKUP(C8,'CT4'!$C:$E,3,FALSE)</f>
        <v>0</v>
      </c>
      <c r="K8" s="12">
        <f>VLOOKUP(C8,'CT5'!$C:$E,3,FALSE)</f>
        <v>0</v>
      </c>
    </row>
    <row r="9" spans="1:29" x14ac:dyDescent="0.25">
      <c r="A9" s="11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14">
        <f t="shared" si="0"/>
        <v>0</v>
      </c>
      <c r="F9" s="136"/>
      <c r="G9" s="12">
        <f>VLOOKUP(C9,'CT1'!$C:$E,3,FALSE)</f>
        <v>0</v>
      </c>
      <c r="H9" s="12">
        <f>VLOOKUP(C9,'CT2'!$C:$E,3,FALSE)</f>
        <v>0</v>
      </c>
      <c r="I9" s="12">
        <f>VLOOKUP(C9,'CT3'!$C:$E,3,FALSE)</f>
        <v>0</v>
      </c>
      <c r="J9" s="12">
        <f>VLOOKUP(C9,'CT4'!$C:$E,3,FALSE)</f>
        <v>0</v>
      </c>
      <c r="K9" s="12">
        <f>VLOOKUP(C9,'CT5'!$C:$E,3,FALSE)</f>
        <v>0</v>
      </c>
    </row>
    <row r="10" spans="1:29" x14ac:dyDescent="0.25">
      <c r="A10" s="11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14">
        <f t="shared" si="0"/>
        <v>200</v>
      </c>
      <c r="F10" s="136"/>
      <c r="G10" s="12">
        <f>VLOOKUP(C10,'CT1'!$C:$E,3,FALSE)</f>
        <v>80</v>
      </c>
      <c r="H10" s="12">
        <f>VLOOKUP(C10,'CT2'!$C:$E,3,FALSE)</f>
        <v>0</v>
      </c>
      <c r="I10" s="12">
        <f>VLOOKUP(C10,'CT3'!$C:$E,3,FALSE)</f>
        <v>0</v>
      </c>
      <c r="J10" s="12">
        <f>VLOOKUP(C10,'CT4'!$C:$E,3,FALSE)</f>
        <v>0</v>
      </c>
      <c r="K10" s="12">
        <f>VLOOKUP(C10,'CT5'!$C:$E,3,FALSE)</f>
        <v>0</v>
      </c>
    </row>
    <row r="11" spans="1:29" x14ac:dyDescent="0.25">
      <c r="A11" s="11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14">
        <f t="shared" si="0"/>
        <v>0</v>
      </c>
      <c r="F11" s="136"/>
      <c r="G11" s="12" t="str">
        <f>VLOOKUP(C11,'CT1'!$C:$E,3,FALSE)</f>
        <v>ABS</v>
      </c>
      <c r="H11" s="12">
        <f>VLOOKUP(C11,'CT2'!$C:$E,3,FALSE)</f>
        <v>0</v>
      </c>
      <c r="I11" s="12">
        <f>VLOOKUP(C11,'CT3'!$C:$E,3,FALSE)</f>
        <v>0</v>
      </c>
      <c r="J11" s="12">
        <f>VLOOKUP(C11,'CT4'!$C:$E,3,FALSE)</f>
        <v>0</v>
      </c>
      <c r="K11" s="12">
        <f>VLOOKUP(C11,'CT5'!$C:$E,3,FALSE)</f>
        <v>0</v>
      </c>
    </row>
    <row r="12" spans="1:29" x14ac:dyDescent="0.25">
      <c r="A12" s="11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14" t="e">
        <f t="shared" si="0"/>
        <v>#DIV/0!</v>
      </c>
      <c r="F12" s="136"/>
      <c r="G12" s="12" t="str">
        <f>VLOOKUP(C12,'CT1'!$C:$E,3,FALSE)</f>
        <v>EXC</v>
      </c>
      <c r="H12" s="12">
        <f>VLOOKUP(C12,'CT2'!$C:$E,3,FALSE)</f>
        <v>0</v>
      </c>
      <c r="I12" s="12">
        <f>VLOOKUP(C12,'CT3'!$C:$E,3,FALSE)</f>
        <v>0</v>
      </c>
      <c r="J12" s="12">
        <f>VLOOKUP(C12,'CT4'!$C:$E,3,FALSE)</f>
        <v>0</v>
      </c>
      <c r="K12" s="12">
        <f>VLOOKUP(C12,'CT5'!$C:$E,3,FALSE)</f>
        <v>0</v>
      </c>
    </row>
    <row r="13" spans="1:29" x14ac:dyDescent="0.25">
      <c r="A13" s="11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14">
        <f t="shared" si="0"/>
        <v>55.000000000000007</v>
      </c>
      <c r="F13" s="136"/>
      <c r="G13" s="12">
        <f>VLOOKUP(C13,'CT1'!$C:$E,3,FALSE)</f>
        <v>22</v>
      </c>
      <c r="H13" s="12">
        <f>VLOOKUP(C13,'CT2'!$C:$E,3,FALSE)</f>
        <v>0</v>
      </c>
      <c r="I13" s="12">
        <f>VLOOKUP(C13,'CT3'!$C:$E,3,FALSE)</f>
        <v>0</v>
      </c>
      <c r="J13" s="12">
        <f>VLOOKUP(C13,'CT4'!$C:$E,3,FALSE)</f>
        <v>0</v>
      </c>
      <c r="K13" s="12">
        <f>VLOOKUP(C13,'CT5'!$C:$E,3,FALSE)</f>
        <v>0</v>
      </c>
    </row>
    <row r="14" spans="1:29" x14ac:dyDescent="0.25">
      <c r="A14" s="11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14">
        <f t="shared" si="0"/>
        <v>55.000000000000007</v>
      </c>
      <c r="F14" s="136"/>
      <c r="G14" s="12">
        <f>VLOOKUP(C14,'CT1'!$C:$E,3,FALSE)</f>
        <v>22</v>
      </c>
      <c r="H14" s="12">
        <f>VLOOKUP(C14,'CT2'!$C:$E,3,FALSE)</f>
        <v>0</v>
      </c>
      <c r="I14" s="12">
        <f>VLOOKUP(C14,'CT3'!$C:$E,3,FALSE)</f>
        <v>0</v>
      </c>
      <c r="J14" s="12">
        <f>VLOOKUP(C14,'CT4'!$C:$E,3,FALSE)</f>
        <v>0</v>
      </c>
      <c r="K14" s="12">
        <f>VLOOKUP(C14,'CT5'!$C:$E,3,FALSE)</f>
        <v>0</v>
      </c>
    </row>
    <row r="15" spans="1:29" x14ac:dyDescent="0.25">
      <c r="A15" s="11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14">
        <f t="shared" si="0"/>
        <v>55.000000000000007</v>
      </c>
      <c r="F15" s="136"/>
      <c r="G15" s="12">
        <f>VLOOKUP(C15,'CT1'!$C:$E,3,FALSE)</f>
        <v>22</v>
      </c>
      <c r="H15" s="12">
        <f>VLOOKUP(C15,'CT2'!$C:$E,3,FALSE)</f>
        <v>0</v>
      </c>
      <c r="I15" s="12">
        <f>VLOOKUP(C15,'CT3'!$C:$E,3,FALSE)</f>
        <v>0</v>
      </c>
      <c r="J15" s="12">
        <f>VLOOKUP(C15,'CT4'!$C:$E,3,FALSE)</f>
        <v>0</v>
      </c>
      <c r="K15" s="12">
        <f>VLOOKUP(C15,'CT5'!$C:$E,3,FALSE)</f>
        <v>0</v>
      </c>
    </row>
    <row r="16" spans="1:29" x14ac:dyDescent="0.25">
      <c r="A16" s="11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14">
        <f t="shared" si="0"/>
        <v>55.000000000000007</v>
      </c>
      <c r="F16" s="136"/>
      <c r="G16" s="12">
        <f>VLOOKUP(C16,'CT1'!$C:$E,3,FALSE)</f>
        <v>22</v>
      </c>
      <c r="H16" s="12">
        <f>VLOOKUP(C16,'CT2'!$C:$E,3,FALSE)</f>
        <v>0</v>
      </c>
      <c r="I16" s="12">
        <f>VLOOKUP(C16,'CT3'!$C:$E,3,FALSE)</f>
        <v>0</v>
      </c>
      <c r="J16" s="12">
        <f>VLOOKUP(C16,'CT4'!$C:$E,3,FALSE)</f>
        <v>0</v>
      </c>
      <c r="K16" s="12">
        <f>VLOOKUP(C16,'CT5'!$C:$E,3,FALSE)</f>
        <v>0</v>
      </c>
    </row>
    <row r="17" spans="3:4" x14ac:dyDescent="0.25">
      <c r="C17" s="180"/>
      <c r="D17" s="180"/>
    </row>
    <row r="18" spans="3:4" x14ac:dyDescent="0.25">
      <c r="C18" s="180"/>
      <c r="D18" s="180"/>
    </row>
    <row r="19" spans="3:4" x14ac:dyDescent="0.25">
      <c r="C19" s="180"/>
      <c r="D19" s="180"/>
    </row>
    <row r="20" spans="3:4" x14ac:dyDescent="0.25">
      <c r="C20" s="180"/>
      <c r="D20" s="180"/>
    </row>
    <row r="21" spans="3:4" x14ac:dyDescent="0.25">
      <c r="C21" s="180"/>
      <c r="D21" s="180"/>
    </row>
    <row r="22" spans="3:4" x14ac:dyDescent="0.25">
      <c r="C22" s="180"/>
      <c r="D22" s="180"/>
    </row>
    <row r="23" spans="3:4" x14ac:dyDescent="0.25">
      <c r="C23" s="180"/>
      <c r="D23" s="180"/>
    </row>
    <row r="24" spans="3:4" x14ac:dyDescent="0.25">
      <c r="C24" s="180"/>
      <c r="D24" s="180"/>
    </row>
    <row r="25" spans="3:4" x14ac:dyDescent="0.25">
      <c r="C25" s="180"/>
      <c r="D25" s="180"/>
    </row>
    <row r="26" spans="3:4" x14ac:dyDescent="0.25">
      <c r="C26" s="180"/>
      <c r="D26" s="180"/>
    </row>
    <row r="27" spans="3:4" x14ac:dyDescent="0.25">
      <c r="C27" s="180"/>
      <c r="D27" s="180"/>
    </row>
    <row r="28" spans="3:4" x14ac:dyDescent="0.25">
      <c r="C28" s="180"/>
      <c r="D28" s="180"/>
    </row>
    <row r="29" spans="3:4" x14ac:dyDescent="0.25">
      <c r="C29" s="180"/>
      <c r="D29" s="180"/>
    </row>
    <row r="30" spans="3:4" x14ac:dyDescent="0.25">
      <c r="C30" s="180"/>
      <c r="D30" s="180"/>
    </row>
    <row r="31" spans="3:4" x14ac:dyDescent="0.25">
      <c r="C31" s="180"/>
      <c r="D31" s="180"/>
    </row>
    <row r="32" spans="3:4" x14ac:dyDescent="0.25">
      <c r="C32" s="180"/>
      <c r="D32" s="180"/>
    </row>
    <row r="33" spans="3:4" x14ac:dyDescent="0.25">
      <c r="C33" s="180"/>
      <c r="D33" s="180"/>
    </row>
    <row r="34" spans="3:4" x14ac:dyDescent="0.25">
      <c r="C34" s="180"/>
      <c r="D34" s="180"/>
    </row>
    <row r="35" spans="3:4" x14ac:dyDescent="0.25">
      <c r="C35" s="180"/>
      <c r="D35" s="180"/>
    </row>
    <row r="36" spans="3:4" x14ac:dyDescent="0.25">
      <c r="C36" s="180"/>
      <c r="D36" s="180"/>
    </row>
    <row r="37" spans="3:4" x14ac:dyDescent="0.25">
      <c r="C37" s="180"/>
      <c r="D37" s="180"/>
    </row>
    <row r="38" spans="3:4" x14ac:dyDescent="0.25">
      <c r="C38" s="180"/>
      <c r="D38" s="180"/>
    </row>
    <row r="39" spans="3:4" x14ac:dyDescent="0.25">
      <c r="C39" s="180"/>
      <c r="D39" s="180"/>
    </row>
    <row r="40" spans="3:4" x14ac:dyDescent="0.25">
      <c r="C40" s="180"/>
      <c r="D40" s="180"/>
    </row>
    <row r="41" spans="3:4" x14ac:dyDescent="0.25">
      <c r="C41" s="180"/>
      <c r="D41" s="180"/>
    </row>
    <row r="42" spans="3:4" x14ac:dyDescent="0.25">
      <c r="C42" s="180"/>
      <c r="D42" s="180"/>
    </row>
    <row r="43" spans="3:4" x14ac:dyDescent="0.25">
      <c r="C43" s="180"/>
      <c r="D43" s="180"/>
    </row>
    <row r="44" spans="3:4" x14ac:dyDescent="0.25">
      <c r="C44" s="180"/>
      <c r="D44" s="180"/>
    </row>
    <row r="45" spans="3:4" x14ac:dyDescent="0.25">
      <c r="C45" s="180"/>
      <c r="D45" s="180"/>
    </row>
    <row r="46" spans="3:4" x14ac:dyDescent="0.25">
      <c r="C46" s="180"/>
      <c r="D46" s="180"/>
    </row>
    <row r="47" spans="3:4" x14ac:dyDescent="0.25">
      <c r="C47" s="180"/>
      <c r="D47" s="180"/>
    </row>
    <row r="48" spans="3:4" x14ac:dyDescent="0.25">
      <c r="C48" s="180"/>
      <c r="D48" s="180"/>
    </row>
    <row r="49" spans="3:4" x14ac:dyDescent="0.25">
      <c r="C49" s="180"/>
      <c r="D49" s="180"/>
    </row>
    <row r="50" spans="3:4" x14ac:dyDescent="0.25">
      <c r="C50" s="180"/>
      <c r="D50" s="180"/>
    </row>
    <row r="51" spans="3:4" x14ac:dyDescent="0.25">
      <c r="C51" s="180"/>
      <c r="D51" s="180"/>
    </row>
    <row r="52" spans="3:4" x14ac:dyDescent="0.25">
      <c r="C52" s="180"/>
      <c r="D52" s="180"/>
    </row>
    <row r="53" spans="3:4" x14ac:dyDescent="0.25">
      <c r="C53" s="180"/>
      <c r="D53" s="180"/>
    </row>
    <row r="54" spans="3:4" x14ac:dyDescent="0.25">
      <c r="C54" s="180"/>
      <c r="D54" s="180"/>
    </row>
    <row r="55" spans="3:4" x14ac:dyDescent="0.25">
      <c r="C55" s="180"/>
      <c r="D55" s="180"/>
    </row>
    <row r="56" spans="3:4" x14ac:dyDescent="0.25">
      <c r="C56" s="180"/>
      <c r="D56" s="180"/>
    </row>
    <row r="57" spans="3:4" x14ac:dyDescent="0.25">
      <c r="C57" s="180"/>
      <c r="D57" s="180"/>
    </row>
    <row r="58" spans="3:4" x14ac:dyDescent="0.25">
      <c r="C58" s="180"/>
      <c r="D58" s="180"/>
    </row>
    <row r="59" spans="3:4" x14ac:dyDescent="0.25">
      <c r="C59" s="180"/>
      <c r="D59" s="180"/>
    </row>
    <row r="60" spans="3:4" x14ac:dyDescent="0.25">
      <c r="C60" s="180"/>
      <c r="D60" s="180"/>
    </row>
    <row r="61" spans="3:4" x14ac:dyDescent="0.25">
      <c r="C61" s="180"/>
      <c r="D61" s="180"/>
    </row>
    <row r="62" spans="3:4" x14ac:dyDescent="0.25">
      <c r="C62" s="180"/>
      <c r="D62" s="180"/>
    </row>
    <row r="63" spans="3:4" x14ac:dyDescent="0.25">
      <c r="C63" s="180"/>
      <c r="D63" s="180"/>
    </row>
    <row r="64" spans="3:4" x14ac:dyDescent="0.25">
      <c r="C64" s="180"/>
      <c r="D64" s="180"/>
    </row>
    <row r="65" spans="3:4" x14ac:dyDescent="0.25">
      <c r="C65" s="180"/>
      <c r="D65" s="180"/>
    </row>
    <row r="66" spans="3:4" x14ac:dyDescent="0.25">
      <c r="C66" s="180"/>
      <c r="D66" s="180"/>
    </row>
    <row r="67" spans="3:4" x14ac:dyDescent="0.25">
      <c r="C67" s="180"/>
      <c r="D67" s="180"/>
    </row>
    <row r="68" spans="3:4" x14ac:dyDescent="0.25">
      <c r="C68" s="180"/>
      <c r="D68" s="180"/>
    </row>
    <row r="69" spans="3:4" x14ac:dyDescent="0.25">
      <c r="C69" s="180"/>
      <c r="D69" s="180"/>
    </row>
    <row r="70" spans="3:4" x14ac:dyDescent="0.25">
      <c r="C70" s="180"/>
      <c r="D70" s="180"/>
    </row>
    <row r="71" spans="3:4" x14ac:dyDescent="0.25">
      <c r="C71" s="180"/>
      <c r="D71" s="180"/>
    </row>
    <row r="72" spans="3:4" x14ac:dyDescent="0.25">
      <c r="C72" s="180"/>
      <c r="D72" s="180"/>
    </row>
    <row r="73" spans="3:4" x14ac:dyDescent="0.25">
      <c r="C73" s="180"/>
      <c r="D73" s="180"/>
    </row>
    <row r="74" spans="3:4" x14ac:dyDescent="0.25">
      <c r="C74" s="180"/>
      <c r="D74" s="180"/>
    </row>
    <row r="75" spans="3:4" x14ac:dyDescent="0.25">
      <c r="C75" s="180"/>
      <c r="D75" s="180"/>
    </row>
    <row r="76" spans="3:4" x14ac:dyDescent="0.25">
      <c r="C76" s="180"/>
      <c r="D76" s="180"/>
    </row>
    <row r="77" spans="3:4" x14ac:dyDescent="0.25">
      <c r="C77" s="180"/>
      <c r="D77" s="180"/>
    </row>
    <row r="78" spans="3:4" x14ac:dyDescent="0.25">
      <c r="C78" s="180"/>
      <c r="D78" s="180"/>
    </row>
    <row r="79" spans="3:4" x14ac:dyDescent="0.25">
      <c r="C79" s="180"/>
      <c r="D79" s="180"/>
    </row>
    <row r="80" spans="3:4" x14ac:dyDescent="0.25">
      <c r="C80" s="180"/>
      <c r="D80" s="180"/>
    </row>
    <row r="81" spans="3:4" x14ac:dyDescent="0.25">
      <c r="C81" s="180"/>
      <c r="D81" s="180"/>
    </row>
    <row r="82" spans="3:4" x14ac:dyDescent="0.25">
      <c r="C82" s="180"/>
      <c r="D82" s="180"/>
    </row>
    <row r="83" spans="3:4" x14ac:dyDescent="0.25">
      <c r="C83" s="180"/>
      <c r="D83" s="180"/>
    </row>
    <row r="84" spans="3:4" x14ac:dyDescent="0.25">
      <c r="C84" s="180"/>
      <c r="D84" s="180"/>
    </row>
    <row r="85" spans="3:4" x14ac:dyDescent="0.25">
      <c r="C85" s="180"/>
      <c r="D85" s="180"/>
    </row>
    <row r="86" spans="3:4" x14ac:dyDescent="0.25">
      <c r="C86" s="180"/>
      <c r="D86" s="180"/>
    </row>
    <row r="87" spans="3:4" x14ac:dyDescent="0.25">
      <c r="C87" s="180"/>
      <c r="D87" s="180"/>
    </row>
    <row r="88" spans="3:4" x14ac:dyDescent="0.25">
      <c r="C88" s="180"/>
      <c r="D88" s="180"/>
    </row>
    <row r="89" spans="3:4" x14ac:dyDescent="0.25">
      <c r="C89" s="180"/>
      <c r="D89" s="180"/>
    </row>
    <row r="90" spans="3:4" x14ac:dyDescent="0.25">
      <c r="C90" s="180"/>
      <c r="D90" s="180"/>
    </row>
    <row r="91" spans="3:4" x14ac:dyDescent="0.25">
      <c r="C91" s="180"/>
      <c r="D91" s="180"/>
    </row>
    <row r="92" spans="3:4" x14ac:dyDescent="0.25">
      <c r="C92" s="180"/>
      <c r="D92" s="180"/>
    </row>
    <row r="93" spans="3:4" x14ac:dyDescent="0.25">
      <c r="C93" s="180"/>
      <c r="D93" s="180"/>
    </row>
    <row r="94" spans="3:4" x14ac:dyDescent="0.25">
      <c r="C94" s="180"/>
      <c r="D94" s="180"/>
    </row>
    <row r="95" spans="3:4" x14ac:dyDescent="0.25">
      <c r="C95" s="180"/>
      <c r="D95" s="180"/>
    </row>
    <row r="96" spans="3:4" x14ac:dyDescent="0.25">
      <c r="C96" s="180"/>
      <c r="D96" s="180"/>
    </row>
    <row r="97" spans="3:4" x14ac:dyDescent="0.25">
      <c r="C97" s="180"/>
      <c r="D97" s="180"/>
    </row>
    <row r="98" spans="3:4" x14ac:dyDescent="0.25">
      <c r="C98" s="180"/>
      <c r="D98" s="180"/>
    </row>
    <row r="99" spans="3:4" x14ac:dyDescent="0.25">
      <c r="C99" s="180"/>
      <c r="D99" s="180"/>
    </row>
    <row r="100" spans="3:4" x14ac:dyDescent="0.25">
      <c r="C100" s="180"/>
      <c r="D100" s="180"/>
    </row>
    <row r="101" spans="3:4" x14ac:dyDescent="0.25">
      <c r="C101" s="180"/>
      <c r="D101" s="180"/>
    </row>
    <row r="102" spans="3:4" x14ac:dyDescent="0.25">
      <c r="C102" s="180"/>
      <c r="D102" s="180"/>
    </row>
    <row r="103" spans="3:4" x14ac:dyDescent="0.25">
      <c r="C103" s="180"/>
      <c r="D103" s="180"/>
    </row>
    <row r="104" spans="3:4" x14ac:dyDescent="0.25">
      <c r="C104" s="180"/>
      <c r="D104" s="180"/>
    </row>
    <row r="105" spans="3:4" x14ac:dyDescent="0.25">
      <c r="C105" s="180"/>
      <c r="D105" s="180"/>
    </row>
    <row r="106" spans="3:4" x14ac:dyDescent="0.25">
      <c r="C106" s="180"/>
      <c r="D106" s="180"/>
    </row>
    <row r="107" spans="3:4" x14ac:dyDescent="0.25">
      <c r="C107" s="180"/>
      <c r="D107" s="180"/>
    </row>
    <row r="108" spans="3:4" x14ac:dyDescent="0.25">
      <c r="C108" s="180"/>
      <c r="D108" s="180"/>
    </row>
    <row r="109" spans="3:4" x14ac:dyDescent="0.25">
      <c r="C109" s="180"/>
      <c r="D109" s="180"/>
    </row>
    <row r="110" spans="3:4" x14ac:dyDescent="0.25">
      <c r="C110" s="180"/>
      <c r="D110" s="180"/>
    </row>
    <row r="111" spans="3:4" x14ac:dyDescent="0.25">
      <c r="C111" s="180"/>
      <c r="D111" s="180"/>
    </row>
    <row r="112" spans="3:4" x14ac:dyDescent="0.25">
      <c r="C112" s="180"/>
      <c r="D112" s="180"/>
    </row>
    <row r="113" spans="3:4" x14ac:dyDescent="0.25">
      <c r="C113" s="180"/>
      <c r="D113" s="180"/>
    </row>
    <row r="114" spans="3:4" x14ac:dyDescent="0.25">
      <c r="C114" s="180"/>
      <c r="D114" s="180"/>
    </row>
    <row r="115" spans="3:4" x14ac:dyDescent="0.25">
      <c r="C115" s="180"/>
      <c r="D115" s="180"/>
    </row>
    <row r="116" spans="3:4" x14ac:dyDescent="0.25">
      <c r="C116" s="180"/>
      <c r="D116" s="180"/>
    </row>
    <row r="117" spans="3:4" x14ac:dyDescent="0.25">
      <c r="C117" s="180"/>
      <c r="D117" s="180"/>
    </row>
    <row r="118" spans="3:4" x14ac:dyDescent="0.25">
      <c r="C118" s="180"/>
      <c r="D118" s="180"/>
    </row>
    <row r="119" spans="3:4" x14ac:dyDescent="0.25">
      <c r="C119" s="180"/>
      <c r="D119" s="180"/>
    </row>
    <row r="120" spans="3:4" x14ac:dyDescent="0.25">
      <c r="C120" s="180"/>
      <c r="D120" s="180"/>
    </row>
    <row r="121" spans="3:4" x14ac:dyDescent="0.25">
      <c r="C121" s="180"/>
      <c r="D121" s="180"/>
    </row>
    <row r="122" spans="3:4" x14ac:dyDescent="0.25">
      <c r="C122" s="180"/>
      <c r="D122" s="180"/>
    </row>
    <row r="123" spans="3:4" x14ac:dyDescent="0.25">
      <c r="C123" s="180"/>
      <c r="D123" s="180"/>
    </row>
    <row r="124" spans="3:4" x14ac:dyDescent="0.25">
      <c r="C124" s="180"/>
      <c r="D124" s="180"/>
    </row>
    <row r="125" spans="3:4" x14ac:dyDescent="0.25">
      <c r="C125" s="180"/>
      <c r="D125" s="180"/>
    </row>
    <row r="126" spans="3:4" x14ac:dyDescent="0.25">
      <c r="C126" s="180"/>
      <c r="D126" s="180"/>
    </row>
    <row r="127" spans="3:4" x14ac:dyDescent="0.25">
      <c r="C127" s="180"/>
      <c r="D127" s="180"/>
    </row>
    <row r="128" spans="3:4" x14ac:dyDescent="0.25">
      <c r="C128" s="180"/>
      <c r="D128" s="180"/>
    </row>
    <row r="129" spans="3:4" x14ac:dyDescent="0.25">
      <c r="C129" s="180"/>
      <c r="D129" s="180"/>
    </row>
    <row r="130" spans="3:4" x14ac:dyDescent="0.25">
      <c r="C130" s="180"/>
      <c r="D130" s="180"/>
    </row>
    <row r="131" spans="3:4" x14ac:dyDescent="0.25">
      <c r="C131" s="180"/>
      <c r="D131" s="180"/>
    </row>
    <row r="132" spans="3:4" x14ac:dyDescent="0.25">
      <c r="C132" s="180"/>
      <c r="D132" s="180"/>
    </row>
    <row r="133" spans="3:4" x14ac:dyDescent="0.25">
      <c r="C133" s="180"/>
      <c r="D133" s="180"/>
    </row>
    <row r="134" spans="3:4" x14ac:dyDescent="0.25">
      <c r="C134" s="180"/>
      <c r="D134" s="180"/>
    </row>
    <row r="135" spans="3:4" x14ac:dyDescent="0.25">
      <c r="C135" s="180"/>
      <c r="D135" s="180"/>
    </row>
    <row r="136" spans="3:4" x14ac:dyDescent="0.25">
      <c r="C136" s="180"/>
      <c r="D136" s="180"/>
    </row>
    <row r="137" spans="3:4" x14ac:dyDescent="0.25">
      <c r="C137" s="180"/>
      <c r="D137" s="180"/>
    </row>
    <row r="138" spans="3:4" x14ac:dyDescent="0.25">
      <c r="C138" s="180"/>
      <c r="D138" s="180"/>
    </row>
    <row r="139" spans="3:4" x14ac:dyDescent="0.25">
      <c r="C139" s="180"/>
      <c r="D139" s="180"/>
    </row>
    <row r="140" spans="3:4" x14ac:dyDescent="0.25">
      <c r="C140" s="180"/>
      <c r="D140" s="180"/>
    </row>
    <row r="141" spans="3:4" x14ac:dyDescent="0.25">
      <c r="C141" s="180"/>
      <c r="D141" s="180"/>
    </row>
    <row r="142" spans="3:4" x14ac:dyDescent="0.25">
      <c r="C142" s="180"/>
      <c r="D142" s="180"/>
    </row>
    <row r="143" spans="3:4" x14ac:dyDescent="0.25">
      <c r="C143" s="180"/>
      <c r="D143" s="180"/>
    </row>
    <row r="144" spans="3:4" x14ac:dyDescent="0.25">
      <c r="C144" s="180"/>
      <c r="D144" s="180"/>
    </row>
    <row r="145" spans="3:4" x14ac:dyDescent="0.25">
      <c r="C145" s="180"/>
      <c r="D145" s="180"/>
    </row>
    <row r="146" spans="3:4" x14ac:dyDescent="0.25">
      <c r="C146" s="180"/>
      <c r="D146" s="180"/>
    </row>
    <row r="147" spans="3:4" x14ac:dyDescent="0.25">
      <c r="C147" s="180"/>
      <c r="D147" s="180"/>
    </row>
    <row r="148" spans="3:4" x14ac:dyDescent="0.25">
      <c r="C148" s="180"/>
      <c r="D148" s="180"/>
    </row>
    <row r="149" spans="3:4" x14ac:dyDescent="0.25">
      <c r="C149" s="180"/>
      <c r="D149" s="180"/>
    </row>
    <row r="150" spans="3:4" x14ac:dyDescent="0.25">
      <c r="C150" s="180"/>
      <c r="D150" s="180"/>
    </row>
    <row r="151" spans="3:4" x14ac:dyDescent="0.25">
      <c r="C151" s="180"/>
      <c r="D151" s="180"/>
    </row>
    <row r="152" spans="3:4" x14ac:dyDescent="0.25">
      <c r="C152" s="180"/>
      <c r="D152" s="180"/>
    </row>
    <row r="153" spans="3:4" x14ac:dyDescent="0.25">
      <c r="C153" s="180"/>
      <c r="D153" s="180"/>
    </row>
    <row r="154" spans="3:4" x14ac:dyDescent="0.25">
      <c r="C154" s="180"/>
      <c r="D154" s="180"/>
    </row>
    <row r="155" spans="3:4" x14ac:dyDescent="0.25">
      <c r="C155" s="180"/>
      <c r="D155" s="180"/>
    </row>
    <row r="156" spans="3:4" x14ac:dyDescent="0.25">
      <c r="C156" s="180"/>
      <c r="D156" s="180"/>
    </row>
    <row r="157" spans="3:4" x14ac:dyDescent="0.25">
      <c r="C157" s="180"/>
      <c r="D157" s="180"/>
    </row>
    <row r="158" spans="3:4" x14ac:dyDescent="0.25">
      <c r="C158" s="180"/>
      <c r="D158" s="180"/>
    </row>
    <row r="159" spans="3:4" x14ac:dyDescent="0.25">
      <c r="C159" s="180"/>
      <c r="D159" s="180"/>
    </row>
    <row r="160" spans="3:4" x14ac:dyDescent="0.25">
      <c r="C160" s="180"/>
      <c r="D160" s="180"/>
    </row>
    <row r="161" spans="3:4" x14ac:dyDescent="0.25">
      <c r="C161" s="180"/>
      <c r="D161" s="180"/>
    </row>
    <row r="162" spans="3:4" x14ac:dyDescent="0.25">
      <c r="C162" s="180"/>
      <c r="D162" s="180"/>
    </row>
    <row r="163" spans="3:4" x14ac:dyDescent="0.25">
      <c r="C163" s="180"/>
      <c r="D163" s="180"/>
    </row>
    <row r="164" spans="3:4" x14ac:dyDescent="0.25">
      <c r="C164" s="180"/>
      <c r="D164" s="180"/>
    </row>
    <row r="165" spans="3:4" x14ac:dyDescent="0.25">
      <c r="C165" s="180"/>
      <c r="D165" s="180"/>
    </row>
    <row r="166" spans="3:4" x14ac:dyDescent="0.25">
      <c r="C166" s="180"/>
      <c r="D166" s="180"/>
    </row>
    <row r="167" spans="3:4" x14ac:dyDescent="0.25">
      <c r="C167" s="180"/>
      <c r="D167" s="180"/>
    </row>
    <row r="168" spans="3:4" x14ac:dyDescent="0.25">
      <c r="C168" s="180"/>
      <c r="D168" s="180"/>
    </row>
    <row r="169" spans="3:4" x14ac:dyDescent="0.25">
      <c r="C169" s="180"/>
      <c r="D169" s="180"/>
    </row>
    <row r="170" spans="3:4" x14ac:dyDescent="0.25">
      <c r="C170" s="180"/>
      <c r="D170" s="180"/>
    </row>
    <row r="171" spans="3:4" x14ac:dyDescent="0.25">
      <c r="C171" s="180"/>
      <c r="D171" s="180"/>
    </row>
    <row r="172" spans="3:4" x14ac:dyDescent="0.25">
      <c r="C172" s="180"/>
      <c r="D172" s="180"/>
    </row>
    <row r="173" spans="3:4" x14ac:dyDescent="0.25">
      <c r="C173" s="180"/>
      <c r="D173" s="180"/>
    </row>
    <row r="174" spans="3:4" x14ac:dyDescent="0.25">
      <c r="C174" s="180"/>
      <c r="D174" s="180"/>
    </row>
    <row r="175" spans="3:4" x14ac:dyDescent="0.25">
      <c r="C175" s="180"/>
      <c r="D175" s="180"/>
    </row>
    <row r="176" spans="3:4" x14ac:dyDescent="0.25">
      <c r="C176" s="180"/>
      <c r="D176" s="180"/>
    </row>
    <row r="177" spans="3:4" x14ac:dyDescent="0.25">
      <c r="C177" s="180"/>
      <c r="D177" s="180"/>
    </row>
    <row r="178" spans="3:4" x14ac:dyDescent="0.25">
      <c r="C178" s="180"/>
      <c r="D178" s="180"/>
    </row>
    <row r="179" spans="3:4" x14ac:dyDescent="0.25">
      <c r="C179" s="180"/>
      <c r="D179" s="180"/>
    </row>
    <row r="180" spans="3:4" x14ac:dyDescent="0.25">
      <c r="C180" s="180"/>
      <c r="D180" s="180"/>
    </row>
    <row r="181" spans="3:4" x14ac:dyDescent="0.25">
      <c r="C181" s="180"/>
      <c r="D181" s="180"/>
    </row>
    <row r="182" spans="3:4" x14ac:dyDescent="0.25">
      <c r="C182" s="180"/>
      <c r="D182" s="180"/>
    </row>
    <row r="183" spans="3:4" x14ac:dyDescent="0.25">
      <c r="C183" s="180"/>
      <c r="D183" s="180"/>
    </row>
    <row r="184" spans="3:4" x14ac:dyDescent="0.25">
      <c r="C184" s="180"/>
      <c r="D184" s="180"/>
    </row>
    <row r="185" spans="3:4" x14ac:dyDescent="0.25">
      <c r="C185" s="180"/>
      <c r="D185" s="180"/>
    </row>
    <row r="186" spans="3:4" x14ac:dyDescent="0.25">
      <c r="C186" s="180"/>
      <c r="D186" s="180"/>
    </row>
    <row r="187" spans="3:4" x14ac:dyDescent="0.25">
      <c r="C187" s="180"/>
      <c r="D187" s="180"/>
    </row>
    <row r="188" spans="3:4" x14ac:dyDescent="0.25">
      <c r="C188" s="180"/>
      <c r="D188" s="180"/>
    </row>
    <row r="189" spans="3:4" x14ac:dyDescent="0.25">
      <c r="C189" s="180"/>
      <c r="D189" s="180"/>
    </row>
    <row r="190" spans="3:4" x14ac:dyDescent="0.25">
      <c r="C190" s="180"/>
      <c r="D190" s="180"/>
    </row>
    <row r="191" spans="3:4" x14ac:dyDescent="0.25">
      <c r="C191" s="180"/>
      <c r="D191" s="180"/>
    </row>
    <row r="192" spans="3:4" x14ac:dyDescent="0.25">
      <c r="C192" s="180"/>
      <c r="D192" s="180"/>
    </row>
    <row r="193" spans="3:4" x14ac:dyDescent="0.25">
      <c r="C193" s="180"/>
      <c r="D193" s="180"/>
    </row>
    <row r="194" spans="3:4" x14ac:dyDescent="0.25">
      <c r="C194" s="180"/>
      <c r="D194" s="180"/>
    </row>
    <row r="195" spans="3:4" x14ac:dyDescent="0.25">
      <c r="C195" s="180"/>
      <c r="D195" s="180"/>
    </row>
    <row r="196" spans="3:4" x14ac:dyDescent="0.25">
      <c r="C196" s="180"/>
      <c r="D196" s="180"/>
    </row>
    <row r="197" spans="3:4" x14ac:dyDescent="0.25">
      <c r="C197" s="180"/>
      <c r="D197" s="180"/>
    </row>
    <row r="198" spans="3:4" x14ac:dyDescent="0.25">
      <c r="C198" s="180"/>
      <c r="D198" s="180"/>
    </row>
    <row r="199" spans="3:4" x14ac:dyDescent="0.25">
      <c r="C199" s="180"/>
      <c r="D199" s="180"/>
    </row>
    <row r="200" spans="3:4" x14ac:dyDescent="0.25">
      <c r="C200" s="180"/>
      <c r="D200" s="180"/>
    </row>
    <row r="201" spans="3:4" x14ac:dyDescent="0.25">
      <c r="C201" s="180"/>
      <c r="D201" s="180"/>
    </row>
    <row r="202" spans="3:4" x14ac:dyDescent="0.25">
      <c r="C202" s="180"/>
      <c r="D202" s="180"/>
    </row>
    <row r="203" spans="3:4" x14ac:dyDescent="0.25">
      <c r="C203" s="180"/>
      <c r="D203" s="180"/>
    </row>
    <row r="204" spans="3:4" x14ac:dyDescent="0.25">
      <c r="C204" s="180"/>
      <c r="D204" s="180"/>
    </row>
    <row r="205" spans="3:4" x14ac:dyDescent="0.25">
      <c r="C205" s="180"/>
      <c r="D205" s="180"/>
    </row>
    <row r="206" spans="3:4" x14ac:dyDescent="0.25">
      <c r="C206" s="180"/>
      <c r="D206" s="180"/>
    </row>
    <row r="207" spans="3:4" x14ac:dyDescent="0.25">
      <c r="C207" s="180"/>
      <c r="D207" s="180"/>
    </row>
    <row r="208" spans="3:4" x14ac:dyDescent="0.25">
      <c r="C208" s="180"/>
      <c r="D208" s="180"/>
    </row>
    <row r="209" spans="3:4" x14ac:dyDescent="0.25">
      <c r="C209" s="180"/>
      <c r="D209" s="180"/>
    </row>
    <row r="210" spans="3:4" x14ac:dyDescent="0.25">
      <c r="C210" s="180"/>
      <c r="D210" s="180"/>
    </row>
    <row r="211" spans="3:4" x14ac:dyDescent="0.25">
      <c r="C211" s="180"/>
      <c r="D211" s="180"/>
    </row>
    <row r="212" spans="3:4" x14ac:dyDescent="0.25">
      <c r="C212" s="180"/>
      <c r="D212" s="180"/>
    </row>
    <row r="213" spans="3:4" x14ac:dyDescent="0.25">
      <c r="C213" s="180"/>
      <c r="D213" s="180"/>
    </row>
    <row r="214" spans="3:4" x14ac:dyDescent="0.25">
      <c r="C214" s="180"/>
      <c r="D214" s="180"/>
    </row>
    <row r="215" spans="3:4" x14ac:dyDescent="0.25">
      <c r="C215" s="180"/>
      <c r="D215" s="180"/>
    </row>
    <row r="216" spans="3:4" x14ac:dyDescent="0.25">
      <c r="C216" s="180"/>
      <c r="D216" s="180"/>
    </row>
    <row r="217" spans="3:4" x14ac:dyDescent="0.25">
      <c r="C217" s="180"/>
      <c r="D217" s="180"/>
    </row>
    <row r="218" spans="3:4" x14ac:dyDescent="0.25">
      <c r="C218" s="180"/>
      <c r="D218" s="180"/>
    </row>
    <row r="219" spans="3:4" x14ac:dyDescent="0.25">
      <c r="C219" s="180"/>
      <c r="D219" s="180"/>
    </row>
    <row r="220" spans="3:4" x14ac:dyDescent="0.25">
      <c r="C220" s="180"/>
      <c r="D220" s="180"/>
    </row>
    <row r="221" spans="3:4" x14ac:dyDescent="0.25">
      <c r="C221" s="180"/>
      <c r="D221" s="180"/>
    </row>
    <row r="222" spans="3:4" x14ac:dyDescent="0.25">
      <c r="C222" s="180"/>
      <c r="D222" s="180"/>
    </row>
    <row r="223" spans="3:4" x14ac:dyDescent="0.25">
      <c r="C223" s="180"/>
      <c r="D223" s="180"/>
    </row>
    <row r="224" spans="3:4" x14ac:dyDescent="0.25">
      <c r="C224" s="180"/>
      <c r="D224" s="180"/>
    </row>
    <row r="225" spans="3:4" x14ac:dyDescent="0.25">
      <c r="C225" s="180"/>
      <c r="D225" s="180"/>
    </row>
    <row r="226" spans="3:4" x14ac:dyDescent="0.25">
      <c r="C226" s="180"/>
      <c r="D226" s="180"/>
    </row>
    <row r="227" spans="3:4" x14ac:dyDescent="0.25">
      <c r="C227" s="180"/>
      <c r="D227" s="180"/>
    </row>
    <row r="228" spans="3:4" x14ac:dyDescent="0.25">
      <c r="C228" s="180"/>
      <c r="D228" s="180"/>
    </row>
    <row r="229" spans="3:4" x14ac:dyDescent="0.25">
      <c r="C229" s="180"/>
      <c r="D229" s="180"/>
    </row>
    <row r="230" spans="3:4" x14ac:dyDescent="0.25">
      <c r="C230" s="180"/>
      <c r="D230" s="180"/>
    </row>
    <row r="231" spans="3:4" x14ac:dyDescent="0.25">
      <c r="C231" s="180"/>
      <c r="D231" s="180"/>
    </row>
    <row r="232" spans="3:4" x14ac:dyDescent="0.25">
      <c r="C232" s="180"/>
      <c r="D232" s="180"/>
    </row>
    <row r="233" spans="3:4" x14ac:dyDescent="0.25">
      <c r="C233" s="180"/>
      <c r="D233" s="180"/>
    </row>
    <row r="234" spans="3:4" x14ac:dyDescent="0.25">
      <c r="C234" s="180"/>
      <c r="D234" s="180"/>
    </row>
    <row r="235" spans="3:4" x14ac:dyDescent="0.25">
      <c r="C235" s="180"/>
      <c r="D235" s="180"/>
    </row>
    <row r="236" spans="3:4" x14ac:dyDescent="0.25">
      <c r="C236" s="180"/>
      <c r="D236" s="180"/>
    </row>
    <row r="237" spans="3:4" x14ac:dyDescent="0.25">
      <c r="C237" s="180"/>
      <c r="D237" s="180"/>
    </row>
    <row r="238" spans="3:4" x14ac:dyDescent="0.25">
      <c r="C238" s="180"/>
      <c r="D238" s="180"/>
    </row>
    <row r="239" spans="3:4" x14ac:dyDescent="0.25">
      <c r="C239" s="180"/>
      <c r="D239" s="180"/>
    </row>
    <row r="240" spans="3:4" x14ac:dyDescent="0.25">
      <c r="C240" s="180"/>
      <c r="D240" s="180"/>
    </row>
    <row r="241" spans="3:4" x14ac:dyDescent="0.25">
      <c r="C241" s="180"/>
      <c r="D241" s="180"/>
    </row>
    <row r="242" spans="3:4" x14ac:dyDescent="0.25">
      <c r="C242" s="180"/>
      <c r="D242" s="180"/>
    </row>
    <row r="243" spans="3:4" x14ac:dyDescent="0.25">
      <c r="C243" s="180"/>
      <c r="D243" s="180"/>
    </row>
    <row r="244" spans="3:4" x14ac:dyDescent="0.25">
      <c r="C244" s="180"/>
      <c r="D244" s="180"/>
    </row>
    <row r="245" spans="3:4" x14ac:dyDescent="0.25">
      <c r="C245" s="180"/>
      <c r="D245" s="180"/>
    </row>
    <row r="246" spans="3:4" x14ac:dyDescent="0.25">
      <c r="C246" s="180"/>
      <c r="D246" s="180"/>
    </row>
    <row r="247" spans="3:4" x14ac:dyDescent="0.25">
      <c r="C247" s="180"/>
      <c r="D247" s="180"/>
    </row>
    <row r="248" spans="3:4" x14ac:dyDescent="0.25">
      <c r="C248" s="180"/>
      <c r="D248" s="180"/>
    </row>
    <row r="249" spans="3:4" x14ac:dyDescent="0.25">
      <c r="C249" s="180"/>
      <c r="D249" s="180"/>
    </row>
    <row r="250" spans="3:4" x14ac:dyDescent="0.25">
      <c r="C250" s="180"/>
      <c r="D250" s="180"/>
    </row>
    <row r="251" spans="3:4" x14ac:dyDescent="0.25">
      <c r="C251" s="180"/>
      <c r="D251" s="180"/>
    </row>
    <row r="252" spans="3:4" x14ac:dyDescent="0.25">
      <c r="C252" s="180"/>
      <c r="D252" s="180"/>
    </row>
    <row r="253" spans="3:4" x14ac:dyDescent="0.25">
      <c r="C253" s="180"/>
      <c r="D253" s="180"/>
    </row>
    <row r="254" spans="3:4" x14ac:dyDescent="0.25">
      <c r="C254" s="180"/>
      <c r="D254" s="180"/>
    </row>
    <row r="255" spans="3:4" x14ac:dyDescent="0.25">
      <c r="C255" s="180"/>
      <c r="D255" s="180"/>
    </row>
    <row r="256" spans="3:4" x14ac:dyDescent="0.25">
      <c r="C256" s="180"/>
      <c r="D256" s="180"/>
    </row>
    <row r="257" spans="3:4" x14ac:dyDescent="0.25">
      <c r="C257" s="180"/>
      <c r="D257" s="180"/>
    </row>
    <row r="258" spans="3:4" x14ac:dyDescent="0.25">
      <c r="C258" s="180"/>
      <c r="D258" s="180"/>
    </row>
    <row r="259" spans="3:4" x14ac:dyDescent="0.25">
      <c r="C259" s="180"/>
      <c r="D259" s="180"/>
    </row>
    <row r="260" spans="3:4" x14ac:dyDescent="0.25">
      <c r="C260" s="180"/>
      <c r="D260" s="180"/>
    </row>
    <row r="261" spans="3:4" x14ac:dyDescent="0.25">
      <c r="C261" s="180"/>
      <c r="D261" s="180"/>
    </row>
    <row r="262" spans="3:4" x14ac:dyDescent="0.25">
      <c r="C262" s="180"/>
      <c r="D262" s="180"/>
    </row>
    <row r="263" spans="3:4" x14ac:dyDescent="0.25">
      <c r="C263" s="180"/>
      <c r="D263" s="180"/>
    </row>
    <row r="264" spans="3:4" x14ac:dyDescent="0.25">
      <c r="C264" s="180"/>
      <c r="D264" s="180"/>
    </row>
    <row r="265" spans="3:4" x14ac:dyDescent="0.25">
      <c r="C265" s="180"/>
      <c r="D265" s="180"/>
    </row>
    <row r="266" spans="3:4" x14ac:dyDescent="0.25">
      <c r="C266" s="180"/>
      <c r="D266" s="180"/>
    </row>
    <row r="267" spans="3:4" x14ac:dyDescent="0.25">
      <c r="C267" s="180"/>
      <c r="D267" s="180"/>
    </row>
    <row r="268" spans="3:4" x14ac:dyDescent="0.25">
      <c r="C268" s="180"/>
      <c r="D268" s="180"/>
    </row>
    <row r="269" spans="3:4" x14ac:dyDescent="0.25">
      <c r="C269" s="180"/>
      <c r="D269" s="180"/>
    </row>
    <row r="270" spans="3:4" x14ac:dyDescent="0.25">
      <c r="C270" s="180"/>
      <c r="D270" s="180"/>
    </row>
    <row r="271" spans="3:4" x14ac:dyDescent="0.25">
      <c r="C271" s="180"/>
      <c r="D271" s="180"/>
    </row>
    <row r="272" spans="3:4" x14ac:dyDescent="0.25">
      <c r="C272" s="180"/>
      <c r="D272" s="180"/>
    </row>
    <row r="273" spans="3:4" x14ac:dyDescent="0.25">
      <c r="C273" s="180"/>
      <c r="D273" s="180"/>
    </row>
    <row r="274" spans="3:4" x14ac:dyDescent="0.25">
      <c r="C274" s="180"/>
      <c r="D274" s="180"/>
    </row>
    <row r="275" spans="3:4" x14ac:dyDescent="0.25">
      <c r="C275" s="180"/>
      <c r="D275" s="180"/>
    </row>
    <row r="276" spans="3:4" x14ac:dyDescent="0.25">
      <c r="C276" s="180"/>
      <c r="D276" s="180"/>
    </row>
    <row r="277" spans="3:4" x14ac:dyDescent="0.25">
      <c r="C277" s="180"/>
      <c r="D277" s="180"/>
    </row>
    <row r="278" spans="3:4" x14ac:dyDescent="0.25">
      <c r="C278" s="180"/>
      <c r="D278" s="180"/>
    </row>
    <row r="279" spans="3:4" x14ac:dyDescent="0.25">
      <c r="C279" s="180"/>
      <c r="D279" s="180"/>
    </row>
    <row r="280" spans="3:4" x14ac:dyDescent="0.25">
      <c r="C280" s="180"/>
      <c r="D280" s="180"/>
    </row>
    <row r="281" spans="3:4" x14ac:dyDescent="0.25">
      <c r="C281" s="180"/>
      <c r="D281" s="180"/>
    </row>
    <row r="282" spans="3:4" x14ac:dyDescent="0.25">
      <c r="C282" s="180"/>
      <c r="D282" s="180"/>
    </row>
    <row r="283" spans="3:4" x14ac:dyDescent="0.25">
      <c r="C283" s="180"/>
      <c r="D283" s="180"/>
    </row>
    <row r="284" spans="3:4" x14ac:dyDescent="0.25">
      <c r="C284" s="180"/>
      <c r="D284" s="180"/>
    </row>
    <row r="285" spans="3:4" x14ac:dyDescent="0.25">
      <c r="C285" s="180"/>
      <c r="D285" s="180"/>
    </row>
    <row r="286" spans="3:4" x14ac:dyDescent="0.25">
      <c r="C286" s="180"/>
      <c r="D286" s="180"/>
    </row>
    <row r="287" spans="3:4" x14ac:dyDescent="0.25">
      <c r="C287" s="180"/>
      <c r="D287" s="180"/>
    </row>
    <row r="288" spans="3:4" x14ac:dyDescent="0.25">
      <c r="C288" s="180"/>
      <c r="D288" s="180"/>
    </row>
    <row r="289" spans="3:4" x14ac:dyDescent="0.25">
      <c r="C289" s="180"/>
      <c r="D289" s="180"/>
    </row>
    <row r="290" spans="3:4" x14ac:dyDescent="0.25">
      <c r="C290" s="180"/>
      <c r="D290" s="180"/>
    </row>
    <row r="291" spans="3:4" x14ac:dyDescent="0.25">
      <c r="C291" s="180"/>
      <c r="D291" s="180"/>
    </row>
    <row r="292" spans="3:4" x14ac:dyDescent="0.25">
      <c r="C292" s="180"/>
      <c r="D292" s="180"/>
    </row>
    <row r="293" spans="3:4" x14ac:dyDescent="0.25">
      <c r="C293" s="180"/>
      <c r="D293" s="180"/>
    </row>
    <row r="294" spans="3:4" x14ac:dyDescent="0.25">
      <c r="C294" s="180"/>
      <c r="D294" s="180"/>
    </row>
    <row r="295" spans="3:4" x14ac:dyDescent="0.25">
      <c r="C295" s="180"/>
      <c r="D295" s="180"/>
    </row>
    <row r="296" spans="3:4" x14ac:dyDescent="0.25">
      <c r="C296" s="180"/>
      <c r="D296" s="180"/>
    </row>
    <row r="297" spans="3:4" x14ac:dyDescent="0.25">
      <c r="C297" s="180"/>
      <c r="D297" s="180"/>
    </row>
    <row r="298" spans="3:4" x14ac:dyDescent="0.25">
      <c r="C298" s="180"/>
      <c r="D298" s="180"/>
    </row>
    <row r="299" spans="3:4" x14ac:dyDescent="0.25">
      <c r="C299" s="180"/>
      <c r="D299" s="180"/>
    </row>
    <row r="300" spans="3:4" x14ac:dyDescent="0.25">
      <c r="C300" s="180"/>
      <c r="D300" s="180"/>
    </row>
    <row r="301" spans="3:4" x14ac:dyDescent="0.25">
      <c r="C301" s="180"/>
      <c r="D301" s="180"/>
    </row>
    <row r="302" spans="3:4" x14ac:dyDescent="0.25">
      <c r="C302" s="180"/>
      <c r="D302" s="180"/>
    </row>
    <row r="303" spans="3:4" x14ac:dyDescent="0.25">
      <c r="C303" s="180"/>
      <c r="D303" s="180"/>
    </row>
    <row r="304" spans="3:4" x14ac:dyDescent="0.25">
      <c r="C304" s="180"/>
      <c r="D304" s="180"/>
    </row>
    <row r="305" spans="3:4" x14ac:dyDescent="0.25">
      <c r="C305" s="180"/>
      <c r="D305" s="180"/>
    </row>
    <row r="306" spans="3:4" x14ac:dyDescent="0.25">
      <c r="C306" s="180"/>
      <c r="D306" s="180"/>
    </row>
    <row r="307" spans="3:4" x14ac:dyDescent="0.25">
      <c r="C307" s="180"/>
      <c r="D307" s="180"/>
    </row>
    <row r="308" spans="3:4" x14ac:dyDescent="0.25">
      <c r="C308" s="180"/>
      <c r="D308" s="180"/>
    </row>
    <row r="309" spans="3:4" x14ac:dyDescent="0.25">
      <c r="C309" s="180"/>
      <c r="D309" s="180"/>
    </row>
    <row r="310" spans="3:4" x14ac:dyDescent="0.25">
      <c r="C310" s="180"/>
      <c r="D310" s="180"/>
    </row>
    <row r="311" spans="3:4" x14ac:dyDescent="0.25">
      <c r="C311" s="180"/>
      <c r="D311" s="180"/>
    </row>
    <row r="312" spans="3:4" x14ac:dyDescent="0.25">
      <c r="C312" s="180"/>
      <c r="D312" s="180"/>
    </row>
    <row r="313" spans="3:4" x14ac:dyDescent="0.25">
      <c r="C313" s="180"/>
      <c r="D313" s="180"/>
    </row>
    <row r="314" spans="3:4" x14ac:dyDescent="0.25">
      <c r="C314" s="180"/>
      <c r="D314" s="180"/>
    </row>
    <row r="315" spans="3:4" x14ac:dyDescent="0.25">
      <c r="C315" s="180"/>
      <c r="D315" s="180"/>
    </row>
    <row r="316" spans="3:4" x14ac:dyDescent="0.25">
      <c r="C316" s="180"/>
      <c r="D316" s="180"/>
    </row>
    <row r="317" spans="3:4" x14ac:dyDescent="0.25">
      <c r="C317" s="180"/>
      <c r="D317" s="180"/>
    </row>
    <row r="318" spans="3:4" x14ac:dyDescent="0.25">
      <c r="C318" s="180"/>
      <c r="D318" s="180"/>
    </row>
    <row r="319" spans="3:4" x14ac:dyDescent="0.25">
      <c r="C319" s="180"/>
      <c r="D319" s="180"/>
    </row>
    <row r="320" spans="3:4" x14ac:dyDescent="0.25">
      <c r="C320" s="180"/>
      <c r="D320" s="180"/>
    </row>
    <row r="321" spans="3:4" x14ac:dyDescent="0.25">
      <c r="C321" s="180"/>
      <c r="D321" s="180"/>
    </row>
    <row r="322" spans="3:4" x14ac:dyDescent="0.25">
      <c r="C322" s="180"/>
      <c r="D322" s="180"/>
    </row>
    <row r="323" spans="3:4" x14ac:dyDescent="0.25">
      <c r="C323" s="180"/>
      <c r="D323" s="180"/>
    </row>
    <row r="324" spans="3:4" x14ac:dyDescent="0.25">
      <c r="C324" s="180"/>
      <c r="D324" s="180"/>
    </row>
    <row r="325" spans="3:4" x14ac:dyDescent="0.25">
      <c r="C325" s="180"/>
      <c r="D325" s="180"/>
    </row>
    <row r="326" spans="3:4" x14ac:dyDescent="0.25">
      <c r="C326" s="180"/>
      <c r="D326" s="180"/>
    </row>
    <row r="327" spans="3:4" x14ac:dyDescent="0.25">
      <c r="C327" s="180"/>
      <c r="D327" s="180"/>
    </row>
    <row r="328" spans="3:4" x14ac:dyDescent="0.25">
      <c r="C328" s="180"/>
      <c r="D328" s="180"/>
    </row>
    <row r="329" spans="3:4" x14ac:dyDescent="0.25">
      <c r="C329" s="180"/>
      <c r="D329" s="180"/>
    </row>
    <row r="330" spans="3:4" x14ac:dyDescent="0.25">
      <c r="C330" s="180"/>
      <c r="D330" s="180"/>
    </row>
    <row r="331" spans="3:4" x14ac:dyDescent="0.25">
      <c r="C331" s="180"/>
      <c r="D331" s="180"/>
    </row>
    <row r="332" spans="3:4" x14ac:dyDescent="0.25">
      <c r="C332" s="180"/>
      <c r="D332" s="180"/>
    </row>
    <row r="333" spans="3:4" x14ac:dyDescent="0.25">
      <c r="C333" s="180"/>
      <c r="D333" s="180"/>
    </row>
    <row r="334" spans="3:4" x14ac:dyDescent="0.25">
      <c r="C334" s="180"/>
      <c r="D334" s="180"/>
    </row>
    <row r="335" spans="3:4" x14ac:dyDescent="0.25">
      <c r="C335" s="180"/>
      <c r="D335" s="180"/>
    </row>
    <row r="336" spans="3:4" x14ac:dyDescent="0.25">
      <c r="C336" s="180"/>
      <c r="D336" s="180"/>
    </row>
    <row r="337" spans="3:4" x14ac:dyDescent="0.25">
      <c r="C337" s="180"/>
      <c r="D337" s="180"/>
    </row>
    <row r="338" spans="3:4" x14ac:dyDescent="0.25">
      <c r="C338" s="180"/>
      <c r="D338" s="180"/>
    </row>
    <row r="339" spans="3:4" x14ac:dyDescent="0.25">
      <c r="C339" s="180"/>
      <c r="D339" s="180"/>
    </row>
    <row r="340" spans="3:4" x14ac:dyDescent="0.25">
      <c r="C340" s="180"/>
      <c r="D340" s="180"/>
    </row>
    <row r="341" spans="3:4" x14ac:dyDescent="0.25">
      <c r="C341" s="180"/>
      <c r="D341" s="180"/>
    </row>
    <row r="342" spans="3:4" x14ac:dyDescent="0.25">
      <c r="C342" s="180"/>
      <c r="D342" s="180"/>
    </row>
    <row r="343" spans="3:4" x14ac:dyDescent="0.25">
      <c r="C343" s="180"/>
      <c r="D343" s="180"/>
    </row>
    <row r="344" spans="3:4" x14ac:dyDescent="0.25">
      <c r="C344" s="180"/>
      <c r="D344" s="180"/>
    </row>
    <row r="345" spans="3:4" x14ac:dyDescent="0.25">
      <c r="C345" s="180"/>
      <c r="D345" s="180"/>
    </row>
    <row r="346" spans="3:4" x14ac:dyDescent="0.25">
      <c r="C346" s="180"/>
      <c r="D346" s="180"/>
    </row>
    <row r="347" spans="3:4" x14ac:dyDescent="0.25">
      <c r="C347" s="180"/>
      <c r="D347" s="180"/>
    </row>
    <row r="348" spans="3:4" x14ac:dyDescent="0.25">
      <c r="C348" s="180"/>
      <c r="D348" s="180"/>
    </row>
    <row r="349" spans="3:4" x14ac:dyDescent="0.25">
      <c r="C349" s="180"/>
      <c r="D349" s="180"/>
    </row>
    <row r="350" spans="3:4" x14ac:dyDescent="0.25">
      <c r="C350" s="180"/>
      <c r="D350" s="180"/>
    </row>
    <row r="351" spans="3:4" x14ac:dyDescent="0.25">
      <c r="C351" s="180"/>
      <c r="D351" s="180"/>
    </row>
    <row r="352" spans="3:4" x14ac:dyDescent="0.25">
      <c r="C352" s="180"/>
      <c r="D352" s="180"/>
    </row>
    <row r="353" spans="3:4" x14ac:dyDescent="0.25">
      <c r="C353" s="180"/>
      <c r="D353" s="180"/>
    </row>
    <row r="354" spans="3:4" x14ac:dyDescent="0.25">
      <c r="C354" s="180"/>
      <c r="D354" s="180"/>
    </row>
    <row r="355" spans="3:4" x14ac:dyDescent="0.25">
      <c r="C355" s="180"/>
      <c r="D355" s="180"/>
    </row>
    <row r="356" spans="3:4" x14ac:dyDescent="0.25">
      <c r="C356" s="180"/>
      <c r="D356" s="180"/>
    </row>
    <row r="357" spans="3:4" x14ac:dyDescent="0.25">
      <c r="C357" s="180"/>
      <c r="D357" s="180"/>
    </row>
    <row r="358" spans="3:4" x14ac:dyDescent="0.25">
      <c r="C358" s="180"/>
      <c r="D358" s="180"/>
    </row>
    <row r="359" spans="3:4" x14ac:dyDescent="0.25">
      <c r="C359" s="180"/>
      <c r="D359" s="180"/>
    </row>
    <row r="360" spans="3:4" x14ac:dyDescent="0.25">
      <c r="C360" s="180"/>
      <c r="D360" s="180"/>
    </row>
    <row r="361" spans="3:4" x14ac:dyDescent="0.25">
      <c r="C361" s="180"/>
      <c r="D361" s="180"/>
    </row>
    <row r="362" spans="3:4" x14ac:dyDescent="0.25">
      <c r="C362" s="180"/>
      <c r="D362" s="180"/>
    </row>
    <row r="363" spans="3:4" x14ac:dyDescent="0.25">
      <c r="C363" s="180"/>
      <c r="D363" s="180"/>
    </row>
    <row r="364" spans="3:4" x14ac:dyDescent="0.25">
      <c r="C364" s="180"/>
      <c r="D364" s="180"/>
    </row>
    <row r="365" spans="3:4" x14ac:dyDescent="0.25">
      <c r="C365" s="180"/>
      <c r="D365" s="180"/>
    </row>
    <row r="366" spans="3:4" x14ac:dyDescent="0.25">
      <c r="C366" s="180"/>
      <c r="D366" s="180"/>
    </row>
    <row r="367" spans="3:4" x14ac:dyDescent="0.25">
      <c r="C367" s="180"/>
      <c r="D367" s="180"/>
    </row>
    <row r="368" spans="3:4" x14ac:dyDescent="0.25">
      <c r="C368" s="180"/>
      <c r="D368" s="180"/>
    </row>
    <row r="369" spans="3:4" x14ac:dyDescent="0.25">
      <c r="C369" s="180"/>
      <c r="D369" s="180"/>
    </row>
    <row r="370" spans="3:4" x14ac:dyDescent="0.25">
      <c r="C370" s="180"/>
      <c r="D370" s="180"/>
    </row>
    <row r="371" spans="3:4" x14ac:dyDescent="0.25">
      <c r="C371" s="180"/>
      <c r="D371" s="180"/>
    </row>
    <row r="372" spans="3:4" x14ac:dyDescent="0.25">
      <c r="C372" s="180"/>
      <c r="D372" s="180"/>
    </row>
    <row r="373" spans="3:4" x14ac:dyDescent="0.25">
      <c r="C373" s="180"/>
      <c r="D373" s="180"/>
    </row>
    <row r="374" spans="3:4" x14ac:dyDescent="0.25">
      <c r="C374" s="180"/>
      <c r="D374" s="180"/>
    </row>
    <row r="375" spans="3:4" x14ac:dyDescent="0.25">
      <c r="C375" s="180"/>
      <c r="D375" s="180"/>
    </row>
    <row r="376" spans="3:4" x14ac:dyDescent="0.25">
      <c r="C376" s="180"/>
      <c r="D376" s="180"/>
    </row>
    <row r="377" spans="3:4" x14ac:dyDescent="0.25">
      <c r="C377" s="180"/>
      <c r="D377" s="180"/>
    </row>
    <row r="378" spans="3:4" x14ac:dyDescent="0.25">
      <c r="C378" s="180"/>
      <c r="D378" s="180"/>
    </row>
    <row r="379" spans="3:4" x14ac:dyDescent="0.25">
      <c r="C379" s="180"/>
      <c r="D379" s="180"/>
    </row>
    <row r="380" spans="3:4" x14ac:dyDescent="0.25">
      <c r="C380" s="180"/>
      <c r="D380" s="180"/>
    </row>
    <row r="381" spans="3:4" x14ac:dyDescent="0.25">
      <c r="C381" s="180"/>
      <c r="D381" s="180"/>
    </row>
    <row r="382" spans="3:4" x14ac:dyDescent="0.25">
      <c r="C382" s="180"/>
      <c r="D382" s="180"/>
    </row>
    <row r="383" spans="3:4" x14ac:dyDescent="0.25">
      <c r="C383" s="180"/>
      <c r="D383" s="180"/>
    </row>
    <row r="384" spans="3:4" x14ac:dyDescent="0.25">
      <c r="C384" s="180"/>
      <c r="D384" s="180"/>
    </row>
    <row r="385" spans="3:4" x14ac:dyDescent="0.25">
      <c r="C385" s="180"/>
      <c r="D385" s="180"/>
    </row>
    <row r="386" spans="3:4" x14ac:dyDescent="0.25">
      <c r="C386" s="180"/>
      <c r="D386" s="180"/>
    </row>
    <row r="387" spans="3:4" x14ac:dyDescent="0.25">
      <c r="C387" s="180"/>
      <c r="D387" s="180"/>
    </row>
    <row r="388" spans="3:4" x14ac:dyDescent="0.25">
      <c r="C388" s="180"/>
      <c r="D388" s="180"/>
    </row>
    <row r="389" spans="3:4" x14ac:dyDescent="0.25">
      <c r="C389" s="180"/>
      <c r="D389" s="180"/>
    </row>
    <row r="390" spans="3:4" x14ac:dyDescent="0.25">
      <c r="C390" s="180"/>
      <c r="D390" s="180"/>
    </row>
    <row r="391" spans="3:4" x14ac:dyDescent="0.25">
      <c r="C391" s="180"/>
      <c r="D391" s="180"/>
    </row>
    <row r="392" spans="3:4" x14ac:dyDescent="0.25">
      <c r="C392" s="180"/>
      <c r="D392" s="180"/>
    </row>
    <row r="393" spans="3:4" x14ac:dyDescent="0.25">
      <c r="C393" s="180"/>
      <c r="D393" s="180"/>
    </row>
    <row r="394" spans="3:4" x14ac:dyDescent="0.25">
      <c r="C394" s="180"/>
      <c r="D394" s="180"/>
    </row>
    <row r="395" spans="3:4" x14ac:dyDescent="0.25">
      <c r="C395" s="180"/>
      <c r="D395" s="180"/>
    </row>
    <row r="396" spans="3:4" x14ac:dyDescent="0.25">
      <c r="C396" s="180"/>
      <c r="D396" s="180"/>
    </row>
    <row r="397" spans="3:4" x14ac:dyDescent="0.25">
      <c r="C397" s="180"/>
      <c r="D397" s="180"/>
    </row>
    <row r="398" spans="3:4" x14ac:dyDescent="0.25">
      <c r="C398" s="180"/>
      <c r="D398" s="180"/>
    </row>
    <row r="399" spans="3:4" x14ac:dyDescent="0.25">
      <c r="C399" s="180"/>
      <c r="D399" s="180"/>
    </row>
    <row r="400" spans="3:4" x14ac:dyDescent="0.25">
      <c r="C400" s="180"/>
      <c r="D400" s="180"/>
    </row>
    <row r="401" spans="3:4" x14ac:dyDescent="0.25">
      <c r="C401" s="180"/>
      <c r="D401" s="180"/>
    </row>
    <row r="402" spans="3:4" x14ac:dyDescent="0.25">
      <c r="C402" s="180"/>
      <c r="D402" s="180"/>
    </row>
    <row r="403" spans="3:4" x14ac:dyDescent="0.25">
      <c r="C403" s="180"/>
      <c r="D403" s="180"/>
    </row>
    <row r="404" spans="3:4" x14ac:dyDescent="0.25">
      <c r="C404" s="180"/>
      <c r="D404" s="180"/>
    </row>
    <row r="405" spans="3:4" x14ac:dyDescent="0.25">
      <c r="C405" s="180"/>
      <c r="D405" s="180"/>
    </row>
    <row r="406" spans="3:4" x14ac:dyDescent="0.25">
      <c r="C406" s="180"/>
      <c r="D406" s="180"/>
    </row>
    <row r="407" spans="3:4" x14ac:dyDescent="0.25">
      <c r="C407" s="180"/>
      <c r="D407" s="180"/>
    </row>
    <row r="408" spans="3:4" x14ac:dyDescent="0.25">
      <c r="C408" s="180"/>
      <c r="D408" s="180"/>
    </row>
    <row r="409" spans="3:4" x14ac:dyDescent="0.25">
      <c r="C409" s="180"/>
      <c r="D409" s="180"/>
    </row>
    <row r="410" spans="3:4" x14ac:dyDescent="0.25">
      <c r="C410" s="180"/>
      <c r="D410" s="180"/>
    </row>
    <row r="411" spans="3:4" x14ac:dyDescent="0.25">
      <c r="C411" s="180"/>
      <c r="D411" s="180"/>
    </row>
    <row r="412" spans="3:4" x14ac:dyDescent="0.25">
      <c r="C412" s="180"/>
      <c r="D412" s="180"/>
    </row>
    <row r="413" spans="3:4" x14ac:dyDescent="0.25">
      <c r="C413" s="180"/>
      <c r="D413" s="180"/>
    </row>
    <row r="414" spans="3:4" x14ac:dyDescent="0.25">
      <c r="C414" s="180"/>
      <c r="D414" s="180"/>
    </row>
    <row r="415" spans="3:4" x14ac:dyDescent="0.25">
      <c r="C415" s="180"/>
      <c r="D415" s="180"/>
    </row>
    <row r="416" spans="3:4" x14ac:dyDescent="0.25">
      <c r="C416" s="180"/>
      <c r="D416" s="180"/>
    </row>
    <row r="417" spans="3:4" x14ac:dyDescent="0.25">
      <c r="C417" s="180"/>
      <c r="D417" s="180"/>
    </row>
    <row r="418" spans="3:4" x14ac:dyDescent="0.25">
      <c r="C418" s="180"/>
      <c r="D418" s="180"/>
    </row>
    <row r="419" spans="3:4" x14ac:dyDescent="0.25">
      <c r="C419" s="180"/>
      <c r="D419" s="180"/>
    </row>
    <row r="420" spans="3:4" x14ac:dyDescent="0.25">
      <c r="C420" s="180"/>
      <c r="D420" s="180"/>
    </row>
    <row r="421" spans="3:4" x14ac:dyDescent="0.25">
      <c r="C421" s="180"/>
      <c r="D421" s="180"/>
    </row>
    <row r="422" spans="3:4" x14ac:dyDescent="0.25">
      <c r="C422" s="180"/>
      <c r="D422" s="180"/>
    </row>
    <row r="423" spans="3:4" x14ac:dyDescent="0.25">
      <c r="C423" s="180"/>
      <c r="D423" s="180"/>
    </row>
    <row r="424" spans="3:4" x14ac:dyDescent="0.25">
      <c r="C424" s="180"/>
      <c r="D424" s="180"/>
    </row>
    <row r="425" spans="3:4" x14ac:dyDescent="0.25">
      <c r="C425" s="180"/>
      <c r="D425" s="180"/>
    </row>
    <row r="426" spans="3:4" x14ac:dyDescent="0.25">
      <c r="C426" s="180"/>
      <c r="D426" s="180"/>
    </row>
    <row r="427" spans="3:4" x14ac:dyDescent="0.25">
      <c r="C427" s="180"/>
      <c r="D427" s="180"/>
    </row>
    <row r="428" spans="3:4" x14ac:dyDescent="0.25">
      <c r="C428" s="180"/>
      <c r="D428" s="180"/>
    </row>
    <row r="429" spans="3:4" x14ac:dyDescent="0.25">
      <c r="C429" s="180"/>
      <c r="D429" s="180"/>
    </row>
    <row r="430" spans="3:4" x14ac:dyDescent="0.25">
      <c r="C430" s="180"/>
      <c r="D430" s="180"/>
    </row>
    <row r="431" spans="3:4" x14ac:dyDescent="0.25">
      <c r="C431" s="180"/>
      <c r="D431" s="180"/>
    </row>
    <row r="432" spans="3:4" x14ac:dyDescent="0.25">
      <c r="C432" s="180"/>
      <c r="D432" s="180"/>
    </row>
    <row r="433" spans="3:4" x14ac:dyDescent="0.25">
      <c r="C433" s="180"/>
      <c r="D433" s="180"/>
    </row>
    <row r="434" spans="3:4" x14ac:dyDescent="0.25">
      <c r="C434" s="180"/>
      <c r="D434" s="180"/>
    </row>
    <row r="435" spans="3:4" x14ac:dyDescent="0.25">
      <c r="C435" s="180"/>
      <c r="D435" s="180"/>
    </row>
    <row r="436" spans="3:4" x14ac:dyDescent="0.25">
      <c r="C436" s="180"/>
      <c r="D436" s="180"/>
    </row>
    <row r="437" spans="3:4" x14ac:dyDescent="0.25">
      <c r="C437" s="180"/>
      <c r="D437" s="180"/>
    </row>
    <row r="438" spans="3:4" x14ac:dyDescent="0.25">
      <c r="C438" s="180"/>
      <c r="D438" s="180"/>
    </row>
    <row r="439" spans="3:4" x14ac:dyDescent="0.25">
      <c r="C439" s="180"/>
      <c r="D439" s="180"/>
    </row>
    <row r="440" spans="3:4" x14ac:dyDescent="0.25">
      <c r="C440" s="180"/>
      <c r="D440" s="180"/>
    </row>
    <row r="441" spans="3:4" x14ac:dyDescent="0.25">
      <c r="C441" s="180"/>
      <c r="D441" s="180"/>
    </row>
    <row r="442" spans="3:4" x14ac:dyDescent="0.25">
      <c r="C442" s="180"/>
      <c r="D442" s="180"/>
    </row>
    <row r="443" spans="3:4" x14ac:dyDescent="0.25">
      <c r="C443" s="180"/>
      <c r="D443" s="180"/>
    </row>
    <row r="444" spans="3:4" x14ac:dyDescent="0.25">
      <c r="C444" s="180"/>
      <c r="D444" s="180"/>
    </row>
    <row r="445" spans="3:4" x14ac:dyDescent="0.25">
      <c r="C445" s="180"/>
      <c r="D445" s="180"/>
    </row>
    <row r="446" spans="3:4" x14ac:dyDescent="0.25">
      <c r="C446" s="180"/>
      <c r="D446" s="180"/>
    </row>
    <row r="447" spans="3:4" x14ac:dyDescent="0.25">
      <c r="C447" s="180"/>
      <c r="D447" s="180"/>
    </row>
    <row r="448" spans="3:4" x14ac:dyDescent="0.25">
      <c r="C448" s="180"/>
      <c r="D448" s="180"/>
    </row>
    <row r="449" spans="3:4" x14ac:dyDescent="0.25">
      <c r="C449" s="180"/>
      <c r="D449" s="180"/>
    </row>
    <row r="450" spans="3:4" x14ac:dyDescent="0.25">
      <c r="C450" s="180"/>
      <c r="D450" s="180"/>
    </row>
    <row r="451" spans="3:4" x14ac:dyDescent="0.25">
      <c r="C451" s="180"/>
      <c r="D451" s="180"/>
    </row>
    <row r="452" spans="3:4" x14ac:dyDescent="0.25">
      <c r="C452" s="180"/>
      <c r="D452" s="180"/>
    </row>
    <row r="453" spans="3:4" x14ac:dyDescent="0.25">
      <c r="C453" s="180"/>
      <c r="D453" s="180"/>
    </row>
    <row r="454" spans="3:4" x14ac:dyDescent="0.25">
      <c r="C454" s="180"/>
      <c r="D454" s="180"/>
    </row>
    <row r="455" spans="3:4" x14ac:dyDescent="0.25">
      <c r="C455" s="180"/>
      <c r="D455" s="180"/>
    </row>
    <row r="456" spans="3:4" x14ac:dyDescent="0.25">
      <c r="C456" s="180"/>
      <c r="D456" s="180"/>
    </row>
    <row r="457" spans="3:4" x14ac:dyDescent="0.25">
      <c r="C457" s="180"/>
      <c r="D457" s="180"/>
    </row>
    <row r="458" spans="3:4" x14ac:dyDescent="0.25">
      <c r="C458" s="180"/>
      <c r="D458" s="180"/>
    </row>
    <row r="459" spans="3:4" x14ac:dyDescent="0.25">
      <c r="C459" s="180"/>
      <c r="D459" s="180"/>
    </row>
    <row r="460" spans="3:4" x14ac:dyDescent="0.25">
      <c r="C460" s="180"/>
      <c r="D460" s="180"/>
    </row>
    <row r="461" spans="3:4" x14ac:dyDescent="0.25">
      <c r="C461" s="180"/>
      <c r="D461" s="180"/>
    </row>
    <row r="462" spans="3:4" x14ac:dyDescent="0.25">
      <c r="C462" s="180"/>
      <c r="D462" s="180"/>
    </row>
    <row r="463" spans="3:4" x14ac:dyDescent="0.25">
      <c r="C463" s="180"/>
      <c r="D463" s="180"/>
    </row>
    <row r="464" spans="3:4" x14ac:dyDescent="0.25">
      <c r="C464" s="180"/>
      <c r="D464" s="180"/>
    </row>
    <row r="465" spans="3:4" x14ac:dyDescent="0.25">
      <c r="C465" s="180"/>
      <c r="D465" s="180"/>
    </row>
    <row r="466" spans="3:4" x14ac:dyDescent="0.25">
      <c r="C466" s="180"/>
      <c r="D466" s="180"/>
    </row>
    <row r="467" spans="3:4" x14ac:dyDescent="0.25">
      <c r="C467" s="180"/>
      <c r="D467" s="180"/>
    </row>
    <row r="468" spans="3:4" x14ac:dyDescent="0.25">
      <c r="C468" s="180"/>
      <c r="D468" s="180"/>
    </row>
    <row r="469" spans="3:4" x14ac:dyDescent="0.25">
      <c r="C469" s="180"/>
      <c r="D469" s="180"/>
    </row>
    <row r="470" spans="3:4" x14ac:dyDescent="0.25">
      <c r="C470" s="180"/>
      <c r="D470" s="180"/>
    </row>
    <row r="471" spans="3:4" x14ac:dyDescent="0.25">
      <c r="C471" s="180"/>
      <c r="D471" s="180"/>
    </row>
    <row r="472" spans="3:4" x14ac:dyDescent="0.25">
      <c r="C472" s="180"/>
      <c r="D472" s="180"/>
    </row>
    <row r="473" spans="3:4" x14ac:dyDescent="0.25">
      <c r="C473" s="180"/>
      <c r="D473" s="180"/>
    </row>
    <row r="474" spans="3:4" x14ac:dyDescent="0.25">
      <c r="C474" s="180"/>
      <c r="D474" s="180"/>
    </row>
    <row r="475" spans="3:4" x14ac:dyDescent="0.25">
      <c r="C475" s="180"/>
      <c r="D475" s="180"/>
    </row>
    <row r="476" spans="3:4" x14ac:dyDescent="0.25">
      <c r="C476" s="180"/>
      <c r="D476" s="180"/>
    </row>
    <row r="477" spans="3:4" x14ac:dyDescent="0.25">
      <c r="C477" s="180"/>
      <c r="D477" s="180"/>
    </row>
    <row r="478" spans="3:4" x14ac:dyDescent="0.25">
      <c r="C478" s="180"/>
      <c r="D478" s="180"/>
    </row>
    <row r="479" spans="3:4" x14ac:dyDescent="0.25">
      <c r="C479" s="180"/>
      <c r="D479" s="180"/>
    </row>
    <row r="480" spans="3:4" x14ac:dyDescent="0.25">
      <c r="C480" s="180"/>
      <c r="D480" s="180"/>
    </row>
    <row r="481" spans="3:4" x14ac:dyDescent="0.25">
      <c r="C481" s="180"/>
      <c r="D481" s="180"/>
    </row>
    <row r="482" spans="3:4" x14ac:dyDescent="0.25">
      <c r="C482" s="180"/>
      <c r="D482" s="180"/>
    </row>
    <row r="483" spans="3:4" x14ac:dyDescent="0.25">
      <c r="C483" s="180"/>
      <c r="D483" s="180"/>
    </row>
    <row r="484" spans="3:4" x14ac:dyDescent="0.25">
      <c r="C484" s="180"/>
      <c r="D484" s="180"/>
    </row>
    <row r="485" spans="3:4" x14ac:dyDescent="0.25">
      <c r="C485" s="180"/>
      <c r="D485" s="180"/>
    </row>
    <row r="486" spans="3:4" x14ac:dyDescent="0.25">
      <c r="C486" s="180"/>
      <c r="D486" s="180"/>
    </row>
    <row r="487" spans="3:4" x14ac:dyDescent="0.25">
      <c r="C487" s="180"/>
      <c r="D487" s="180"/>
    </row>
    <row r="488" spans="3:4" x14ac:dyDescent="0.25">
      <c r="C488" s="180"/>
      <c r="D488" s="180"/>
    </row>
    <row r="489" spans="3:4" x14ac:dyDescent="0.25">
      <c r="C489" s="180"/>
      <c r="D489" s="180"/>
    </row>
    <row r="490" spans="3:4" x14ac:dyDescent="0.25">
      <c r="C490" s="180"/>
      <c r="D490" s="180"/>
    </row>
    <row r="491" spans="3:4" x14ac:dyDescent="0.25">
      <c r="C491" s="180"/>
      <c r="D491" s="180"/>
    </row>
    <row r="492" spans="3:4" x14ac:dyDescent="0.25">
      <c r="C492" s="180"/>
      <c r="D492" s="180"/>
    </row>
    <row r="493" spans="3:4" x14ac:dyDescent="0.25">
      <c r="C493" s="180"/>
      <c r="D493" s="180"/>
    </row>
    <row r="494" spans="3:4" x14ac:dyDescent="0.25">
      <c r="C494" s="180"/>
      <c r="D494" s="180"/>
    </row>
    <row r="495" spans="3:4" x14ac:dyDescent="0.25">
      <c r="C495" s="180"/>
      <c r="D495" s="180"/>
    </row>
    <row r="496" spans="3:4" x14ac:dyDescent="0.25">
      <c r="C496" s="180"/>
      <c r="D496" s="180"/>
    </row>
    <row r="497" spans="3:4" x14ac:dyDescent="0.25">
      <c r="C497" s="180"/>
      <c r="D497" s="180"/>
    </row>
    <row r="498" spans="3:4" x14ac:dyDescent="0.25">
      <c r="C498" s="180"/>
      <c r="D498" s="180"/>
    </row>
    <row r="499" spans="3:4" x14ac:dyDescent="0.25">
      <c r="C499" s="180"/>
      <c r="D499" s="180"/>
    </row>
    <row r="500" spans="3:4" x14ac:dyDescent="0.25">
      <c r="C500" s="180"/>
      <c r="D500" s="180"/>
    </row>
    <row r="501" spans="3:4" x14ac:dyDescent="0.25">
      <c r="C501" s="180"/>
      <c r="D501" s="180"/>
    </row>
    <row r="502" spans="3:4" x14ac:dyDescent="0.25">
      <c r="C502" s="180"/>
      <c r="D502" s="180"/>
    </row>
    <row r="503" spans="3:4" x14ac:dyDescent="0.25">
      <c r="C503" s="180"/>
      <c r="D503" s="180"/>
    </row>
    <row r="504" spans="3:4" x14ac:dyDescent="0.25">
      <c r="C504" s="180"/>
      <c r="D504" s="180"/>
    </row>
    <row r="505" spans="3:4" x14ac:dyDescent="0.25">
      <c r="C505" s="180"/>
      <c r="D505" s="180"/>
    </row>
    <row r="506" spans="3:4" x14ac:dyDescent="0.25">
      <c r="C506" s="180"/>
      <c r="D506" s="180"/>
    </row>
    <row r="507" spans="3:4" x14ac:dyDescent="0.25">
      <c r="C507" s="180"/>
      <c r="D507" s="180"/>
    </row>
    <row r="508" spans="3:4" x14ac:dyDescent="0.25">
      <c r="C508" s="180"/>
      <c r="D508" s="180"/>
    </row>
    <row r="509" spans="3:4" x14ac:dyDescent="0.25">
      <c r="C509" s="180"/>
      <c r="D509" s="180"/>
    </row>
    <row r="510" spans="3:4" x14ac:dyDescent="0.25">
      <c r="C510" s="180"/>
      <c r="D510" s="180"/>
    </row>
    <row r="511" spans="3:4" x14ac:dyDescent="0.25">
      <c r="C511" s="180"/>
      <c r="D511" s="180"/>
    </row>
    <row r="512" spans="3:4" x14ac:dyDescent="0.25">
      <c r="C512" s="180"/>
      <c r="D512" s="180"/>
    </row>
    <row r="513" spans="3:4" x14ac:dyDescent="0.25">
      <c r="C513" s="180"/>
      <c r="D513" s="180"/>
    </row>
    <row r="514" spans="3:4" x14ac:dyDescent="0.25">
      <c r="C514" s="180"/>
      <c r="D514" s="180"/>
    </row>
    <row r="515" spans="3:4" x14ac:dyDescent="0.25">
      <c r="C515" s="180"/>
      <c r="D515" s="180"/>
    </row>
    <row r="516" spans="3:4" x14ac:dyDescent="0.25">
      <c r="C516" s="180"/>
      <c r="D516" s="180"/>
    </row>
    <row r="517" spans="3:4" x14ac:dyDescent="0.25">
      <c r="C517" s="180"/>
      <c r="D517" s="180"/>
    </row>
    <row r="518" spans="3:4" x14ac:dyDescent="0.25">
      <c r="C518" s="180"/>
      <c r="D518" s="180"/>
    </row>
    <row r="519" spans="3:4" x14ac:dyDescent="0.25">
      <c r="C519" s="180"/>
      <c r="D519" s="180"/>
    </row>
    <row r="520" spans="3:4" x14ac:dyDescent="0.25">
      <c r="C520" s="180"/>
      <c r="D520" s="180"/>
    </row>
    <row r="521" spans="3:4" x14ac:dyDescent="0.25">
      <c r="C521" s="180"/>
      <c r="D521" s="180"/>
    </row>
    <row r="522" spans="3:4" x14ac:dyDescent="0.25">
      <c r="C522" s="180"/>
      <c r="D522" s="180"/>
    </row>
    <row r="523" spans="3:4" x14ac:dyDescent="0.25">
      <c r="C523" s="180"/>
      <c r="D523" s="180"/>
    </row>
    <row r="524" spans="3:4" x14ac:dyDescent="0.25">
      <c r="C524" s="180"/>
      <c r="D524" s="180"/>
    </row>
    <row r="525" spans="3:4" x14ac:dyDescent="0.25">
      <c r="C525" s="180"/>
      <c r="D525" s="180"/>
    </row>
    <row r="526" spans="3:4" x14ac:dyDescent="0.25">
      <c r="C526" s="180"/>
      <c r="D526" s="180"/>
    </row>
    <row r="527" spans="3:4" x14ac:dyDescent="0.25">
      <c r="C527" s="180"/>
      <c r="D527" s="180"/>
    </row>
    <row r="528" spans="3:4" x14ac:dyDescent="0.25">
      <c r="C528" s="180"/>
      <c r="D528" s="180"/>
    </row>
    <row r="529" spans="3:4" x14ac:dyDescent="0.25">
      <c r="C529" s="180"/>
      <c r="D529" s="180"/>
    </row>
    <row r="530" spans="3:4" x14ac:dyDescent="0.25">
      <c r="C530" s="180"/>
      <c r="D530" s="180"/>
    </row>
    <row r="531" spans="3:4" x14ac:dyDescent="0.25">
      <c r="C531" s="180"/>
      <c r="D531" s="180"/>
    </row>
    <row r="532" spans="3:4" x14ac:dyDescent="0.25">
      <c r="C532" s="180"/>
      <c r="D532" s="180"/>
    </row>
    <row r="533" spans="3:4" x14ac:dyDescent="0.25">
      <c r="C533" s="180"/>
      <c r="D533" s="180"/>
    </row>
    <row r="534" spans="3:4" x14ac:dyDescent="0.25">
      <c r="C534" s="180"/>
      <c r="D534" s="180"/>
    </row>
    <row r="535" spans="3:4" x14ac:dyDescent="0.25">
      <c r="C535" s="180"/>
      <c r="D535" s="180"/>
    </row>
    <row r="536" spans="3:4" x14ac:dyDescent="0.25">
      <c r="C536" s="180"/>
      <c r="D536" s="180"/>
    </row>
    <row r="537" spans="3:4" x14ac:dyDescent="0.25">
      <c r="C537" s="180"/>
      <c r="D537" s="180"/>
    </row>
    <row r="538" spans="3:4" x14ac:dyDescent="0.25">
      <c r="C538" s="180"/>
      <c r="D538" s="180"/>
    </row>
    <row r="539" spans="3:4" x14ac:dyDescent="0.25">
      <c r="C539" s="180"/>
      <c r="D539" s="180"/>
    </row>
    <row r="540" spans="3:4" x14ac:dyDescent="0.25">
      <c r="C540" s="180"/>
      <c r="D540" s="180"/>
    </row>
    <row r="541" spans="3:4" x14ac:dyDescent="0.25">
      <c r="C541" s="180"/>
      <c r="D541" s="180"/>
    </row>
    <row r="542" spans="3:4" x14ac:dyDescent="0.25">
      <c r="C542" s="180"/>
      <c r="D542" s="180"/>
    </row>
    <row r="543" spans="3:4" x14ac:dyDescent="0.25">
      <c r="C543" s="180"/>
      <c r="D543" s="180"/>
    </row>
    <row r="544" spans="3:4" x14ac:dyDescent="0.25">
      <c r="C544" s="180"/>
      <c r="D544" s="180"/>
    </row>
    <row r="545" spans="3:4" x14ac:dyDescent="0.25">
      <c r="C545" s="180"/>
      <c r="D545" s="180"/>
    </row>
    <row r="546" spans="3:4" x14ac:dyDescent="0.25">
      <c r="C546" s="180"/>
      <c r="D546" s="180"/>
    </row>
    <row r="547" spans="3:4" x14ac:dyDescent="0.25">
      <c r="C547" s="180"/>
      <c r="D547" s="180"/>
    </row>
    <row r="548" spans="3:4" x14ac:dyDescent="0.25">
      <c r="C548" s="180"/>
      <c r="D548" s="180"/>
    </row>
    <row r="549" spans="3:4" x14ac:dyDescent="0.25">
      <c r="C549" s="180"/>
      <c r="D549" s="180"/>
    </row>
    <row r="550" spans="3:4" x14ac:dyDescent="0.25">
      <c r="C550" s="180"/>
      <c r="D550" s="180"/>
    </row>
    <row r="551" spans="3:4" x14ac:dyDescent="0.25">
      <c r="C551" s="180"/>
      <c r="D551" s="180"/>
    </row>
    <row r="552" spans="3:4" x14ac:dyDescent="0.25">
      <c r="C552" s="180"/>
      <c r="D552" s="180"/>
    </row>
    <row r="553" spans="3:4" x14ac:dyDescent="0.25">
      <c r="C553" s="180"/>
      <c r="D553" s="180"/>
    </row>
    <row r="554" spans="3:4" x14ac:dyDescent="0.25">
      <c r="C554" s="180"/>
      <c r="D554" s="180"/>
    </row>
    <row r="555" spans="3:4" x14ac:dyDescent="0.25">
      <c r="C555" s="180"/>
      <c r="D555" s="180"/>
    </row>
    <row r="556" spans="3:4" x14ac:dyDescent="0.25">
      <c r="C556" s="180"/>
      <c r="D556" s="180"/>
    </row>
    <row r="557" spans="3:4" x14ac:dyDescent="0.25">
      <c r="C557" s="180"/>
      <c r="D557" s="180"/>
    </row>
    <row r="558" spans="3:4" x14ac:dyDescent="0.25">
      <c r="C558" s="180"/>
      <c r="D558" s="180"/>
    </row>
    <row r="559" spans="3:4" x14ac:dyDescent="0.25">
      <c r="C559" s="180"/>
      <c r="D559" s="180"/>
    </row>
    <row r="560" spans="3:4" x14ac:dyDescent="0.25">
      <c r="C560" s="180"/>
      <c r="D560" s="180"/>
    </row>
    <row r="561" spans="3:4" x14ac:dyDescent="0.25">
      <c r="C561" s="180"/>
      <c r="D561" s="180"/>
    </row>
    <row r="562" spans="3:4" x14ac:dyDescent="0.25">
      <c r="C562" s="180"/>
      <c r="D562" s="180"/>
    </row>
    <row r="563" spans="3:4" x14ac:dyDescent="0.25">
      <c r="C563" s="180"/>
      <c r="D563" s="180"/>
    </row>
    <row r="564" spans="3:4" x14ac:dyDescent="0.25">
      <c r="C564" s="180"/>
      <c r="D564" s="180"/>
    </row>
    <row r="565" spans="3:4" x14ac:dyDescent="0.25">
      <c r="C565" s="180"/>
      <c r="D565" s="180"/>
    </row>
    <row r="566" spans="3:4" x14ac:dyDescent="0.25">
      <c r="C566" s="180"/>
      <c r="D566" s="180"/>
    </row>
    <row r="567" spans="3:4" x14ac:dyDescent="0.25">
      <c r="C567" s="180"/>
      <c r="D567" s="180"/>
    </row>
    <row r="568" spans="3:4" x14ac:dyDescent="0.25">
      <c r="C568" s="180"/>
      <c r="D568" s="180"/>
    </row>
    <row r="569" spans="3:4" x14ac:dyDescent="0.25">
      <c r="C569" s="180"/>
      <c r="D569" s="180"/>
    </row>
    <row r="570" spans="3:4" x14ac:dyDescent="0.25">
      <c r="C570" s="180"/>
      <c r="D570" s="180"/>
    </row>
    <row r="571" spans="3:4" x14ac:dyDescent="0.25">
      <c r="C571" s="180"/>
      <c r="D571" s="180"/>
    </row>
    <row r="572" spans="3:4" x14ac:dyDescent="0.25">
      <c r="C572" s="180"/>
      <c r="D572" s="180"/>
    </row>
    <row r="573" spans="3:4" x14ac:dyDescent="0.25">
      <c r="C573" s="180"/>
      <c r="D573" s="180"/>
    </row>
    <row r="574" spans="3:4" x14ac:dyDescent="0.25">
      <c r="C574" s="180"/>
      <c r="D574" s="180"/>
    </row>
    <row r="575" spans="3:4" x14ac:dyDescent="0.25">
      <c r="C575" s="180"/>
      <c r="D575" s="180"/>
    </row>
    <row r="576" spans="3:4" x14ac:dyDescent="0.25">
      <c r="C576" s="180"/>
      <c r="D576" s="180"/>
    </row>
    <row r="577" spans="3:4" x14ac:dyDescent="0.25">
      <c r="C577" s="180"/>
      <c r="D577" s="180"/>
    </row>
    <row r="578" spans="3:4" x14ac:dyDescent="0.25">
      <c r="C578" s="180"/>
      <c r="D578" s="180"/>
    </row>
    <row r="579" spans="3:4" x14ac:dyDescent="0.25">
      <c r="C579" s="180"/>
      <c r="D579" s="180"/>
    </row>
    <row r="580" spans="3:4" x14ac:dyDescent="0.25">
      <c r="C580" s="180"/>
      <c r="D580" s="180"/>
    </row>
    <row r="581" spans="3:4" x14ac:dyDescent="0.25">
      <c r="C581" s="180"/>
      <c r="D581" s="180"/>
    </row>
    <row r="582" spans="3:4" x14ac:dyDescent="0.25">
      <c r="C582" s="180"/>
      <c r="D582" s="180"/>
    </row>
    <row r="583" spans="3:4" x14ac:dyDescent="0.25">
      <c r="C583" s="180"/>
      <c r="D583" s="180"/>
    </row>
    <row r="584" spans="3:4" x14ac:dyDescent="0.25">
      <c r="C584" s="180"/>
      <c r="D584" s="180"/>
    </row>
    <row r="585" spans="3:4" x14ac:dyDescent="0.25">
      <c r="C585" s="180"/>
      <c r="D585" s="180"/>
    </row>
    <row r="586" spans="3:4" x14ac:dyDescent="0.25">
      <c r="C586" s="180"/>
      <c r="D586" s="180"/>
    </row>
    <row r="587" spans="3:4" x14ac:dyDescent="0.25">
      <c r="C587" s="180"/>
      <c r="D587" s="180"/>
    </row>
    <row r="588" spans="3:4" x14ac:dyDescent="0.25">
      <c r="C588" s="180"/>
      <c r="D588" s="180"/>
    </row>
    <row r="589" spans="3:4" x14ac:dyDescent="0.25">
      <c r="C589" s="180"/>
      <c r="D589" s="180"/>
    </row>
    <row r="590" spans="3:4" x14ac:dyDescent="0.25">
      <c r="C590" s="180"/>
      <c r="D590" s="180"/>
    </row>
    <row r="591" spans="3:4" x14ac:dyDescent="0.25">
      <c r="C591" s="180"/>
      <c r="D591" s="180"/>
    </row>
    <row r="592" spans="3:4" x14ac:dyDescent="0.25">
      <c r="C592" s="180"/>
      <c r="D592" s="180"/>
    </row>
    <row r="593" spans="3:4" x14ac:dyDescent="0.25">
      <c r="C593" s="180"/>
      <c r="D593" s="180"/>
    </row>
    <row r="594" spans="3:4" x14ac:dyDescent="0.25">
      <c r="C594" s="180"/>
      <c r="D594" s="180"/>
    </row>
    <row r="595" spans="3:4" x14ac:dyDescent="0.25">
      <c r="C595" s="180"/>
      <c r="D595" s="180"/>
    </row>
    <row r="596" spans="3:4" x14ac:dyDescent="0.25">
      <c r="C596" s="180"/>
      <c r="D596" s="180"/>
    </row>
    <row r="597" spans="3:4" x14ac:dyDescent="0.25">
      <c r="C597" s="180"/>
      <c r="D597" s="180"/>
    </row>
    <row r="598" spans="3:4" x14ac:dyDescent="0.25">
      <c r="C598" s="180"/>
      <c r="D598" s="180"/>
    </row>
    <row r="599" spans="3:4" x14ac:dyDescent="0.25">
      <c r="C599" s="180"/>
      <c r="D599" s="180"/>
    </row>
    <row r="600" spans="3:4" x14ac:dyDescent="0.25">
      <c r="C600" s="180"/>
      <c r="D600" s="180"/>
    </row>
    <row r="601" spans="3:4" x14ac:dyDescent="0.25">
      <c r="C601" s="180"/>
      <c r="D601" s="180"/>
    </row>
    <row r="602" spans="3:4" x14ac:dyDescent="0.25">
      <c r="C602" s="180"/>
      <c r="D602" s="180"/>
    </row>
    <row r="603" spans="3:4" x14ac:dyDescent="0.25">
      <c r="C603" s="180"/>
      <c r="D603" s="180"/>
    </row>
    <row r="604" spans="3:4" x14ac:dyDescent="0.25">
      <c r="C604" s="180"/>
      <c r="D604" s="180"/>
    </row>
    <row r="605" spans="3:4" x14ac:dyDescent="0.25">
      <c r="C605" s="180"/>
      <c r="D605" s="180"/>
    </row>
    <row r="606" spans="3:4" x14ac:dyDescent="0.25">
      <c r="C606" s="180"/>
      <c r="D606" s="180"/>
    </row>
    <row r="607" spans="3:4" x14ac:dyDescent="0.25">
      <c r="C607" s="180"/>
      <c r="D607" s="180"/>
    </row>
    <row r="608" spans="3:4" x14ac:dyDescent="0.25">
      <c r="C608" s="180"/>
      <c r="D608" s="180"/>
    </row>
    <row r="609" spans="3:4" x14ac:dyDescent="0.25">
      <c r="C609" s="180"/>
      <c r="D609" s="180"/>
    </row>
    <row r="610" spans="3:4" x14ac:dyDescent="0.25">
      <c r="C610" s="180"/>
      <c r="D610" s="180"/>
    </row>
    <row r="611" spans="3:4" x14ac:dyDescent="0.25">
      <c r="C611" s="180"/>
      <c r="D611" s="180"/>
    </row>
    <row r="612" spans="3:4" x14ac:dyDescent="0.25">
      <c r="C612" s="180"/>
      <c r="D612" s="180"/>
    </row>
    <row r="613" spans="3:4" x14ac:dyDescent="0.25">
      <c r="C613" s="180"/>
      <c r="D613" s="180"/>
    </row>
    <row r="614" spans="3:4" x14ac:dyDescent="0.25">
      <c r="C614" s="180"/>
      <c r="D614" s="180"/>
    </row>
    <row r="615" spans="3:4" x14ac:dyDescent="0.25">
      <c r="C615" s="180"/>
      <c r="D615" s="180"/>
    </row>
    <row r="616" spans="3:4" x14ac:dyDescent="0.25">
      <c r="C616" s="180"/>
      <c r="D616" s="180"/>
    </row>
    <row r="617" spans="3:4" x14ac:dyDescent="0.25">
      <c r="C617" s="180"/>
      <c r="D617" s="180"/>
    </row>
    <row r="618" spans="3:4" x14ac:dyDescent="0.25">
      <c r="C618" s="180"/>
      <c r="D618" s="180"/>
    </row>
    <row r="619" spans="3:4" x14ac:dyDescent="0.25">
      <c r="C619" s="180"/>
      <c r="D619" s="180"/>
    </row>
    <row r="620" spans="3:4" x14ac:dyDescent="0.25">
      <c r="C620" s="180"/>
      <c r="D620" s="180"/>
    </row>
    <row r="621" spans="3:4" x14ac:dyDescent="0.25">
      <c r="C621" s="180"/>
      <c r="D621" s="180"/>
    </row>
    <row r="622" spans="3:4" x14ac:dyDescent="0.25">
      <c r="C622" s="180"/>
      <c r="D622" s="180"/>
    </row>
    <row r="623" spans="3:4" x14ac:dyDescent="0.25">
      <c r="C623" s="180"/>
      <c r="D623" s="180"/>
    </row>
    <row r="624" spans="3:4" x14ac:dyDescent="0.25">
      <c r="C624" s="180"/>
      <c r="D624" s="180"/>
    </row>
    <row r="625" spans="3:4" x14ac:dyDescent="0.25">
      <c r="C625" s="180"/>
      <c r="D625" s="180"/>
    </row>
    <row r="626" spans="3:4" x14ac:dyDescent="0.25">
      <c r="C626" s="180"/>
      <c r="D626" s="180"/>
    </row>
    <row r="627" spans="3:4" x14ac:dyDescent="0.25">
      <c r="C627" s="180"/>
      <c r="D627" s="180"/>
    </row>
    <row r="628" spans="3:4" x14ac:dyDescent="0.25">
      <c r="C628" s="180"/>
      <c r="D628" s="180"/>
    </row>
    <row r="629" spans="3:4" x14ac:dyDescent="0.25">
      <c r="C629" s="180"/>
      <c r="D629" s="180"/>
    </row>
    <row r="630" spans="3:4" x14ac:dyDescent="0.25">
      <c r="C630" s="180"/>
      <c r="D630" s="180"/>
    </row>
    <row r="631" spans="3:4" x14ac:dyDescent="0.25">
      <c r="C631" s="180"/>
      <c r="D631" s="180"/>
    </row>
    <row r="632" spans="3:4" x14ac:dyDescent="0.25">
      <c r="C632" s="180"/>
      <c r="D632" s="180"/>
    </row>
    <row r="633" spans="3:4" x14ac:dyDescent="0.25">
      <c r="C633" s="180"/>
      <c r="D633" s="180"/>
    </row>
    <row r="634" spans="3:4" x14ac:dyDescent="0.25">
      <c r="C634" s="180"/>
      <c r="D634" s="180"/>
    </row>
    <row r="635" spans="3:4" x14ac:dyDescent="0.25">
      <c r="C635" s="180"/>
      <c r="D635" s="180"/>
    </row>
    <row r="636" spans="3:4" x14ac:dyDescent="0.25">
      <c r="C636" s="180"/>
      <c r="D636" s="180"/>
    </row>
    <row r="637" spans="3:4" x14ac:dyDescent="0.25">
      <c r="C637" s="180"/>
      <c r="D637" s="180"/>
    </row>
    <row r="638" spans="3:4" x14ac:dyDescent="0.25">
      <c r="C638" s="180"/>
      <c r="D638" s="180"/>
    </row>
    <row r="639" spans="3:4" x14ac:dyDescent="0.25">
      <c r="C639" s="180"/>
      <c r="D639" s="180"/>
    </row>
    <row r="640" spans="3:4" x14ac:dyDescent="0.25">
      <c r="C640" s="180"/>
      <c r="D640" s="180"/>
    </row>
    <row r="641" spans="3:4" x14ac:dyDescent="0.25">
      <c r="C641" s="180"/>
      <c r="D641" s="180"/>
    </row>
    <row r="642" spans="3:4" x14ac:dyDescent="0.25">
      <c r="C642" s="180"/>
      <c r="D642" s="180"/>
    </row>
    <row r="643" spans="3:4" x14ac:dyDescent="0.25">
      <c r="C643" s="180"/>
      <c r="D643" s="180"/>
    </row>
    <row r="644" spans="3:4" x14ac:dyDescent="0.25">
      <c r="C644" s="180"/>
      <c r="D644" s="180"/>
    </row>
    <row r="645" spans="3:4" x14ac:dyDescent="0.25">
      <c r="C645" s="180"/>
      <c r="D645" s="180"/>
    </row>
    <row r="646" spans="3:4" x14ac:dyDescent="0.25">
      <c r="C646" s="180"/>
      <c r="D646" s="180"/>
    </row>
    <row r="647" spans="3:4" x14ac:dyDescent="0.25">
      <c r="C647" s="180"/>
      <c r="D647" s="180"/>
    </row>
    <row r="648" spans="3:4" x14ac:dyDescent="0.25">
      <c r="C648" s="180"/>
      <c r="D648" s="180"/>
    </row>
    <row r="649" spans="3:4" x14ac:dyDescent="0.25">
      <c r="C649" s="180"/>
      <c r="D649" s="180"/>
    </row>
    <row r="650" spans="3:4" x14ac:dyDescent="0.25">
      <c r="C650" s="180"/>
      <c r="D650" s="180"/>
    </row>
    <row r="651" spans="3:4" x14ac:dyDescent="0.25">
      <c r="C651" s="180"/>
      <c r="D651" s="180"/>
    </row>
    <row r="652" spans="3:4" x14ac:dyDescent="0.25">
      <c r="C652" s="180"/>
      <c r="D652" s="180"/>
    </row>
    <row r="653" spans="3:4" x14ac:dyDescent="0.25">
      <c r="C653" s="180"/>
      <c r="D653" s="180"/>
    </row>
    <row r="654" spans="3:4" x14ac:dyDescent="0.25">
      <c r="C654" s="180"/>
      <c r="D654" s="180"/>
    </row>
    <row r="655" spans="3:4" x14ac:dyDescent="0.25">
      <c r="C655" s="180"/>
      <c r="D655" s="180"/>
    </row>
    <row r="656" spans="3:4" x14ac:dyDescent="0.25">
      <c r="C656" s="180"/>
      <c r="D656" s="180"/>
    </row>
    <row r="657" spans="3:4" x14ac:dyDescent="0.25">
      <c r="C657" s="180"/>
      <c r="D657" s="180"/>
    </row>
    <row r="658" spans="3:4" x14ac:dyDescent="0.25">
      <c r="C658" s="180"/>
      <c r="D658" s="180"/>
    </row>
    <row r="659" spans="3:4" x14ac:dyDescent="0.25">
      <c r="C659" s="180"/>
      <c r="D659" s="180"/>
    </row>
    <row r="660" spans="3:4" x14ac:dyDescent="0.25">
      <c r="C660" s="180"/>
      <c r="D660" s="180"/>
    </row>
    <row r="661" spans="3:4" x14ac:dyDescent="0.25">
      <c r="C661" s="180"/>
      <c r="D661" s="180"/>
    </row>
    <row r="662" spans="3:4" x14ac:dyDescent="0.25">
      <c r="C662" s="180"/>
      <c r="D662" s="180"/>
    </row>
    <row r="663" spans="3:4" x14ac:dyDescent="0.25">
      <c r="C663" s="180"/>
      <c r="D663" s="180"/>
    </row>
    <row r="664" spans="3:4" x14ac:dyDescent="0.25">
      <c r="C664" s="180"/>
      <c r="D664" s="180"/>
    </row>
    <row r="665" spans="3:4" x14ac:dyDescent="0.25">
      <c r="C665" s="180"/>
      <c r="D665" s="180"/>
    </row>
    <row r="666" spans="3:4" x14ac:dyDescent="0.25">
      <c r="C666" s="180"/>
      <c r="D666" s="180"/>
    </row>
    <row r="667" spans="3:4" x14ac:dyDescent="0.25">
      <c r="C667" s="180"/>
      <c r="D667" s="180"/>
    </row>
    <row r="668" spans="3:4" x14ac:dyDescent="0.25">
      <c r="C668" s="180"/>
      <c r="D668" s="180"/>
    </row>
    <row r="669" spans="3:4" x14ac:dyDescent="0.25">
      <c r="C669" s="180"/>
      <c r="D669" s="180"/>
    </row>
    <row r="670" spans="3:4" x14ac:dyDescent="0.25">
      <c r="C670" s="180"/>
      <c r="D670" s="180"/>
    </row>
    <row r="671" spans="3:4" x14ac:dyDescent="0.25">
      <c r="C671" s="180"/>
      <c r="D671" s="180"/>
    </row>
    <row r="672" spans="3:4" x14ac:dyDescent="0.25">
      <c r="C672" s="180"/>
      <c r="D672" s="180"/>
    </row>
    <row r="673" spans="3:4" x14ac:dyDescent="0.25">
      <c r="C673" s="180"/>
      <c r="D673" s="180"/>
    </row>
    <row r="674" spans="3:4" x14ac:dyDescent="0.25">
      <c r="C674" s="180"/>
      <c r="D674" s="180"/>
    </row>
    <row r="675" spans="3:4" x14ac:dyDescent="0.25">
      <c r="C675" s="180"/>
      <c r="D675" s="180"/>
    </row>
    <row r="676" spans="3:4" x14ac:dyDescent="0.25">
      <c r="C676" s="180"/>
      <c r="D676" s="180"/>
    </row>
    <row r="677" spans="3:4" x14ac:dyDescent="0.25">
      <c r="C677" s="180"/>
      <c r="D677" s="180"/>
    </row>
    <row r="678" spans="3:4" x14ac:dyDescent="0.25">
      <c r="C678" s="180"/>
      <c r="D678" s="180"/>
    </row>
    <row r="679" spans="3:4" x14ac:dyDescent="0.25">
      <c r="C679" s="180"/>
      <c r="D679" s="180"/>
    </row>
    <row r="680" spans="3:4" x14ac:dyDescent="0.25">
      <c r="C680" s="180"/>
      <c r="D680" s="180"/>
    </row>
    <row r="681" spans="3:4" x14ac:dyDescent="0.25">
      <c r="C681" s="180"/>
      <c r="D681" s="180"/>
    </row>
    <row r="682" spans="3:4" x14ac:dyDescent="0.25">
      <c r="C682" s="180"/>
      <c r="D682" s="180"/>
    </row>
    <row r="683" spans="3:4" x14ac:dyDescent="0.25">
      <c r="C683" s="180"/>
      <c r="D683" s="180"/>
    </row>
    <row r="684" spans="3:4" x14ac:dyDescent="0.25">
      <c r="C684" s="180"/>
      <c r="D684" s="180"/>
    </row>
    <row r="685" spans="3:4" x14ac:dyDescent="0.25">
      <c r="C685" s="180"/>
      <c r="D685" s="180"/>
    </row>
    <row r="686" spans="3:4" x14ac:dyDescent="0.25">
      <c r="C686" s="180"/>
      <c r="D686" s="180"/>
    </row>
    <row r="687" spans="3:4" x14ac:dyDescent="0.25">
      <c r="C687" s="180"/>
      <c r="D687" s="180"/>
    </row>
    <row r="688" spans="3:4" x14ac:dyDescent="0.25">
      <c r="C688" s="180"/>
      <c r="D688" s="180"/>
    </row>
    <row r="689" spans="3:4" x14ac:dyDescent="0.25">
      <c r="C689" s="180"/>
      <c r="D689" s="180"/>
    </row>
    <row r="690" spans="3:4" x14ac:dyDescent="0.25">
      <c r="C690" s="180"/>
      <c r="D690" s="180"/>
    </row>
    <row r="691" spans="3:4" x14ac:dyDescent="0.25">
      <c r="C691" s="180"/>
      <c r="D691" s="180"/>
    </row>
    <row r="692" spans="3:4" x14ac:dyDescent="0.25">
      <c r="C692" s="180"/>
      <c r="D692" s="180"/>
    </row>
    <row r="693" spans="3:4" x14ac:dyDescent="0.25">
      <c r="C693" s="180"/>
      <c r="D693" s="180"/>
    </row>
    <row r="694" spans="3:4" x14ac:dyDescent="0.25">
      <c r="C694" s="180"/>
      <c r="D694" s="180"/>
    </row>
    <row r="695" spans="3:4" x14ac:dyDescent="0.25">
      <c r="C695" s="180"/>
      <c r="D695" s="180"/>
    </row>
    <row r="696" spans="3:4" x14ac:dyDescent="0.25">
      <c r="C696" s="180"/>
      <c r="D696" s="180"/>
    </row>
    <row r="697" spans="3:4" x14ac:dyDescent="0.25">
      <c r="C697" s="180"/>
      <c r="D697" s="180"/>
    </row>
    <row r="698" spans="3:4" x14ac:dyDescent="0.25">
      <c r="C698" s="180"/>
      <c r="D698" s="180"/>
    </row>
    <row r="699" spans="3:4" x14ac:dyDescent="0.25">
      <c r="C699" s="180"/>
      <c r="D699" s="180"/>
    </row>
    <row r="700" spans="3:4" x14ac:dyDescent="0.25">
      <c r="C700" s="180"/>
      <c r="D700" s="180"/>
    </row>
    <row r="701" spans="3:4" x14ac:dyDescent="0.25">
      <c r="C701" s="180"/>
      <c r="D701" s="180"/>
    </row>
    <row r="702" spans="3:4" x14ac:dyDescent="0.25">
      <c r="C702" s="180"/>
      <c r="D702" s="180"/>
    </row>
    <row r="703" spans="3:4" x14ac:dyDescent="0.25">
      <c r="C703" s="180"/>
      <c r="D703" s="180"/>
    </row>
    <row r="704" spans="3:4" x14ac:dyDescent="0.25">
      <c r="C704" s="180"/>
      <c r="D704" s="180"/>
    </row>
    <row r="705" spans="3:4" x14ac:dyDescent="0.25">
      <c r="C705" s="180"/>
      <c r="D705" s="180"/>
    </row>
    <row r="706" spans="3:4" x14ac:dyDescent="0.25">
      <c r="C706" s="180"/>
      <c r="D706" s="180"/>
    </row>
    <row r="707" spans="3:4" x14ac:dyDescent="0.25">
      <c r="C707" s="180"/>
      <c r="D707" s="180"/>
    </row>
    <row r="708" spans="3:4" x14ac:dyDescent="0.25">
      <c r="C708" s="180"/>
      <c r="D708" s="180"/>
    </row>
    <row r="709" spans="3:4" x14ac:dyDescent="0.25">
      <c r="C709" s="180"/>
      <c r="D709" s="180"/>
    </row>
    <row r="710" spans="3:4" x14ac:dyDescent="0.25">
      <c r="C710" s="180"/>
      <c r="D710" s="180"/>
    </row>
    <row r="711" spans="3:4" x14ac:dyDescent="0.25">
      <c r="C711" s="180"/>
      <c r="D711" s="180"/>
    </row>
    <row r="712" spans="3:4" x14ac:dyDescent="0.25">
      <c r="C712" s="180"/>
      <c r="D712" s="180"/>
    </row>
    <row r="713" spans="3:4" x14ac:dyDescent="0.25">
      <c r="C713" s="180"/>
      <c r="D713" s="180"/>
    </row>
    <row r="714" spans="3:4" x14ac:dyDescent="0.25">
      <c r="C714" s="180"/>
      <c r="D714" s="180"/>
    </row>
    <row r="715" spans="3:4" x14ac:dyDescent="0.25">
      <c r="C715" s="180"/>
      <c r="D715" s="180"/>
    </row>
    <row r="716" spans="3:4" x14ac:dyDescent="0.25">
      <c r="C716" s="180"/>
      <c r="D716" s="180"/>
    </row>
    <row r="717" spans="3:4" x14ac:dyDescent="0.25">
      <c r="C717" s="180"/>
      <c r="D717" s="180"/>
    </row>
    <row r="718" spans="3:4" x14ac:dyDescent="0.25">
      <c r="C718" s="180"/>
      <c r="D718" s="180"/>
    </row>
    <row r="719" spans="3:4" x14ac:dyDescent="0.25">
      <c r="C719" s="180"/>
      <c r="D719" s="180"/>
    </row>
    <row r="720" spans="3:4" x14ac:dyDescent="0.25">
      <c r="C720" s="180"/>
      <c r="D720" s="180"/>
    </row>
    <row r="721" spans="3:4" x14ac:dyDescent="0.25">
      <c r="C721" s="180"/>
      <c r="D721" s="180"/>
    </row>
    <row r="722" spans="3:4" x14ac:dyDescent="0.25">
      <c r="C722" s="180"/>
      <c r="D722" s="180"/>
    </row>
    <row r="723" spans="3:4" x14ac:dyDescent="0.25">
      <c r="C723" s="180"/>
      <c r="D723" s="180"/>
    </row>
    <row r="724" spans="3:4" x14ac:dyDescent="0.25">
      <c r="C724" s="180"/>
      <c r="D724" s="180"/>
    </row>
    <row r="725" spans="3:4" x14ac:dyDescent="0.25">
      <c r="C725" s="180"/>
      <c r="D725" s="180"/>
    </row>
    <row r="726" spans="3:4" x14ac:dyDescent="0.25">
      <c r="C726" s="180"/>
      <c r="D726" s="180"/>
    </row>
    <row r="727" spans="3:4" x14ac:dyDescent="0.25">
      <c r="C727" s="180"/>
      <c r="D727" s="180"/>
    </row>
    <row r="728" spans="3:4" x14ac:dyDescent="0.25">
      <c r="C728" s="180"/>
      <c r="D728" s="180"/>
    </row>
    <row r="729" spans="3:4" x14ac:dyDescent="0.25">
      <c r="C729" s="180"/>
      <c r="D729" s="180"/>
    </row>
    <row r="730" spans="3:4" x14ac:dyDescent="0.25">
      <c r="C730" s="180"/>
      <c r="D730" s="180"/>
    </row>
    <row r="731" spans="3:4" x14ac:dyDescent="0.25">
      <c r="C731" s="180"/>
      <c r="D731" s="180"/>
    </row>
    <row r="732" spans="3:4" x14ac:dyDescent="0.25">
      <c r="C732" s="180"/>
      <c r="D732" s="180"/>
    </row>
    <row r="733" spans="3:4" x14ac:dyDescent="0.25">
      <c r="C733" s="180"/>
      <c r="D733" s="180"/>
    </row>
    <row r="734" spans="3:4" x14ac:dyDescent="0.25">
      <c r="C734" s="180"/>
      <c r="D734" s="180"/>
    </row>
    <row r="735" spans="3:4" x14ac:dyDescent="0.25">
      <c r="C735" s="180"/>
      <c r="D735" s="180"/>
    </row>
    <row r="736" spans="3:4" x14ac:dyDescent="0.25">
      <c r="C736" s="180"/>
      <c r="D736" s="180"/>
    </row>
    <row r="737" spans="3:4" x14ac:dyDescent="0.25">
      <c r="C737" s="180"/>
      <c r="D737" s="180"/>
    </row>
    <row r="738" spans="3:4" x14ac:dyDescent="0.25">
      <c r="C738" s="180"/>
      <c r="D738" s="180"/>
    </row>
    <row r="739" spans="3:4" x14ac:dyDescent="0.25">
      <c r="C739" s="180"/>
      <c r="D739" s="180"/>
    </row>
    <row r="740" spans="3:4" x14ac:dyDescent="0.25">
      <c r="C740" s="180"/>
      <c r="D740" s="180"/>
    </row>
    <row r="741" spans="3:4" x14ac:dyDescent="0.25">
      <c r="C741" s="180"/>
      <c r="D741" s="180"/>
    </row>
    <row r="742" spans="3:4" x14ac:dyDescent="0.25">
      <c r="C742" s="180"/>
      <c r="D742" s="180"/>
    </row>
    <row r="743" spans="3:4" x14ac:dyDescent="0.25">
      <c r="C743" s="180"/>
      <c r="D743" s="180"/>
    </row>
    <row r="744" spans="3:4" x14ac:dyDescent="0.25">
      <c r="C744" s="180"/>
      <c r="D744" s="180"/>
    </row>
    <row r="745" spans="3:4" x14ac:dyDescent="0.25">
      <c r="C745" s="180"/>
      <c r="D745" s="180"/>
    </row>
    <row r="746" spans="3:4" x14ac:dyDescent="0.25">
      <c r="C746" s="180"/>
      <c r="D746" s="180"/>
    </row>
    <row r="747" spans="3:4" x14ac:dyDescent="0.25">
      <c r="C747" s="180"/>
      <c r="D747" s="180"/>
    </row>
    <row r="748" spans="3:4" x14ac:dyDescent="0.25">
      <c r="C748" s="180"/>
      <c r="D748" s="180"/>
    </row>
    <row r="749" spans="3:4" x14ac:dyDescent="0.25">
      <c r="C749" s="180"/>
      <c r="D749" s="180"/>
    </row>
    <row r="750" spans="3:4" x14ac:dyDescent="0.25">
      <c r="C750" s="180"/>
      <c r="D750" s="180"/>
    </row>
    <row r="751" spans="3:4" x14ac:dyDescent="0.25">
      <c r="C751" s="180"/>
      <c r="D751" s="180"/>
    </row>
    <row r="752" spans="3:4" x14ac:dyDescent="0.25">
      <c r="C752" s="180"/>
      <c r="D752" s="180"/>
    </row>
    <row r="753" spans="3:4" x14ac:dyDescent="0.25">
      <c r="C753" s="180"/>
      <c r="D753" s="180"/>
    </row>
    <row r="754" spans="3:4" x14ac:dyDescent="0.25">
      <c r="C754" s="180"/>
      <c r="D754" s="180"/>
    </row>
    <row r="755" spans="3:4" x14ac:dyDescent="0.25">
      <c r="C755" s="180"/>
      <c r="D755" s="180"/>
    </row>
    <row r="756" spans="3:4" x14ac:dyDescent="0.25">
      <c r="C756" s="180"/>
      <c r="D756" s="180"/>
    </row>
    <row r="757" spans="3:4" x14ac:dyDescent="0.25">
      <c r="C757" s="180"/>
      <c r="D757" s="180"/>
    </row>
    <row r="758" spans="3:4" x14ac:dyDescent="0.25">
      <c r="C758" s="180"/>
      <c r="D758" s="180"/>
    </row>
    <row r="759" spans="3:4" x14ac:dyDescent="0.25">
      <c r="C759" s="180"/>
      <c r="D759" s="180"/>
    </row>
    <row r="760" spans="3:4" x14ac:dyDescent="0.25">
      <c r="C760" s="180"/>
      <c r="D760" s="180"/>
    </row>
    <row r="761" spans="3:4" x14ac:dyDescent="0.25">
      <c r="C761" s="180"/>
      <c r="D761" s="180"/>
    </row>
    <row r="762" spans="3:4" x14ac:dyDescent="0.25">
      <c r="C762" s="180"/>
      <c r="D762" s="180"/>
    </row>
    <row r="763" spans="3:4" x14ac:dyDescent="0.25">
      <c r="C763" s="180"/>
      <c r="D763" s="180"/>
    </row>
    <row r="764" spans="3:4" x14ac:dyDescent="0.25">
      <c r="C764" s="180"/>
      <c r="D764" s="180"/>
    </row>
    <row r="765" spans="3:4" x14ac:dyDescent="0.25">
      <c r="C765" s="180"/>
      <c r="D765" s="180"/>
    </row>
    <row r="766" spans="3:4" x14ac:dyDescent="0.25">
      <c r="C766" s="180"/>
      <c r="D766" s="180"/>
    </row>
    <row r="767" spans="3:4" x14ac:dyDescent="0.25">
      <c r="C767" s="180"/>
      <c r="D767" s="180"/>
    </row>
    <row r="768" spans="3:4" x14ac:dyDescent="0.25">
      <c r="C768" s="180"/>
      <c r="D768" s="180"/>
    </row>
    <row r="769" spans="3:4" x14ac:dyDescent="0.25">
      <c r="C769" s="180"/>
      <c r="D769" s="180"/>
    </row>
    <row r="770" spans="3:4" x14ac:dyDescent="0.25">
      <c r="C770" s="180"/>
      <c r="D770" s="180"/>
    </row>
    <row r="771" spans="3:4" x14ac:dyDescent="0.25">
      <c r="C771" s="180"/>
      <c r="D771" s="180"/>
    </row>
    <row r="772" spans="3:4" x14ac:dyDescent="0.25">
      <c r="C772" s="180"/>
      <c r="D772" s="180"/>
    </row>
    <row r="773" spans="3:4" x14ac:dyDescent="0.25">
      <c r="C773" s="180"/>
      <c r="D773" s="180"/>
    </row>
    <row r="774" spans="3:4" x14ac:dyDescent="0.25">
      <c r="C774" s="180"/>
      <c r="D774" s="180"/>
    </row>
    <row r="775" spans="3:4" x14ac:dyDescent="0.25">
      <c r="C775" s="180"/>
      <c r="D775" s="180"/>
    </row>
    <row r="776" spans="3:4" x14ac:dyDescent="0.25">
      <c r="C776" s="180"/>
      <c r="D776" s="180"/>
    </row>
    <row r="777" spans="3:4" x14ac:dyDescent="0.25">
      <c r="C777" s="180"/>
      <c r="D777" s="180"/>
    </row>
    <row r="778" spans="3:4" x14ac:dyDescent="0.25">
      <c r="C778" s="180"/>
      <c r="D778" s="180"/>
    </row>
    <row r="779" spans="3:4" x14ac:dyDescent="0.25">
      <c r="C779" s="180"/>
      <c r="D779" s="180"/>
    </row>
    <row r="780" spans="3:4" x14ac:dyDescent="0.25">
      <c r="C780" s="180"/>
      <c r="D780" s="180"/>
    </row>
    <row r="781" spans="3:4" x14ac:dyDescent="0.25">
      <c r="C781" s="180"/>
      <c r="D781" s="180"/>
    </row>
    <row r="782" spans="3:4" x14ac:dyDescent="0.25">
      <c r="C782" s="180"/>
      <c r="D782" s="180"/>
    </row>
    <row r="783" spans="3:4" x14ac:dyDescent="0.25">
      <c r="C783" s="180"/>
      <c r="D783" s="180"/>
    </row>
    <row r="784" spans="3:4" x14ac:dyDescent="0.25">
      <c r="C784" s="180"/>
      <c r="D784" s="180"/>
    </row>
    <row r="785" spans="3:4" x14ac:dyDescent="0.25">
      <c r="C785" s="180"/>
      <c r="D785" s="180"/>
    </row>
    <row r="786" spans="3:4" x14ac:dyDescent="0.25">
      <c r="C786" s="180"/>
      <c r="D786" s="180"/>
    </row>
    <row r="787" spans="3:4" x14ac:dyDescent="0.25">
      <c r="C787" s="180"/>
      <c r="D787" s="180"/>
    </row>
    <row r="788" spans="3:4" x14ac:dyDescent="0.25">
      <c r="C788" s="180"/>
      <c r="D788" s="180"/>
    </row>
    <row r="789" spans="3:4" x14ac:dyDescent="0.25">
      <c r="C789" s="180"/>
      <c r="D789" s="180"/>
    </row>
    <row r="790" spans="3:4" x14ac:dyDescent="0.25">
      <c r="C790" s="180"/>
      <c r="D790" s="180"/>
    </row>
    <row r="791" spans="3:4" x14ac:dyDescent="0.25">
      <c r="C791" s="180"/>
      <c r="D791" s="180"/>
    </row>
    <row r="792" spans="3:4" x14ac:dyDescent="0.25">
      <c r="C792" s="180"/>
      <c r="D792" s="180"/>
    </row>
    <row r="793" spans="3:4" x14ac:dyDescent="0.25">
      <c r="C793" s="180"/>
      <c r="D793" s="180"/>
    </row>
    <row r="794" spans="3:4" x14ac:dyDescent="0.25">
      <c r="C794" s="180"/>
      <c r="D794" s="180"/>
    </row>
    <row r="795" spans="3:4" x14ac:dyDescent="0.25">
      <c r="C795" s="180"/>
      <c r="D795" s="180"/>
    </row>
    <row r="796" spans="3:4" x14ac:dyDescent="0.25">
      <c r="C796" s="180"/>
      <c r="D796" s="180"/>
    </row>
    <row r="797" spans="3:4" x14ac:dyDescent="0.25">
      <c r="C797" s="180"/>
      <c r="D797" s="180"/>
    </row>
    <row r="798" spans="3:4" x14ac:dyDescent="0.25">
      <c r="C798" s="180"/>
      <c r="D798" s="180"/>
    </row>
    <row r="799" spans="3:4" x14ac:dyDescent="0.25">
      <c r="C799" s="180"/>
      <c r="D799" s="180"/>
    </row>
    <row r="800" spans="3:4" x14ac:dyDescent="0.25">
      <c r="C800" s="180"/>
      <c r="D800" s="180"/>
    </row>
    <row r="801" spans="3:4" x14ac:dyDescent="0.25">
      <c r="C801" s="180"/>
      <c r="D801" s="180"/>
    </row>
    <row r="802" spans="3:4" x14ac:dyDescent="0.25">
      <c r="C802" s="180"/>
      <c r="D802" s="180"/>
    </row>
    <row r="803" spans="3:4" x14ac:dyDescent="0.25">
      <c r="C803" s="180"/>
      <c r="D803" s="180"/>
    </row>
    <row r="804" spans="3:4" x14ac:dyDescent="0.25">
      <c r="C804" s="180"/>
      <c r="D804" s="180"/>
    </row>
    <row r="805" spans="3:4" x14ac:dyDescent="0.25">
      <c r="C805" s="180"/>
      <c r="D805" s="180"/>
    </row>
    <row r="806" spans="3:4" x14ac:dyDescent="0.25">
      <c r="C806" s="180"/>
      <c r="D806" s="180"/>
    </row>
    <row r="807" spans="3:4" x14ac:dyDescent="0.25">
      <c r="C807" s="180"/>
      <c r="D807" s="180"/>
    </row>
    <row r="808" spans="3:4" x14ac:dyDescent="0.25">
      <c r="C808" s="180"/>
      <c r="D808" s="180"/>
    </row>
    <row r="809" spans="3:4" x14ac:dyDescent="0.25">
      <c r="C809" s="180"/>
      <c r="D809" s="180"/>
    </row>
    <row r="810" spans="3:4" x14ac:dyDescent="0.25">
      <c r="C810" s="180"/>
      <c r="D810" s="180"/>
    </row>
    <row r="811" spans="3:4" x14ac:dyDescent="0.25">
      <c r="C811" s="180"/>
      <c r="D811" s="180"/>
    </row>
    <row r="812" spans="3:4" x14ac:dyDescent="0.25">
      <c r="C812" s="180"/>
      <c r="D812" s="180"/>
    </row>
    <row r="813" spans="3:4" x14ac:dyDescent="0.25">
      <c r="C813" s="180"/>
      <c r="D813" s="180"/>
    </row>
    <row r="814" spans="3:4" x14ac:dyDescent="0.25">
      <c r="C814" s="180"/>
      <c r="D814" s="180"/>
    </row>
    <row r="815" spans="3:4" x14ac:dyDescent="0.25">
      <c r="C815" s="180"/>
      <c r="D815" s="180"/>
    </row>
    <row r="816" spans="3:4" x14ac:dyDescent="0.25">
      <c r="C816" s="180"/>
      <c r="D816" s="180"/>
    </row>
    <row r="817" spans="3:4" x14ac:dyDescent="0.25">
      <c r="C817" s="180"/>
      <c r="D817" s="180"/>
    </row>
    <row r="818" spans="3:4" x14ac:dyDescent="0.25">
      <c r="C818" s="180"/>
      <c r="D818" s="180"/>
    </row>
    <row r="819" spans="3:4" x14ac:dyDescent="0.25">
      <c r="C819" s="180"/>
      <c r="D819" s="180"/>
    </row>
    <row r="820" spans="3:4" x14ac:dyDescent="0.25">
      <c r="C820" s="180"/>
      <c r="D820" s="180"/>
    </row>
    <row r="821" spans="3:4" x14ac:dyDescent="0.25">
      <c r="C821" s="180"/>
      <c r="D821" s="180"/>
    </row>
    <row r="822" spans="3:4" x14ac:dyDescent="0.25">
      <c r="C822" s="180"/>
      <c r="D822" s="180"/>
    </row>
    <row r="823" spans="3:4" x14ac:dyDescent="0.25">
      <c r="C823" s="180"/>
      <c r="D823" s="180"/>
    </row>
    <row r="824" spans="3:4" x14ac:dyDescent="0.25">
      <c r="C824" s="180"/>
      <c r="D824" s="180"/>
    </row>
    <row r="825" spans="3:4" x14ac:dyDescent="0.25">
      <c r="C825" s="180"/>
      <c r="D825" s="180"/>
    </row>
    <row r="826" spans="3:4" x14ac:dyDescent="0.25">
      <c r="C826" s="180"/>
      <c r="D826" s="180"/>
    </row>
    <row r="827" spans="3:4" x14ac:dyDescent="0.25">
      <c r="C827" s="180"/>
      <c r="D827" s="180"/>
    </row>
    <row r="828" spans="3:4" x14ac:dyDescent="0.25">
      <c r="C828" s="180"/>
      <c r="D828" s="180"/>
    </row>
    <row r="829" spans="3:4" x14ac:dyDescent="0.25">
      <c r="C829" s="180"/>
      <c r="D829" s="180"/>
    </row>
    <row r="830" spans="3:4" x14ac:dyDescent="0.25">
      <c r="C830" s="180"/>
      <c r="D830" s="180"/>
    </row>
    <row r="831" spans="3:4" x14ac:dyDescent="0.25">
      <c r="C831" s="180"/>
      <c r="D831" s="180"/>
    </row>
    <row r="832" spans="3:4" x14ac:dyDescent="0.25">
      <c r="C832" s="180"/>
      <c r="D832" s="180"/>
    </row>
    <row r="833" spans="3:4" x14ac:dyDescent="0.25">
      <c r="C833" s="180"/>
      <c r="D833" s="180"/>
    </row>
    <row r="834" spans="3:4" x14ac:dyDescent="0.25">
      <c r="C834" s="180"/>
      <c r="D834" s="180"/>
    </row>
    <row r="835" spans="3:4" x14ac:dyDescent="0.25">
      <c r="C835" s="180"/>
      <c r="D835" s="180"/>
    </row>
    <row r="836" spans="3:4" x14ac:dyDescent="0.25">
      <c r="C836" s="180"/>
      <c r="D836" s="180"/>
    </row>
    <row r="837" spans="3:4" x14ac:dyDescent="0.25">
      <c r="C837" s="180"/>
      <c r="D837" s="180"/>
    </row>
    <row r="838" spans="3:4" x14ac:dyDescent="0.25">
      <c r="C838" s="180"/>
      <c r="D838" s="180"/>
    </row>
    <row r="839" spans="3:4" x14ac:dyDescent="0.25">
      <c r="C839" s="180"/>
      <c r="D839" s="180"/>
    </row>
    <row r="840" spans="3:4" x14ac:dyDescent="0.25">
      <c r="C840" s="180"/>
      <c r="D840" s="180"/>
    </row>
    <row r="841" spans="3:4" x14ac:dyDescent="0.25">
      <c r="C841" s="180"/>
      <c r="D841" s="180"/>
    </row>
    <row r="842" spans="3:4" x14ac:dyDescent="0.25">
      <c r="C842" s="180"/>
      <c r="D842" s="180"/>
    </row>
    <row r="843" spans="3:4" x14ac:dyDescent="0.25">
      <c r="C843" s="180"/>
      <c r="D843" s="180"/>
    </row>
    <row r="844" spans="3:4" x14ac:dyDescent="0.25">
      <c r="C844" s="180"/>
      <c r="D844" s="180"/>
    </row>
    <row r="845" spans="3:4" x14ac:dyDescent="0.25">
      <c r="C845" s="180"/>
      <c r="D845" s="180"/>
    </row>
    <row r="846" spans="3:4" x14ac:dyDescent="0.25">
      <c r="C846" s="180"/>
      <c r="D846" s="180"/>
    </row>
    <row r="847" spans="3:4" x14ac:dyDescent="0.25">
      <c r="C847" s="180"/>
      <c r="D847" s="180"/>
    </row>
    <row r="848" spans="3:4" x14ac:dyDescent="0.25">
      <c r="C848" s="180"/>
      <c r="D848" s="180"/>
    </row>
    <row r="849" spans="3:4" x14ac:dyDescent="0.25">
      <c r="C849" s="180"/>
      <c r="D849" s="180"/>
    </row>
    <row r="850" spans="3:4" x14ac:dyDescent="0.25">
      <c r="C850" s="180"/>
      <c r="D850" s="180"/>
    </row>
    <row r="851" spans="3:4" x14ac:dyDescent="0.25">
      <c r="C851" s="180"/>
      <c r="D851" s="180"/>
    </row>
    <row r="852" spans="3:4" x14ac:dyDescent="0.25">
      <c r="C852" s="180"/>
      <c r="D852" s="180"/>
    </row>
    <row r="853" spans="3:4" x14ac:dyDescent="0.25">
      <c r="C853" s="180"/>
      <c r="D853" s="180"/>
    </row>
    <row r="854" spans="3:4" x14ac:dyDescent="0.25">
      <c r="C854" s="180"/>
      <c r="D854" s="180"/>
    </row>
    <row r="855" spans="3:4" x14ac:dyDescent="0.25">
      <c r="C855" s="180"/>
      <c r="D855" s="180"/>
    </row>
    <row r="856" spans="3:4" x14ac:dyDescent="0.25">
      <c r="C856" s="180"/>
      <c r="D856" s="180"/>
    </row>
    <row r="857" spans="3:4" x14ac:dyDescent="0.25">
      <c r="C857" s="180"/>
      <c r="D857" s="180"/>
    </row>
    <row r="858" spans="3:4" x14ac:dyDescent="0.25">
      <c r="C858" s="180"/>
      <c r="D858" s="180"/>
    </row>
    <row r="859" spans="3:4" x14ac:dyDescent="0.25">
      <c r="C859" s="180"/>
      <c r="D859" s="180"/>
    </row>
    <row r="860" spans="3:4" x14ac:dyDescent="0.25">
      <c r="C860" s="180"/>
      <c r="D860" s="180"/>
    </row>
    <row r="861" spans="3:4" x14ac:dyDescent="0.25">
      <c r="C861" s="180"/>
      <c r="D861" s="180"/>
    </row>
    <row r="862" spans="3:4" x14ac:dyDescent="0.25">
      <c r="C862" s="180"/>
      <c r="D862" s="180"/>
    </row>
    <row r="863" spans="3:4" x14ac:dyDescent="0.25">
      <c r="C863" s="180"/>
      <c r="D863" s="180"/>
    </row>
    <row r="864" spans="3:4" x14ac:dyDescent="0.25">
      <c r="C864" s="180"/>
      <c r="D864" s="180"/>
    </row>
    <row r="865" spans="3:4" x14ac:dyDescent="0.25">
      <c r="C865" s="180"/>
      <c r="D865" s="180"/>
    </row>
    <row r="866" spans="3:4" x14ac:dyDescent="0.25">
      <c r="C866" s="180"/>
      <c r="D866" s="180"/>
    </row>
    <row r="867" spans="3:4" x14ac:dyDescent="0.25">
      <c r="C867" s="180"/>
      <c r="D867" s="180"/>
    </row>
    <row r="868" spans="3:4" x14ac:dyDescent="0.25">
      <c r="C868" s="180"/>
      <c r="D868" s="180"/>
    </row>
    <row r="869" spans="3:4" x14ac:dyDescent="0.25">
      <c r="C869" s="180"/>
      <c r="D869" s="180"/>
    </row>
    <row r="870" spans="3:4" x14ac:dyDescent="0.25">
      <c r="C870" s="180"/>
      <c r="D870" s="180"/>
    </row>
    <row r="871" spans="3:4" x14ac:dyDescent="0.25">
      <c r="C871" s="180"/>
      <c r="D871" s="180"/>
    </row>
    <row r="872" spans="3:4" x14ac:dyDescent="0.25">
      <c r="C872" s="180"/>
      <c r="D872" s="180"/>
    </row>
    <row r="873" spans="3:4" x14ac:dyDescent="0.25">
      <c r="C873" s="180"/>
      <c r="D873" s="180"/>
    </row>
    <row r="874" spans="3:4" x14ac:dyDescent="0.25">
      <c r="C874" s="180"/>
      <c r="D874" s="180"/>
    </row>
    <row r="875" spans="3:4" x14ac:dyDescent="0.25">
      <c r="C875" s="180"/>
      <c r="D875" s="180"/>
    </row>
    <row r="876" spans="3:4" x14ac:dyDescent="0.25">
      <c r="C876" s="180"/>
      <c r="D876" s="180"/>
    </row>
    <row r="877" spans="3:4" x14ac:dyDescent="0.25">
      <c r="C877" s="180"/>
      <c r="D877" s="180"/>
    </row>
    <row r="878" spans="3:4" x14ac:dyDescent="0.25">
      <c r="C878" s="180"/>
      <c r="D878" s="180"/>
    </row>
    <row r="879" spans="3:4" x14ac:dyDescent="0.25">
      <c r="C879" s="180"/>
      <c r="D879" s="180"/>
    </row>
    <row r="880" spans="3:4" x14ac:dyDescent="0.25">
      <c r="C880" s="180"/>
      <c r="D880" s="180"/>
    </row>
    <row r="881" spans="3:4" x14ac:dyDescent="0.25">
      <c r="C881" s="180"/>
      <c r="D881" s="180"/>
    </row>
    <row r="882" spans="3:4" x14ac:dyDescent="0.25">
      <c r="C882" s="180"/>
      <c r="D882" s="180"/>
    </row>
    <row r="883" spans="3:4" x14ac:dyDescent="0.25">
      <c r="C883" s="180"/>
      <c r="D883" s="180"/>
    </row>
    <row r="884" spans="3:4" x14ac:dyDescent="0.25">
      <c r="C884" s="180"/>
      <c r="D884" s="180"/>
    </row>
    <row r="885" spans="3:4" x14ac:dyDescent="0.25">
      <c r="C885" s="180"/>
      <c r="D885" s="180"/>
    </row>
    <row r="886" spans="3:4" x14ac:dyDescent="0.25">
      <c r="C886" s="180"/>
      <c r="D886" s="180"/>
    </row>
    <row r="887" spans="3:4" x14ac:dyDescent="0.25">
      <c r="C887" s="180"/>
      <c r="D887" s="180"/>
    </row>
    <row r="888" spans="3:4" x14ac:dyDescent="0.25">
      <c r="C888" s="180"/>
      <c r="D888" s="180"/>
    </row>
    <row r="889" spans="3:4" x14ac:dyDescent="0.25">
      <c r="C889" s="180"/>
      <c r="D889" s="180"/>
    </row>
    <row r="890" spans="3:4" x14ac:dyDescent="0.25">
      <c r="C890" s="180"/>
      <c r="D890" s="180"/>
    </row>
    <row r="891" spans="3:4" x14ac:dyDescent="0.25">
      <c r="C891" s="180"/>
      <c r="D891" s="180"/>
    </row>
    <row r="892" spans="3:4" x14ac:dyDescent="0.25">
      <c r="C892" s="180"/>
      <c r="D892" s="180"/>
    </row>
    <row r="893" spans="3:4" x14ac:dyDescent="0.25">
      <c r="C893" s="180"/>
      <c r="D893" s="180"/>
    </row>
    <row r="894" spans="3:4" x14ac:dyDescent="0.25">
      <c r="C894" s="180"/>
      <c r="D894" s="180"/>
    </row>
    <row r="895" spans="3:4" x14ac:dyDescent="0.25">
      <c r="C895" s="180"/>
      <c r="D895" s="180"/>
    </row>
    <row r="896" spans="3:4" x14ac:dyDescent="0.25">
      <c r="C896" s="180"/>
      <c r="D896" s="180"/>
    </row>
    <row r="897" spans="3:4" x14ac:dyDescent="0.25">
      <c r="C897" s="180"/>
      <c r="D897" s="180"/>
    </row>
    <row r="898" spans="3:4" x14ac:dyDescent="0.25">
      <c r="C898" s="180"/>
      <c r="D898" s="180"/>
    </row>
    <row r="899" spans="3:4" x14ac:dyDescent="0.25">
      <c r="C899" s="180"/>
      <c r="D899" s="180"/>
    </row>
    <row r="900" spans="3:4" x14ac:dyDescent="0.25">
      <c r="C900" s="180"/>
      <c r="D900" s="180"/>
    </row>
    <row r="901" spans="3:4" x14ac:dyDescent="0.25">
      <c r="C901" s="180"/>
      <c r="D901" s="180"/>
    </row>
    <row r="902" spans="3:4" x14ac:dyDescent="0.25">
      <c r="C902" s="180"/>
      <c r="D902" s="180"/>
    </row>
    <row r="903" spans="3:4" x14ac:dyDescent="0.25">
      <c r="C903" s="180"/>
      <c r="D903" s="180"/>
    </row>
    <row r="904" spans="3:4" x14ac:dyDescent="0.25">
      <c r="C904" s="180"/>
      <c r="D904" s="180"/>
    </row>
    <row r="905" spans="3:4" x14ac:dyDescent="0.25">
      <c r="C905" s="180"/>
      <c r="D905" s="180"/>
    </row>
    <row r="906" spans="3:4" x14ac:dyDescent="0.25">
      <c r="C906" s="180"/>
      <c r="D906" s="180"/>
    </row>
    <row r="907" spans="3:4" x14ac:dyDescent="0.25">
      <c r="C907" s="180"/>
      <c r="D907" s="180"/>
    </row>
    <row r="908" spans="3:4" x14ac:dyDescent="0.25">
      <c r="C908" s="180"/>
      <c r="D908" s="180"/>
    </row>
    <row r="909" spans="3:4" x14ac:dyDescent="0.25">
      <c r="C909" s="180"/>
      <c r="D909" s="180"/>
    </row>
    <row r="910" spans="3:4" x14ac:dyDescent="0.25">
      <c r="C910" s="180"/>
      <c r="D910" s="180"/>
    </row>
    <row r="911" spans="3:4" x14ac:dyDescent="0.25">
      <c r="C911" s="180"/>
      <c r="D911" s="180"/>
    </row>
    <row r="912" spans="3:4" x14ac:dyDescent="0.25">
      <c r="C912" s="180"/>
      <c r="D912" s="180"/>
    </row>
    <row r="913" spans="3:4" x14ac:dyDescent="0.25">
      <c r="C913" s="180"/>
      <c r="D913" s="180"/>
    </row>
    <row r="914" spans="3:4" x14ac:dyDescent="0.25">
      <c r="C914" s="180"/>
      <c r="D914" s="180"/>
    </row>
    <row r="915" spans="3:4" x14ac:dyDescent="0.25">
      <c r="C915" s="180"/>
      <c r="D915" s="180"/>
    </row>
    <row r="916" spans="3:4" x14ac:dyDescent="0.25">
      <c r="C916" s="180"/>
      <c r="D916" s="180"/>
    </row>
    <row r="917" spans="3:4" x14ac:dyDescent="0.25">
      <c r="C917" s="180"/>
      <c r="D917" s="180"/>
    </row>
    <row r="918" spans="3:4" x14ac:dyDescent="0.25">
      <c r="C918" s="180"/>
      <c r="D918" s="180"/>
    </row>
    <row r="919" spans="3:4" x14ac:dyDescent="0.25">
      <c r="C919" s="180"/>
      <c r="D919" s="180"/>
    </row>
    <row r="920" spans="3:4" x14ac:dyDescent="0.25">
      <c r="C920" s="180"/>
      <c r="D920" s="180"/>
    </row>
    <row r="921" spans="3:4" x14ac:dyDescent="0.25">
      <c r="C921" s="180"/>
      <c r="D921" s="180"/>
    </row>
    <row r="922" spans="3:4" x14ac:dyDescent="0.25">
      <c r="C922" s="180"/>
      <c r="D922" s="180"/>
    </row>
    <row r="923" spans="3:4" x14ac:dyDescent="0.25">
      <c r="C923" s="180"/>
      <c r="D923" s="180"/>
    </row>
    <row r="924" spans="3:4" x14ac:dyDescent="0.25">
      <c r="C924" s="180"/>
      <c r="D924" s="180"/>
    </row>
    <row r="925" spans="3:4" x14ac:dyDescent="0.25">
      <c r="C925" s="180"/>
      <c r="D925" s="180"/>
    </row>
    <row r="926" spans="3:4" x14ac:dyDescent="0.25">
      <c r="C926" s="180"/>
      <c r="D926" s="180"/>
    </row>
    <row r="927" spans="3:4" x14ac:dyDescent="0.25">
      <c r="C927" s="180"/>
      <c r="D927" s="180"/>
    </row>
    <row r="928" spans="3:4" x14ac:dyDescent="0.25">
      <c r="C928" s="180"/>
      <c r="D928" s="180"/>
    </row>
    <row r="929" spans="3:4" x14ac:dyDescent="0.25">
      <c r="C929" s="180"/>
      <c r="D929" s="180"/>
    </row>
    <row r="930" spans="3:4" x14ac:dyDescent="0.25">
      <c r="C930" s="180"/>
      <c r="D930" s="180"/>
    </row>
    <row r="931" spans="3:4" x14ac:dyDescent="0.25">
      <c r="C931" s="180"/>
      <c r="D931" s="180"/>
    </row>
    <row r="932" spans="3:4" x14ac:dyDescent="0.25">
      <c r="C932" s="180"/>
      <c r="D932" s="180"/>
    </row>
    <row r="933" spans="3:4" x14ac:dyDescent="0.25">
      <c r="C933" s="180"/>
      <c r="D933" s="180"/>
    </row>
    <row r="934" spans="3:4" x14ac:dyDescent="0.25">
      <c r="C934" s="180"/>
      <c r="D934" s="180"/>
    </row>
    <row r="935" spans="3:4" x14ac:dyDescent="0.25">
      <c r="C935" s="180"/>
      <c r="D935" s="180"/>
    </row>
    <row r="936" spans="3:4" x14ac:dyDescent="0.25">
      <c r="C936" s="180"/>
      <c r="D936" s="180"/>
    </row>
    <row r="937" spans="3:4" x14ac:dyDescent="0.25">
      <c r="C937" s="180"/>
      <c r="D937" s="180"/>
    </row>
    <row r="938" spans="3:4" x14ac:dyDescent="0.25">
      <c r="C938" s="180"/>
      <c r="D938" s="180"/>
    </row>
    <row r="939" spans="3:4" x14ac:dyDescent="0.25">
      <c r="C939" s="180"/>
      <c r="D939" s="180"/>
    </row>
    <row r="940" spans="3:4" x14ac:dyDescent="0.25">
      <c r="C940" s="180"/>
      <c r="D940" s="180"/>
    </row>
    <row r="941" spans="3:4" x14ac:dyDescent="0.25">
      <c r="C941" s="180"/>
      <c r="D941" s="180"/>
    </row>
    <row r="942" spans="3:4" x14ac:dyDescent="0.25">
      <c r="C942" s="180"/>
      <c r="D942" s="180"/>
    </row>
    <row r="943" spans="3:4" x14ac:dyDescent="0.25">
      <c r="C943" s="180"/>
      <c r="D943" s="180"/>
    </row>
    <row r="944" spans="3:4" x14ac:dyDescent="0.25">
      <c r="C944" s="180"/>
      <c r="D944" s="180"/>
    </row>
    <row r="945" spans="3:4" x14ac:dyDescent="0.25">
      <c r="C945" s="180"/>
      <c r="D945" s="180"/>
    </row>
    <row r="946" spans="3:4" x14ac:dyDescent="0.25">
      <c r="C946" s="180"/>
      <c r="D946" s="180"/>
    </row>
    <row r="947" spans="3:4" x14ac:dyDescent="0.25">
      <c r="C947" s="180"/>
      <c r="D947" s="180"/>
    </row>
    <row r="948" spans="3:4" x14ac:dyDescent="0.25">
      <c r="C948" s="180"/>
      <c r="D948" s="180"/>
    </row>
    <row r="949" spans="3:4" x14ac:dyDescent="0.25">
      <c r="C949" s="180"/>
      <c r="D949" s="180"/>
    </row>
    <row r="950" spans="3:4" x14ac:dyDescent="0.25">
      <c r="C950" s="180"/>
      <c r="D950" s="180"/>
    </row>
    <row r="951" spans="3:4" x14ac:dyDescent="0.25">
      <c r="C951" s="180"/>
      <c r="D951" s="180"/>
    </row>
    <row r="952" spans="3:4" x14ac:dyDescent="0.25">
      <c r="C952" s="180"/>
      <c r="D952" s="180"/>
    </row>
    <row r="953" spans="3:4" x14ac:dyDescent="0.25">
      <c r="C953" s="180"/>
      <c r="D953" s="180"/>
    </row>
    <row r="954" spans="3:4" x14ac:dyDescent="0.25">
      <c r="C954" s="180"/>
      <c r="D954" s="180"/>
    </row>
    <row r="955" spans="3:4" x14ac:dyDescent="0.25">
      <c r="C955" s="180"/>
      <c r="D955" s="180"/>
    </row>
    <row r="956" spans="3:4" x14ac:dyDescent="0.25">
      <c r="C956" s="180"/>
      <c r="D956" s="180"/>
    </row>
    <row r="957" spans="3:4" x14ac:dyDescent="0.25">
      <c r="C957" s="180"/>
      <c r="D957" s="180"/>
    </row>
    <row r="958" spans="3:4" x14ac:dyDescent="0.25">
      <c r="C958" s="180"/>
      <c r="D958" s="180"/>
    </row>
    <row r="959" spans="3:4" x14ac:dyDescent="0.25">
      <c r="C959" s="180"/>
      <c r="D959" s="180"/>
    </row>
    <row r="960" spans="3:4" x14ac:dyDescent="0.25">
      <c r="C960" s="180"/>
      <c r="D960" s="180"/>
    </row>
    <row r="961" spans="3:4" x14ac:dyDescent="0.25">
      <c r="C961" s="180"/>
      <c r="D961" s="180"/>
    </row>
    <row r="962" spans="3:4" x14ac:dyDescent="0.25">
      <c r="C962" s="180"/>
      <c r="D962" s="180"/>
    </row>
    <row r="963" spans="3:4" x14ac:dyDescent="0.25">
      <c r="C963" s="180"/>
      <c r="D963" s="180"/>
    </row>
    <row r="964" spans="3:4" x14ac:dyDescent="0.25">
      <c r="C964" s="180"/>
      <c r="D964" s="180"/>
    </row>
    <row r="965" spans="3:4" x14ac:dyDescent="0.25">
      <c r="C965" s="180"/>
      <c r="D965" s="180"/>
    </row>
    <row r="966" spans="3:4" x14ac:dyDescent="0.25">
      <c r="C966" s="180"/>
      <c r="D966" s="180"/>
    </row>
    <row r="967" spans="3:4" x14ac:dyDescent="0.25">
      <c r="C967" s="180"/>
      <c r="D967" s="180"/>
    </row>
    <row r="968" spans="3:4" x14ac:dyDescent="0.25">
      <c r="C968" s="180"/>
      <c r="D968" s="180"/>
    </row>
    <row r="969" spans="3:4" x14ac:dyDescent="0.25">
      <c r="C969" s="180"/>
      <c r="D969" s="180"/>
    </row>
    <row r="970" spans="3:4" x14ac:dyDescent="0.25">
      <c r="C970" s="180"/>
      <c r="D970" s="180"/>
    </row>
    <row r="971" spans="3:4" x14ac:dyDescent="0.25">
      <c r="C971" s="180"/>
      <c r="D971" s="180"/>
    </row>
    <row r="972" spans="3:4" x14ac:dyDescent="0.25">
      <c r="C972" s="180"/>
      <c r="D972" s="180"/>
    </row>
    <row r="973" spans="3:4" x14ac:dyDescent="0.25">
      <c r="C973" s="180"/>
      <c r="D973" s="180"/>
    </row>
    <row r="974" spans="3:4" x14ac:dyDescent="0.25">
      <c r="C974" s="180"/>
      <c r="D974" s="180"/>
    </row>
    <row r="975" spans="3:4" x14ac:dyDescent="0.25">
      <c r="C975" s="180"/>
      <c r="D975" s="180"/>
    </row>
    <row r="976" spans="3:4" x14ac:dyDescent="0.25">
      <c r="C976" s="180"/>
      <c r="D976" s="180"/>
    </row>
    <row r="977" spans="3:4" x14ac:dyDescent="0.25">
      <c r="C977" s="180"/>
      <c r="D977" s="180"/>
    </row>
    <row r="978" spans="3:4" x14ac:dyDescent="0.25">
      <c r="C978" s="180"/>
      <c r="D978" s="180"/>
    </row>
    <row r="979" spans="3:4" x14ac:dyDescent="0.25">
      <c r="C979" s="180"/>
      <c r="D979" s="180"/>
    </row>
    <row r="980" spans="3:4" x14ac:dyDescent="0.25">
      <c r="C980" s="180"/>
      <c r="D980" s="180"/>
    </row>
    <row r="981" spans="3:4" x14ac:dyDescent="0.25">
      <c r="C981" s="180"/>
      <c r="D981" s="180"/>
    </row>
    <row r="982" spans="3:4" x14ac:dyDescent="0.25">
      <c r="C982" s="180"/>
      <c r="D982" s="180"/>
    </row>
    <row r="983" spans="3:4" x14ac:dyDescent="0.25">
      <c r="C983" s="180"/>
      <c r="D983" s="180"/>
    </row>
    <row r="984" spans="3:4" x14ac:dyDescent="0.25">
      <c r="C984" s="180"/>
      <c r="D984" s="180"/>
    </row>
    <row r="985" spans="3:4" x14ac:dyDescent="0.25">
      <c r="C985" s="180"/>
      <c r="D985" s="180"/>
    </row>
    <row r="986" spans="3:4" x14ac:dyDescent="0.25">
      <c r="C986" s="180"/>
      <c r="D986" s="180"/>
    </row>
    <row r="987" spans="3:4" x14ac:dyDescent="0.25">
      <c r="C987" s="180"/>
      <c r="D987" s="180"/>
    </row>
    <row r="988" spans="3:4" x14ac:dyDescent="0.25">
      <c r="C988" s="180"/>
      <c r="D988" s="180"/>
    </row>
    <row r="989" spans="3:4" x14ac:dyDescent="0.25">
      <c r="C989" s="180"/>
      <c r="D989" s="180"/>
    </row>
    <row r="990" spans="3:4" x14ac:dyDescent="0.25">
      <c r="C990" s="180"/>
      <c r="D990" s="180"/>
    </row>
    <row r="991" spans="3:4" x14ac:dyDescent="0.25">
      <c r="C991" s="180"/>
      <c r="D991" s="180"/>
    </row>
    <row r="992" spans="3:4" x14ac:dyDescent="0.25">
      <c r="C992" s="180"/>
      <c r="D992" s="180"/>
    </row>
    <row r="993" spans="3:4" x14ac:dyDescent="0.25">
      <c r="C993" s="180"/>
      <c r="D993" s="180"/>
    </row>
    <row r="994" spans="3:4" x14ac:dyDescent="0.25">
      <c r="C994" s="180"/>
      <c r="D994" s="180"/>
    </row>
    <row r="995" spans="3:4" x14ac:dyDescent="0.25">
      <c r="C995" s="180"/>
      <c r="D995" s="180"/>
    </row>
    <row r="996" spans="3:4" x14ac:dyDescent="0.25">
      <c r="C996" s="180"/>
      <c r="D996" s="180"/>
    </row>
    <row r="997" spans="3:4" x14ac:dyDescent="0.25">
      <c r="C997" s="180"/>
      <c r="D997" s="180"/>
    </row>
    <row r="998" spans="3:4" x14ac:dyDescent="0.25">
      <c r="C998" s="180"/>
      <c r="D998" s="180"/>
    </row>
    <row r="999" spans="3:4" x14ac:dyDescent="0.25">
      <c r="C999" s="180"/>
      <c r="D999" s="180"/>
    </row>
    <row r="1000" spans="3:4" x14ac:dyDescent="0.25">
      <c r="C1000" s="180"/>
      <c r="D1000" s="180"/>
    </row>
    <row r="1001" spans="3:4" x14ac:dyDescent="0.25">
      <c r="C1001" s="180"/>
      <c r="D1001" s="180"/>
    </row>
    <row r="1002" spans="3:4" x14ac:dyDescent="0.25">
      <c r="C1002" s="180"/>
      <c r="D1002" s="180"/>
    </row>
    <row r="1003" spans="3:4" x14ac:dyDescent="0.25">
      <c r="C1003" s="180"/>
      <c r="D1003" s="180"/>
    </row>
    <row r="1004" spans="3:4" x14ac:dyDescent="0.25">
      <c r="C1004" s="180"/>
      <c r="D1004" s="180"/>
    </row>
    <row r="1005" spans="3:4" x14ac:dyDescent="0.25">
      <c r="C1005" s="180"/>
      <c r="D1005" s="180"/>
    </row>
    <row r="1006" spans="3:4" x14ac:dyDescent="0.25">
      <c r="C1006" s="180"/>
      <c r="D1006" s="180"/>
    </row>
    <row r="1007" spans="3:4" x14ac:dyDescent="0.25">
      <c r="C1007" s="180"/>
      <c r="D1007" s="180"/>
    </row>
    <row r="1008" spans="3:4" x14ac:dyDescent="0.25">
      <c r="C1008" s="180"/>
      <c r="D1008" s="180"/>
    </row>
    <row r="1009" spans="3:4" x14ac:dyDescent="0.25">
      <c r="C1009" s="180"/>
      <c r="D1009" s="180"/>
    </row>
    <row r="1010" spans="3:4" x14ac:dyDescent="0.25">
      <c r="C1010" s="180"/>
      <c r="D1010" s="180"/>
    </row>
    <row r="1011" spans="3:4" x14ac:dyDescent="0.25">
      <c r="C1011" s="180"/>
      <c r="D1011" s="180"/>
    </row>
    <row r="1012" spans="3:4" x14ac:dyDescent="0.25">
      <c r="C1012" s="180"/>
      <c r="D1012" s="180"/>
    </row>
    <row r="1013" spans="3:4" x14ac:dyDescent="0.25">
      <c r="C1013" s="180"/>
      <c r="D1013" s="180"/>
    </row>
    <row r="1014" spans="3:4" x14ac:dyDescent="0.25">
      <c r="C1014" s="180"/>
      <c r="D1014" s="180"/>
    </row>
    <row r="1015" spans="3:4" x14ac:dyDescent="0.25">
      <c r="C1015" s="180"/>
      <c r="D1015" s="180"/>
    </row>
    <row r="1016" spans="3:4" x14ac:dyDescent="0.25">
      <c r="C1016" s="180"/>
      <c r="D1016" s="180"/>
    </row>
    <row r="1017" spans="3:4" x14ac:dyDescent="0.25">
      <c r="C1017" s="180"/>
      <c r="D1017" s="180"/>
    </row>
    <row r="1018" spans="3:4" x14ac:dyDescent="0.25">
      <c r="C1018" s="180"/>
      <c r="D1018" s="180"/>
    </row>
    <row r="1019" spans="3:4" x14ac:dyDescent="0.25">
      <c r="C1019" s="180"/>
      <c r="D1019" s="180"/>
    </row>
    <row r="1020" spans="3:4" x14ac:dyDescent="0.25">
      <c r="C1020" s="180"/>
      <c r="D1020" s="180"/>
    </row>
    <row r="1021" spans="3:4" x14ac:dyDescent="0.25">
      <c r="C1021" s="180"/>
      <c r="D1021" s="180"/>
    </row>
    <row r="1022" spans="3:4" x14ac:dyDescent="0.25">
      <c r="C1022" s="180"/>
      <c r="D1022" s="180"/>
    </row>
    <row r="1023" spans="3:4" x14ac:dyDescent="0.25">
      <c r="C1023" s="180"/>
      <c r="D1023" s="180"/>
    </row>
    <row r="1024" spans="3:4" x14ac:dyDescent="0.25">
      <c r="C1024" s="180"/>
      <c r="D1024" s="180"/>
    </row>
    <row r="1025" spans="3:4" x14ac:dyDescent="0.25">
      <c r="C1025" s="180"/>
      <c r="D1025" s="180"/>
    </row>
    <row r="1026" spans="3:4" x14ac:dyDescent="0.25">
      <c r="C1026" s="180"/>
      <c r="D1026" s="180"/>
    </row>
    <row r="1027" spans="3:4" x14ac:dyDescent="0.25">
      <c r="C1027" s="180"/>
      <c r="D1027" s="180"/>
    </row>
    <row r="1028" spans="3:4" x14ac:dyDescent="0.25">
      <c r="C1028" s="180"/>
      <c r="D1028" s="180"/>
    </row>
    <row r="1029" spans="3:4" x14ac:dyDescent="0.25">
      <c r="C1029" s="180"/>
      <c r="D1029" s="180"/>
    </row>
    <row r="1030" spans="3:4" x14ac:dyDescent="0.25">
      <c r="C1030" s="180"/>
      <c r="D1030" s="180"/>
    </row>
    <row r="1031" spans="3:4" x14ac:dyDescent="0.25">
      <c r="C1031" s="180"/>
      <c r="D1031" s="180"/>
    </row>
    <row r="1032" spans="3:4" x14ac:dyDescent="0.25">
      <c r="C1032" s="180"/>
      <c r="D1032" s="180"/>
    </row>
    <row r="1033" spans="3:4" x14ac:dyDescent="0.25">
      <c r="C1033" s="180"/>
      <c r="D1033" s="180"/>
    </row>
    <row r="1034" spans="3:4" x14ac:dyDescent="0.25">
      <c r="C1034" s="180"/>
      <c r="D1034" s="180"/>
    </row>
    <row r="1035" spans="3:4" x14ac:dyDescent="0.25">
      <c r="C1035" s="180"/>
      <c r="D1035" s="180"/>
    </row>
    <row r="1036" spans="3:4" x14ac:dyDescent="0.25">
      <c r="C1036" s="180"/>
      <c r="D1036" s="180"/>
    </row>
    <row r="1037" spans="3:4" x14ac:dyDescent="0.25">
      <c r="C1037" s="180"/>
      <c r="D1037" s="180"/>
    </row>
    <row r="1038" spans="3:4" x14ac:dyDescent="0.25">
      <c r="C1038" s="180"/>
      <c r="D1038" s="180"/>
    </row>
    <row r="1039" spans="3:4" x14ac:dyDescent="0.25">
      <c r="C1039" s="180"/>
      <c r="D1039" s="180"/>
    </row>
    <row r="1040" spans="3:4" x14ac:dyDescent="0.25">
      <c r="C1040" s="180"/>
      <c r="D1040" s="180"/>
    </row>
    <row r="1041" spans="3:4" x14ac:dyDescent="0.25">
      <c r="C1041" s="180"/>
      <c r="D1041" s="180"/>
    </row>
    <row r="1042" spans="3:4" x14ac:dyDescent="0.25">
      <c r="C1042" s="180"/>
      <c r="D1042" s="180"/>
    </row>
    <row r="1043" spans="3:4" x14ac:dyDescent="0.25">
      <c r="C1043" s="180"/>
      <c r="D1043" s="180"/>
    </row>
    <row r="1044" spans="3:4" x14ac:dyDescent="0.25">
      <c r="C1044" s="180"/>
      <c r="D1044" s="180"/>
    </row>
    <row r="1045" spans="3:4" x14ac:dyDescent="0.25">
      <c r="C1045" s="180"/>
      <c r="D1045" s="180"/>
    </row>
    <row r="1046" spans="3:4" x14ac:dyDescent="0.25">
      <c r="C1046" s="180"/>
      <c r="D1046" s="180"/>
    </row>
    <row r="1047" spans="3:4" x14ac:dyDescent="0.25">
      <c r="C1047" s="180"/>
      <c r="D1047" s="180"/>
    </row>
    <row r="1048" spans="3:4" x14ac:dyDescent="0.25">
      <c r="C1048" s="180"/>
      <c r="D1048" s="180"/>
    </row>
    <row r="1049" spans="3:4" x14ac:dyDescent="0.25">
      <c r="C1049" s="180"/>
      <c r="D1049" s="180"/>
    </row>
    <row r="1050" spans="3:4" x14ac:dyDescent="0.25">
      <c r="C1050" s="180"/>
      <c r="D1050" s="180"/>
    </row>
    <row r="1051" spans="3:4" x14ac:dyDescent="0.25">
      <c r="C1051" s="180"/>
      <c r="D1051" s="180"/>
    </row>
    <row r="1052" spans="3:4" x14ac:dyDescent="0.25">
      <c r="C1052" s="180"/>
      <c r="D1052" s="180"/>
    </row>
    <row r="1053" spans="3:4" x14ac:dyDescent="0.25">
      <c r="C1053" s="180"/>
      <c r="D1053" s="180"/>
    </row>
    <row r="1054" spans="3:4" x14ac:dyDescent="0.25">
      <c r="C1054" s="180"/>
      <c r="D1054" s="180"/>
    </row>
    <row r="1055" spans="3:4" x14ac:dyDescent="0.25">
      <c r="C1055" s="180"/>
      <c r="D1055" s="180"/>
    </row>
    <row r="1056" spans="3:4" x14ac:dyDescent="0.25">
      <c r="C1056" s="180"/>
      <c r="D1056" s="180"/>
    </row>
    <row r="1057" spans="3:4" x14ac:dyDescent="0.25">
      <c r="C1057" s="180"/>
      <c r="D1057" s="180"/>
    </row>
    <row r="1058" spans="3:4" x14ac:dyDescent="0.25">
      <c r="C1058" s="180"/>
      <c r="D1058" s="180"/>
    </row>
    <row r="1059" spans="3:4" x14ac:dyDescent="0.25">
      <c r="C1059" s="180"/>
      <c r="D1059" s="180"/>
    </row>
    <row r="1060" spans="3:4" x14ac:dyDescent="0.25">
      <c r="C1060" s="180"/>
      <c r="D1060" s="180"/>
    </row>
    <row r="1061" spans="3:4" x14ac:dyDescent="0.25">
      <c r="C1061" s="180"/>
      <c r="D1061" s="180"/>
    </row>
    <row r="1062" spans="3:4" x14ac:dyDescent="0.25">
      <c r="C1062" s="180"/>
      <c r="D1062" s="180"/>
    </row>
    <row r="1063" spans="3:4" x14ac:dyDescent="0.25">
      <c r="C1063" s="180"/>
      <c r="D1063" s="180"/>
    </row>
    <row r="1064" spans="3:4" x14ac:dyDescent="0.25">
      <c r="C1064" s="180"/>
      <c r="D1064" s="180"/>
    </row>
    <row r="1065" spans="3:4" x14ac:dyDescent="0.25">
      <c r="C1065" s="180"/>
      <c r="D1065" s="180"/>
    </row>
    <row r="1066" spans="3:4" x14ac:dyDescent="0.25">
      <c r="C1066" s="180"/>
      <c r="D1066" s="180"/>
    </row>
    <row r="1067" spans="3:4" x14ac:dyDescent="0.25">
      <c r="C1067" s="180"/>
      <c r="D1067" s="180"/>
    </row>
    <row r="1068" spans="3:4" x14ac:dyDescent="0.25">
      <c r="C1068" s="180"/>
      <c r="D1068" s="180"/>
    </row>
    <row r="1069" spans="3:4" x14ac:dyDescent="0.25">
      <c r="C1069" s="180"/>
      <c r="D1069" s="180"/>
    </row>
    <row r="1070" spans="3:4" x14ac:dyDescent="0.25">
      <c r="C1070" s="180"/>
      <c r="D1070" s="180"/>
    </row>
    <row r="1071" spans="3:4" x14ac:dyDescent="0.25">
      <c r="C1071" s="180"/>
      <c r="D1071" s="180"/>
    </row>
    <row r="1072" spans="3:4" x14ac:dyDescent="0.25">
      <c r="C1072" s="180"/>
      <c r="D1072" s="180"/>
    </row>
    <row r="1073" spans="3:4" x14ac:dyDescent="0.25">
      <c r="C1073" s="180"/>
      <c r="D1073" s="180"/>
    </row>
    <row r="1074" spans="3:4" x14ac:dyDescent="0.25">
      <c r="C1074" s="180"/>
      <c r="D1074" s="180"/>
    </row>
    <row r="1075" spans="3:4" x14ac:dyDescent="0.25">
      <c r="C1075" s="180"/>
      <c r="D1075" s="180"/>
    </row>
    <row r="1076" spans="3:4" x14ac:dyDescent="0.25">
      <c r="C1076" s="180"/>
      <c r="D1076" s="180"/>
    </row>
    <row r="1077" spans="3:4" x14ac:dyDescent="0.25">
      <c r="C1077" s="180"/>
      <c r="D1077" s="180"/>
    </row>
    <row r="1078" spans="3:4" x14ac:dyDescent="0.25">
      <c r="C1078" s="180"/>
      <c r="D1078" s="180"/>
    </row>
    <row r="1079" spans="3:4" x14ac:dyDescent="0.25">
      <c r="C1079" s="180"/>
      <c r="D1079" s="180"/>
    </row>
    <row r="1080" spans="3:4" x14ac:dyDescent="0.25">
      <c r="C1080" s="180"/>
      <c r="D1080" s="180"/>
    </row>
    <row r="1081" spans="3:4" x14ac:dyDescent="0.25">
      <c r="C1081" s="180"/>
      <c r="D1081" s="180"/>
    </row>
    <row r="1082" spans="3:4" x14ac:dyDescent="0.25">
      <c r="C1082" s="180"/>
      <c r="D1082" s="180"/>
    </row>
    <row r="1083" spans="3:4" x14ac:dyDescent="0.25">
      <c r="C1083" s="180"/>
      <c r="D1083" s="180"/>
    </row>
    <row r="1084" spans="3:4" x14ac:dyDescent="0.25">
      <c r="C1084" s="180"/>
      <c r="D1084" s="180"/>
    </row>
    <row r="1085" spans="3:4" x14ac:dyDescent="0.25">
      <c r="C1085" s="180"/>
      <c r="D1085" s="180"/>
    </row>
    <row r="1086" spans="3:4" x14ac:dyDescent="0.25">
      <c r="C1086" s="180"/>
      <c r="D1086" s="180"/>
    </row>
    <row r="1087" spans="3:4" x14ac:dyDescent="0.25">
      <c r="C1087" s="180"/>
      <c r="D1087" s="180"/>
    </row>
    <row r="1088" spans="3:4" x14ac:dyDescent="0.25">
      <c r="C1088" s="180"/>
      <c r="D1088" s="180"/>
    </row>
    <row r="1089" spans="3:4" x14ac:dyDescent="0.25">
      <c r="C1089" s="180"/>
      <c r="D1089" s="180"/>
    </row>
    <row r="1090" spans="3:4" x14ac:dyDescent="0.25">
      <c r="C1090" s="180"/>
      <c r="D1090" s="180"/>
    </row>
    <row r="1091" spans="3:4" x14ac:dyDescent="0.25">
      <c r="C1091" s="180"/>
      <c r="D1091" s="180"/>
    </row>
    <row r="1092" spans="3:4" x14ac:dyDescent="0.25">
      <c r="C1092" s="180"/>
      <c r="D1092" s="180"/>
    </row>
    <row r="1093" spans="3:4" x14ac:dyDescent="0.25">
      <c r="C1093" s="180"/>
      <c r="D1093" s="180"/>
    </row>
    <row r="1094" spans="3:4" x14ac:dyDescent="0.25">
      <c r="C1094" s="180"/>
      <c r="D1094" s="180"/>
    </row>
    <row r="1095" spans="3:4" x14ac:dyDescent="0.25">
      <c r="C1095" s="180"/>
      <c r="D1095" s="180"/>
    </row>
    <row r="1096" spans="3:4" x14ac:dyDescent="0.25">
      <c r="C1096" s="180"/>
      <c r="D1096" s="180"/>
    </row>
    <row r="1097" spans="3:4" x14ac:dyDescent="0.25">
      <c r="C1097" s="180"/>
      <c r="D1097" s="180"/>
    </row>
    <row r="1098" spans="3:4" x14ac:dyDescent="0.25">
      <c r="C1098" s="180"/>
      <c r="D1098" s="180"/>
    </row>
    <row r="1099" spans="3:4" x14ac:dyDescent="0.25">
      <c r="C1099" s="180"/>
      <c r="D1099" s="180"/>
    </row>
    <row r="1100" spans="3:4" x14ac:dyDescent="0.25">
      <c r="C1100" s="180"/>
      <c r="D1100" s="180"/>
    </row>
    <row r="1101" spans="3:4" x14ac:dyDescent="0.25">
      <c r="C1101" s="180"/>
      <c r="D1101" s="180"/>
    </row>
    <row r="1102" spans="3:4" x14ac:dyDescent="0.25">
      <c r="C1102" s="180"/>
      <c r="D1102" s="180"/>
    </row>
    <row r="1103" spans="3:4" x14ac:dyDescent="0.25">
      <c r="C1103" s="180"/>
      <c r="D1103" s="180"/>
    </row>
    <row r="1104" spans="3:4" x14ac:dyDescent="0.25">
      <c r="C1104" s="180"/>
      <c r="D1104" s="180"/>
    </row>
    <row r="1105" spans="3:4" x14ac:dyDescent="0.25">
      <c r="C1105" s="180"/>
      <c r="D1105" s="180"/>
    </row>
    <row r="1106" spans="3:4" x14ac:dyDescent="0.25">
      <c r="C1106" s="180"/>
      <c r="D1106" s="180"/>
    </row>
    <row r="1107" spans="3:4" x14ac:dyDescent="0.25">
      <c r="C1107" s="180"/>
      <c r="D1107" s="180"/>
    </row>
    <row r="1108" spans="3:4" x14ac:dyDescent="0.25">
      <c r="C1108" s="180"/>
      <c r="D1108" s="180"/>
    </row>
    <row r="1109" spans="3:4" x14ac:dyDescent="0.25">
      <c r="C1109" s="180"/>
      <c r="D1109" s="180"/>
    </row>
    <row r="1110" spans="3:4" x14ac:dyDescent="0.25">
      <c r="C1110" s="180"/>
      <c r="D1110" s="180"/>
    </row>
    <row r="1111" spans="3:4" x14ac:dyDescent="0.25">
      <c r="C1111" s="180"/>
      <c r="D1111" s="180"/>
    </row>
    <row r="1112" spans="3:4" x14ac:dyDescent="0.25">
      <c r="C1112" s="180"/>
      <c r="D1112" s="180"/>
    </row>
    <row r="1113" spans="3:4" x14ac:dyDescent="0.25">
      <c r="C1113" s="180"/>
      <c r="D1113" s="180"/>
    </row>
    <row r="1114" spans="3:4" x14ac:dyDescent="0.25">
      <c r="C1114" s="180"/>
      <c r="D1114" s="180"/>
    </row>
    <row r="1115" spans="3:4" x14ac:dyDescent="0.25">
      <c r="C1115" s="180"/>
      <c r="D1115" s="180"/>
    </row>
    <row r="1116" spans="3:4" x14ac:dyDescent="0.25">
      <c r="C1116" s="180"/>
      <c r="D1116" s="180"/>
    </row>
    <row r="1117" spans="3:4" x14ac:dyDescent="0.25">
      <c r="C1117" s="180"/>
      <c r="D1117" s="180"/>
    </row>
    <row r="1118" spans="3:4" x14ac:dyDescent="0.25">
      <c r="C1118" s="180"/>
      <c r="D1118" s="180"/>
    </row>
    <row r="1119" spans="3:4" x14ac:dyDescent="0.25">
      <c r="C1119" s="180"/>
      <c r="D1119" s="180"/>
    </row>
    <row r="1120" spans="3:4" x14ac:dyDescent="0.25">
      <c r="C1120" s="180"/>
      <c r="D1120" s="180"/>
    </row>
    <row r="1121" spans="3:4" x14ac:dyDescent="0.25">
      <c r="C1121" s="180"/>
      <c r="D1121" s="180"/>
    </row>
    <row r="1122" spans="3:4" x14ac:dyDescent="0.25">
      <c r="C1122" s="180"/>
      <c r="D1122" s="180"/>
    </row>
    <row r="1123" spans="3:4" x14ac:dyDescent="0.25">
      <c r="C1123" s="180"/>
      <c r="D1123" s="180"/>
    </row>
    <row r="1124" spans="3:4" x14ac:dyDescent="0.25">
      <c r="C1124" s="180"/>
      <c r="D1124" s="180"/>
    </row>
    <row r="1125" spans="3:4" x14ac:dyDescent="0.25">
      <c r="C1125" s="180"/>
      <c r="D1125" s="180"/>
    </row>
    <row r="1126" spans="3:4" x14ac:dyDescent="0.25">
      <c r="C1126" s="180"/>
      <c r="D1126" s="180"/>
    </row>
    <row r="1127" spans="3:4" x14ac:dyDescent="0.25">
      <c r="C1127" s="180"/>
      <c r="D1127" s="180"/>
    </row>
    <row r="1128" spans="3:4" x14ac:dyDescent="0.25">
      <c r="C1128" s="180"/>
      <c r="D1128" s="180"/>
    </row>
    <row r="1129" spans="3:4" x14ac:dyDescent="0.25">
      <c r="C1129" s="180"/>
      <c r="D1129" s="180"/>
    </row>
    <row r="1130" spans="3:4" x14ac:dyDescent="0.25">
      <c r="C1130" s="180"/>
      <c r="D1130" s="180"/>
    </row>
    <row r="1131" spans="3:4" x14ac:dyDescent="0.25">
      <c r="C1131" s="180"/>
      <c r="D1131" s="180"/>
    </row>
    <row r="1132" spans="3:4" x14ac:dyDescent="0.25">
      <c r="C1132" s="180"/>
      <c r="D1132" s="180"/>
    </row>
    <row r="1133" spans="3:4" x14ac:dyDescent="0.25">
      <c r="C1133" s="180"/>
      <c r="D1133" s="180"/>
    </row>
    <row r="1134" spans="3:4" x14ac:dyDescent="0.25">
      <c r="C1134" s="180"/>
      <c r="D1134" s="180"/>
    </row>
    <row r="1135" spans="3:4" x14ac:dyDescent="0.25">
      <c r="C1135" s="180"/>
      <c r="D1135" s="180"/>
    </row>
    <row r="1136" spans="3:4" x14ac:dyDescent="0.25">
      <c r="C1136" s="180"/>
      <c r="D1136" s="180"/>
    </row>
    <row r="1137" spans="3:4" x14ac:dyDescent="0.25">
      <c r="C1137" s="180"/>
      <c r="D1137" s="180"/>
    </row>
    <row r="1138" spans="3:4" x14ac:dyDescent="0.25">
      <c r="C1138" s="180"/>
      <c r="D1138" s="180"/>
    </row>
    <row r="1139" spans="3:4" x14ac:dyDescent="0.25">
      <c r="C1139" s="180"/>
      <c r="D1139" s="180"/>
    </row>
    <row r="1140" spans="3:4" x14ac:dyDescent="0.25">
      <c r="C1140" s="180"/>
      <c r="D1140" s="180"/>
    </row>
    <row r="1141" spans="3:4" x14ac:dyDescent="0.25">
      <c r="C1141" s="180"/>
      <c r="D1141" s="180"/>
    </row>
    <row r="1142" spans="3:4" x14ac:dyDescent="0.25">
      <c r="C1142" s="180"/>
      <c r="D1142" s="180"/>
    </row>
    <row r="1143" spans="3:4" x14ac:dyDescent="0.25">
      <c r="C1143" s="180"/>
      <c r="D1143" s="180"/>
    </row>
    <row r="1144" spans="3:4" x14ac:dyDescent="0.25">
      <c r="C1144" s="180"/>
      <c r="D1144" s="180"/>
    </row>
    <row r="1145" spans="3:4" x14ac:dyDescent="0.25">
      <c r="C1145" s="180"/>
      <c r="D1145" s="180"/>
    </row>
    <row r="1146" spans="3:4" x14ac:dyDescent="0.25">
      <c r="C1146" s="180"/>
      <c r="D1146" s="180"/>
    </row>
    <row r="1147" spans="3:4" x14ac:dyDescent="0.25">
      <c r="C1147" s="180"/>
      <c r="D1147" s="180"/>
    </row>
    <row r="1148" spans="3:4" x14ac:dyDescent="0.25">
      <c r="C1148" s="180"/>
      <c r="D1148" s="180"/>
    </row>
    <row r="1149" spans="3:4" x14ac:dyDescent="0.25">
      <c r="C1149" s="180"/>
      <c r="D1149" s="180"/>
    </row>
    <row r="1150" spans="3:4" x14ac:dyDescent="0.25">
      <c r="C1150" s="180"/>
      <c r="D1150" s="180"/>
    </row>
    <row r="1151" spans="3:4" x14ac:dyDescent="0.25">
      <c r="C1151" s="180"/>
      <c r="D1151" s="180"/>
    </row>
    <row r="1152" spans="3:4" x14ac:dyDescent="0.25">
      <c r="C1152" s="180"/>
      <c r="D1152" s="180"/>
    </row>
    <row r="1153" spans="3:4" x14ac:dyDescent="0.25">
      <c r="C1153" s="180"/>
      <c r="D1153" s="180"/>
    </row>
    <row r="1154" spans="3:4" x14ac:dyDescent="0.25">
      <c r="C1154" s="180"/>
      <c r="D1154" s="180"/>
    </row>
    <row r="1155" spans="3:4" x14ac:dyDescent="0.25">
      <c r="C1155" s="180"/>
      <c r="D1155" s="180"/>
    </row>
    <row r="1156" spans="3:4" x14ac:dyDescent="0.25">
      <c r="C1156" s="180"/>
      <c r="D1156" s="180"/>
    </row>
    <row r="1157" spans="3:4" x14ac:dyDescent="0.25">
      <c r="C1157" s="180"/>
      <c r="D1157" s="180"/>
    </row>
    <row r="1158" spans="3:4" x14ac:dyDescent="0.25">
      <c r="C1158" s="180"/>
      <c r="D1158" s="180"/>
    </row>
    <row r="1159" spans="3:4" x14ac:dyDescent="0.25">
      <c r="C1159" s="180"/>
      <c r="D1159" s="180"/>
    </row>
    <row r="1160" spans="3:4" x14ac:dyDescent="0.25">
      <c r="C1160" s="180"/>
      <c r="D1160" s="180"/>
    </row>
    <row r="1161" spans="3:4" x14ac:dyDescent="0.25">
      <c r="C1161" s="180"/>
      <c r="D1161" s="180"/>
    </row>
    <row r="1162" spans="3:4" x14ac:dyDescent="0.25">
      <c r="C1162" s="180"/>
      <c r="D1162" s="180"/>
    </row>
  </sheetData>
  <sheetProtection password="EFD2" sheet="1" objects="1" scenarios="1" selectLockedCells="1"/>
  <conditionalFormatting sqref="B7">
    <cfRule type="cellIs" dxfId="392" priority="73" operator="equal">
      <formula>TRUE</formula>
    </cfRule>
  </conditionalFormatting>
  <conditionalFormatting sqref="G3:K3">
    <cfRule type="cellIs" dxfId="391" priority="75" operator="equal">
      <formula>1</formula>
    </cfRule>
  </conditionalFormatting>
  <conditionalFormatting sqref="G7:K7">
    <cfRule type="cellIs" dxfId="390" priority="76" operator="equal">
      <formula>"ABS"</formula>
    </cfRule>
    <cfRule type="cellIs" dxfId="389" priority="77" operator="equal">
      <formula>"EXC"</formula>
    </cfRule>
  </conditionalFormatting>
  <conditionalFormatting sqref="G7">
    <cfRule type="cellIs" dxfId="388" priority="87" operator="greaterThan">
      <formula>$G$2</formula>
    </cfRule>
  </conditionalFormatting>
  <conditionalFormatting sqref="H7">
    <cfRule type="cellIs" dxfId="387" priority="86" operator="greaterThan">
      <formula>$H$2</formula>
    </cfRule>
  </conditionalFormatting>
  <conditionalFormatting sqref="I7">
    <cfRule type="cellIs" dxfId="386" priority="85" operator="greaterThan">
      <formula>$I$2</formula>
    </cfRule>
  </conditionalFormatting>
  <conditionalFormatting sqref="J7">
    <cfRule type="cellIs" dxfId="385" priority="84" operator="greaterThan">
      <formula>$J$2</formula>
    </cfRule>
  </conditionalFormatting>
  <conditionalFormatting sqref="K7">
    <cfRule type="cellIs" dxfId="384" priority="78" operator="greaterThan">
      <formula>$K$2</formula>
    </cfRule>
  </conditionalFormatting>
  <conditionalFormatting sqref="B8">
    <cfRule type="cellIs" dxfId="383" priority="65" operator="equal">
      <formula>TRUE</formula>
    </cfRule>
  </conditionalFormatting>
  <conditionalFormatting sqref="G8:K8">
    <cfRule type="cellIs" dxfId="382" priority="66" operator="equal">
      <formula>"ABS"</formula>
    </cfRule>
    <cfRule type="cellIs" dxfId="381" priority="67" operator="equal">
      <formula>"EXC"</formula>
    </cfRule>
  </conditionalFormatting>
  <conditionalFormatting sqref="G8">
    <cfRule type="cellIs" dxfId="380" priority="72" operator="greaterThan">
      <formula>$G$2</formula>
    </cfRule>
  </conditionalFormatting>
  <conditionalFormatting sqref="H8">
    <cfRule type="cellIs" dxfId="379" priority="71" operator="greaterThan">
      <formula>$H$2</formula>
    </cfRule>
  </conditionalFormatting>
  <conditionalFormatting sqref="I8">
    <cfRule type="cellIs" dxfId="378" priority="70" operator="greaterThan">
      <formula>$I$2</formula>
    </cfRule>
  </conditionalFormatting>
  <conditionalFormatting sqref="J8">
    <cfRule type="cellIs" dxfId="377" priority="69" operator="greaterThan">
      <formula>$J$2</formula>
    </cfRule>
  </conditionalFormatting>
  <conditionalFormatting sqref="K8">
    <cfRule type="cellIs" dxfId="376" priority="68" operator="greaterThan">
      <formula>$K$2</formula>
    </cfRule>
  </conditionalFormatting>
  <conditionalFormatting sqref="B9">
    <cfRule type="cellIs" dxfId="375" priority="57" operator="equal">
      <formula>TRUE</formula>
    </cfRule>
  </conditionalFormatting>
  <conditionalFormatting sqref="G9:K9">
    <cfRule type="cellIs" dxfId="374" priority="58" operator="equal">
      <formula>"ABS"</formula>
    </cfRule>
    <cfRule type="cellIs" dxfId="373" priority="59" operator="equal">
      <formula>"EXC"</formula>
    </cfRule>
  </conditionalFormatting>
  <conditionalFormatting sqref="G9">
    <cfRule type="cellIs" dxfId="372" priority="64" operator="greaterThan">
      <formula>$G$2</formula>
    </cfRule>
  </conditionalFormatting>
  <conditionalFormatting sqref="H9">
    <cfRule type="cellIs" dxfId="371" priority="63" operator="greaterThan">
      <formula>$H$2</formula>
    </cfRule>
  </conditionalFormatting>
  <conditionalFormatting sqref="I9">
    <cfRule type="cellIs" dxfId="370" priority="62" operator="greaterThan">
      <formula>$I$2</formula>
    </cfRule>
  </conditionalFormatting>
  <conditionalFormatting sqref="J9">
    <cfRule type="cellIs" dxfId="369" priority="61" operator="greaterThan">
      <formula>$J$2</formula>
    </cfRule>
  </conditionalFormatting>
  <conditionalFormatting sqref="K9">
    <cfRule type="cellIs" dxfId="368" priority="60" operator="greaterThan">
      <formula>$K$2</formula>
    </cfRule>
  </conditionalFormatting>
  <conditionalFormatting sqref="B10">
    <cfRule type="cellIs" dxfId="367" priority="49" operator="equal">
      <formula>TRUE</formula>
    </cfRule>
  </conditionalFormatting>
  <conditionalFormatting sqref="G10:K10">
    <cfRule type="cellIs" dxfId="366" priority="50" operator="equal">
      <formula>"ABS"</formula>
    </cfRule>
    <cfRule type="cellIs" dxfId="365" priority="51" operator="equal">
      <formula>"EXC"</formula>
    </cfRule>
  </conditionalFormatting>
  <conditionalFormatting sqref="G10">
    <cfRule type="cellIs" dxfId="364" priority="56" operator="greaterThan">
      <formula>$G$2</formula>
    </cfRule>
  </conditionalFormatting>
  <conditionalFormatting sqref="H10">
    <cfRule type="cellIs" dxfId="363" priority="55" operator="greaterThan">
      <formula>$H$2</formula>
    </cfRule>
  </conditionalFormatting>
  <conditionalFormatting sqref="I10">
    <cfRule type="cellIs" dxfId="362" priority="54" operator="greaterThan">
      <formula>$I$2</formula>
    </cfRule>
  </conditionalFormatting>
  <conditionalFormatting sqref="J10">
    <cfRule type="cellIs" dxfId="361" priority="53" operator="greaterThan">
      <formula>$J$2</formula>
    </cfRule>
  </conditionalFormatting>
  <conditionalFormatting sqref="K10">
    <cfRule type="cellIs" dxfId="360" priority="52" operator="greaterThan">
      <formula>$K$2</formula>
    </cfRule>
  </conditionalFormatting>
  <conditionalFormatting sqref="B11">
    <cfRule type="cellIs" dxfId="359" priority="41" operator="equal">
      <formula>TRUE</formula>
    </cfRule>
  </conditionalFormatting>
  <conditionalFormatting sqref="G11:K11">
    <cfRule type="cellIs" dxfId="358" priority="42" operator="equal">
      <formula>"ABS"</formula>
    </cfRule>
    <cfRule type="cellIs" dxfId="357" priority="43" operator="equal">
      <formula>"EXC"</formula>
    </cfRule>
  </conditionalFormatting>
  <conditionalFormatting sqref="G11">
    <cfRule type="cellIs" dxfId="356" priority="48" operator="greaterThan">
      <formula>$G$2</formula>
    </cfRule>
  </conditionalFormatting>
  <conditionalFormatting sqref="H11">
    <cfRule type="cellIs" dxfId="355" priority="47" operator="greaterThan">
      <formula>$H$2</formula>
    </cfRule>
  </conditionalFormatting>
  <conditionalFormatting sqref="I11">
    <cfRule type="cellIs" dxfId="354" priority="46" operator="greaterThan">
      <formula>$I$2</formula>
    </cfRule>
  </conditionalFormatting>
  <conditionalFormatting sqref="J11">
    <cfRule type="cellIs" dxfId="353" priority="45" operator="greaterThan">
      <formula>$J$2</formula>
    </cfRule>
  </conditionalFormatting>
  <conditionalFormatting sqref="K11">
    <cfRule type="cellIs" dxfId="352" priority="44" operator="greaterThan">
      <formula>$K$2</formula>
    </cfRule>
  </conditionalFormatting>
  <conditionalFormatting sqref="B12">
    <cfRule type="cellIs" dxfId="351" priority="33" operator="equal">
      <formula>TRUE</formula>
    </cfRule>
  </conditionalFormatting>
  <conditionalFormatting sqref="G12:K12">
    <cfRule type="cellIs" dxfId="350" priority="34" operator="equal">
      <formula>"ABS"</formula>
    </cfRule>
    <cfRule type="cellIs" dxfId="349" priority="35" operator="equal">
      <formula>"EXC"</formula>
    </cfRule>
  </conditionalFormatting>
  <conditionalFormatting sqref="G12">
    <cfRule type="cellIs" dxfId="348" priority="40" operator="greaterThan">
      <formula>$G$2</formula>
    </cfRule>
  </conditionalFormatting>
  <conditionalFormatting sqref="H12">
    <cfRule type="cellIs" dxfId="347" priority="39" operator="greaterThan">
      <formula>$H$2</formula>
    </cfRule>
  </conditionalFormatting>
  <conditionalFormatting sqref="I12">
    <cfRule type="cellIs" dxfId="346" priority="38" operator="greaterThan">
      <formula>$I$2</formula>
    </cfRule>
  </conditionalFormatting>
  <conditionalFormatting sqref="J12">
    <cfRule type="cellIs" dxfId="345" priority="37" operator="greaterThan">
      <formula>$J$2</formula>
    </cfRule>
  </conditionalFormatting>
  <conditionalFormatting sqref="K12">
    <cfRule type="cellIs" dxfId="344" priority="36" operator="greaterThan">
      <formula>$K$2</formula>
    </cfRule>
  </conditionalFormatting>
  <conditionalFormatting sqref="B13">
    <cfRule type="cellIs" dxfId="343" priority="25" operator="equal">
      <formula>TRUE</formula>
    </cfRule>
  </conditionalFormatting>
  <conditionalFormatting sqref="G13:K13">
    <cfRule type="cellIs" dxfId="342" priority="26" operator="equal">
      <formula>"ABS"</formula>
    </cfRule>
    <cfRule type="cellIs" dxfId="341" priority="27" operator="equal">
      <formula>"EXC"</formula>
    </cfRule>
  </conditionalFormatting>
  <conditionalFormatting sqref="G13">
    <cfRule type="cellIs" dxfId="340" priority="32" operator="greaterThan">
      <formula>$G$2</formula>
    </cfRule>
  </conditionalFormatting>
  <conditionalFormatting sqref="H13">
    <cfRule type="cellIs" dxfId="339" priority="31" operator="greaterThan">
      <formula>$H$2</formula>
    </cfRule>
  </conditionalFormatting>
  <conditionalFormatting sqref="I13">
    <cfRule type="cellIs" dxfId="338" priority="30" operator="greaterThan">
      <formula>$I$2</formula>
    </cfRule>
  </conditionalFormatting>
  <conditionalFormatting sqref="J13">
    <cfRule type="cellIs" dxfId="337" priority="29" operator="greaterThan">
      <formula>$J$2</formula>
    </cfRule>
  </conditionalFormatting>
  <conditionalFormatting sqref="K13">
    <cfRule type="cellIs" dxfId="336" priority="28" operator="greaterThan">
      <formula>$K$2</formula>
    </cfRule>
  </conditionalFormatting>
  <conditionalFormatting sqref="B14">
    <cfRule type="cellIs" dxfId="335" priority="17" operator="equal">
      <formula>TRUE</formula>
    </cfRule>
  </conditionalFormatting>
  <conditionalFormatting sqref="G14:K14">
    <cfRule type="cellIs" dxfId="334" priority="18" operator="equal">
      <formula>"ABS"</formula>
    </cfRule>
    <cfRule type="cellIs" dxfId="333" priority="19" operator="equal">
      <formula>"EXC"</formula>
    </cfRule>
  </conditionalFormatting>
  <conditionalFormatting sqref="G14">
    <cfRule type="cellIs" dxfId="332" priority="24" operator="greaterThan">
      <formula>$G$2</formula>
    </cfRule>
  </conditionalFormatting>
  <conditionalFormatting sqref="H14">
    <cfRule type="cellIs" dxfId="331" priority="23" operator="greaterThan">
      <formula>$H$2</formula>
    </cfRule>
  </conditionalFormatting>
  <conditionalFormatting sqref="I14">
    <cfRule type="cellIs" dxfId="330" priority="22" operator="greaterThan">
      <formula>$I$2</formula>
    </cfRule>
  </conditionalFormatting>
  <conditionalFormatting sqref="J14">
    <cfRule type="cellIs" dxfId="329" priority="21" operator="greaterThan">
      <formula>$J$2</formula>
    </cfRule>
  </conditionalFormatting>
  <conditionalFormatting sqref="K14">
    <cfRule type="cellIs" dxfId="328" priority="20" operator="greaterThan">
      <formula>$K$2</formula>
    </cfRule>
  </conditionalFormatting>
  <conditionalFormatting sqref="B15">
    <cfRule type="cellIs" dxfId="327" priority="9" operator="equal">
      <formula>TRUE</formula>
    </cfRule>
  </conditionalFormatting>
  <conditionalFormatting sqref="G15:K15">
    <cfRule type="cellIs" dxfId="326" priority="10" operator="equal">
      <formula>"ABS"</formula>
    </cfRule>
    <cfRule type="cellIs" dxfId="325" priority="11" operator="equal">
      <formula>"EXC"</formula>
    </cfRule>
  </conditionalFormatting>
  <conditionalFormatting sqref="G15">
    <cfRule type="cellIs" dxfId="324" priority="16" operator="greaterThan">
      <formula>$G$2</formula>
    </cfRule>
  </conditionalFormatting>
  <conditionalFormatting sqref="H15">
    <cfRule type="cellIs" dxfId="323" priority="15" operator="greaterThan">
      <formula>$H$2</formula>
    </cfRule>
  </conditionalFormatting>
  <conditionalFormatting sqref="I15">
    <cfRule type="cellIs" dxfId="322" priority="14" operator="greaterThan">
      <formula>$I$2</formula>
    </cfRule>
  </conditionalFormatting>
  <conditionalFormatting sqref="J15">
    <cfRule type="cellIs" dxfId="321" priority="13" operator="greaterThan">
      <formula>$J$2</formula>
    </cfRule>
  </conditionalFormatting>
  <conditionalFormatting sqref="K15">
    <cfRule type="cellIs" dxfId="320" priority="12" operator="greaterThan">
      <formula>$K$2</formula>
    </cfRule>
  </conditionalFormatting>
  <conditionalFormatting sqref="B16">
    <cfRule type="cellIs" dxfId="319" priority="1" operator="equal">
      <formula>TRUE</formula>
    </cfRule>
  </conditionalFormatting>
  <conditionalFormatting sqref="G16:K16">
    <cfRule type="cellIs" dxfId="318" priority="2" operator="equal">
      <formula>"ABS"</formula>
    </cfRule>
    <cfRule type="cellIs" dxfId="317" priority="3" operator="equal">
      <formula>"EXC"</formula>
    </cfRule>
  </conditionalFormatting>
  <conditionalFormatting sqref="G16">
    <cfRule type="cellIs" dxfId="316" priority="8" operator="greaterThan">
      <formula>$G$2</formula>
    </cfRule>
  </conditionalFormatting>
  <conditionalFormatting sqref="H16">
    <cfRule type="cellIs" dxfId="315" priority="7" operator="greaterThan">
      <formula>$H$2</formula>
    </cfRule>
  </conditionalFormatting>
  <conditionalFormatting sqref="I16">
    <cfRule type="cellIs" dxfId="314" priority="6" operator="greaterThan">
      <formula>$I$2</formula>
    </cfRule>
  </conditionalFormatting>
  <conditionalFormatting sqref="J16">
    <cfRule type="cellIs" dxfId="313" priority="5" operator="greaterThan">
      <formula>$J$2</formula>
    </cfRule>
  </conditionalFormatting>
  <conditionalFormatting sqref="K16">
    <cfRule type="cellIs" dxfId="312" priority="4" operator="greaterThan">
      <formula>$K$2</formula>
    </cfRule>
  </conditionalFormatting>
  <pageMargins left="0.70866141732283472" right="0.70866141732283472" top="0.74803149606299213" bottom="0.74803149606299213" header="0.31496062992125984" footer="0.31496062992125984"/>
  <pageSetup paperSize="9" scale="62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Y162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6" sqref="E1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66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3:5" x14ac:dyDescent="0.25">
      <c r="C1137" s="180"/>
      <c r="D1137" s="180"/>
      <c r="E1137" s="144"/>
    </row>
    <row r="1138" spans="3:5" x14ac:dyDescent="0.25">
      <c r="C1138" s="180"/>
      <c r="D1138" s="180"/>
      <c r="E1138" s="144"/>
    </row>
    <row r="1139" spans="3:5" x14ac:dyDescent="0.25">
      <c r="C1139" s="180"/>
      <c r="D1139" s="180"/>
      <c r="E1139" s="144"/>
    </row>
    <row r="1140" spans="3:5" x14ac:dyDescent="0.25">
      <c r="C1140" s="180"/>
      <c r="D1140" s="180"/>
      <c r="E1140" s="144"/>
    </row>
    <row r="1141" spans="3:5" x14ac:dyDescent="0.25">
      <c r="C1141" s="180"/>
      <c r="D1141" s="180"/>
      <c r="E1141" s="144"/>
    </row>
    <row r="1142" spans="3:5" x14ac:dyDescent="0.25">
      <c r="C1142" s="180"/>
      <c r="D1142" s="180"/>
      <c r="E1142" s="144"/>
    </row>
    <row r="1143" spans="3:5" x14ac:dyDescent="0.25">
      <c r="C1143" s="180"/>
      <c r="D1143" s="180"/>
      <c r="E1143" s="144"/>
    </row>
    <row r="1144" spans="3:5" x14ac:dyDescent="0.25">
      <c r="C1144" s="180"/>
      <c r="D1144" s="180"/>
      <c r="E1144" s="144"/>
    </row>
    <row r="1145" spans="3:5" x14ac:dyDescent="0.25">
      <c r="C1145" s="180"/>
      <c r="D1145" s="180"/>
      <c r="E1145" s="144"/>
    </row>
    <row r="1146" spans="3:5" x14ac:dyDescent="0.25">
      <c r="C1146" s="180"/>
      <c r="D1146" s="180"/>
      <c r="E1146" s="144"/>
    </row>
    <row r="1147" spans="3:5" x14ac:dyDescent="0.25">
      <c r="C1147" s="180"/>
      <c r="D1147" s="180"/>
      <c r="E1147" s="144"/>
    </row>
    <row r="1148" spans="3:5" x14ac:dyDescent="0.25">
      <c r="C1148" s="180"/>
      <c r="D1148" s="180"/>
      <c r="E1148" s="144"/>
    </row>
    <row r="1149" spans="3:5" x14ac:dyDescent="0.25">
      <c r="C1149" s="180"/>
      <c r="D1149" s="180"/>
      <c r="E1149" s="144"/>
    </row>
    <row r="1150" spans="3:5" x14ac:dyDescent="0.25">
      <c r="C1150" s="180"/>
      <c r="D1150" s="180"/>
      <c r="E1150" s="144"/>
    </row>
    <row r="1151" spans="3:5" x14ac:dyDescent="0.25">
      <c r="C1151" s="180"/>
      <c r="D1151" s="180"/>
      <c r="E1151" s="144"/>
    </row>
    <row r="1152" spans="3:5" x14ac:dyDescent="0.25">
      <c r="C1152" s="180"/>
      <c r="D1152" s="180"/>
      <c r="E1152" s="144"/>
    </row>
    <row r="1153" spans="3:5" x14ac:dyDescent="0.25">
      <c r="C1153" s="180"/>
      <c r="D1153" s="180"/>
      <c r="E1153" s="144"/>
    </row>
    <row r="1154" spans="3:5" x14ac:dyDescent="0.25">
      <c r="C1154" s="180"/>
      <c r="D1154" s="180"/>
      <c r="E1154" s="144"/>
    </row>
    <row r="1155" spans="3:5" x14ac:dyDescent="0.25">
      <c r="C1155" s="180"/>
      <c r="D1155" s="180"/>
      <c r="E1155" s="144"/>
    </row>
    <row r="1156" spans="3:5" x14ac:dyDescent="0.25">
      <c r="C1156" s="180"/>
      <c r="D1156" s="180"/>
      <c r="E1156" s="144"/>
    </row>
    <row r="1157" spans="3:5" x14ac:dyDescent="0.25">
      <c r="C1157" s="180"/>
      <c r="D1157" s="180"/>
      <c r="E1157" s="144"/>
    </row>
    <row r="1158" spans="3:5" x14ac:dyDescent="0.25">
      <c r="C1158" s="180"/>
      <c r="D1158" s="180"/>
      <c r="E1158" s="144"/>
    </row>
    <row r="1159" spans="3:5" x14ac:dyDescent="0.25">
      <c r="E1159" s="144"/>
    </row>
    <row r="1160" spans="3:5" x14ac:dyDescent="0.25">
      <c r="E1160" s="144"/>
    </row>
    <row r="1161" spans="3:5" x14ac:dyDescent="0.25">
      <c r="E1161" s="144"/>
    </row>
    <row r="1162" spans="3:5" x14ac:dyDescent="0.25">
      <c r="E1162" s="144"/>
    </row>
    <row r="1163" spans="3:5" x14ac:dyDescent="0.25">
      <c r="E1163" s="144"/>
    </row>
    <row r="1164" spans="3:5" x14ac:dyDescent="0.25">
      <c r="E1164" s="144"/>
    </row>
    <row r="1165" spans="3:5" x14ac:dyDescent="0.25">
      <c r="E1165" s="144"/>
    </row>
    <row r="1166" spans="3:5" x14ac:dyDescent="0.25">
      <c r="E1166" s="144"/>
    </row>
    <row r="1167" spans="3:5" x14ac:dyDescent="0.25">
      <c r="E1167" s="144"/>
    </row>
    <row r="1168" spans="3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</sheetData>
  <sheetProtection password="EFD2" sheet="1" objects="1" scenarios="1" selectLockedCells="1"/>
  <conditionalFormatting sqref="E6:F6">
    <cfRule type="cellIs" dxfId="311" priority="38" operator="equal">
      <formula>"EXC"</formula>
    </cfRule>
    <cfRule type="cellIs" dxfId="310" priority="39" operator="equal">
      <formula>"ABS"</formula>
    </cfRule>
  </conditionalFormatting>
  <conditionalFormatting sqref="E6">
    <cfRule type="cellIs" dxfId="309" priority="40" operator="greaterThan">
      <formula>$E$2</formula>
    </cfRule>
  </conditionalFormatting>
  <conditionalFormatting sqref="B6">
    <cfRule type="cellIs" dxfId="308" priority="37" operator="equal">
      <formula>TRUE</formula>
    </cfRule>
  </conditionalFormatting>
  <conditionalFormatting sqref="E7:F7">
    <cfRule type="cellIs" dxfId="307" priority="34" operator="equal">
      <formula>"EXC"</formula>
    </cfRule>
    <cfRule type="cellIs" dxfId="306" priority="35" operator="equal">
      <formula>"ABS"</formula>
    </cfRule>
  </conditionalFormatting>
  <conditionalFormatting sqref="E7">
    <cfRule type="cellIs" dxfId="305" priority="36" operator="greaterThan">
      <formula>$E$2</formula>
    </cfRule>
  </conditionalFormatting>
  <conditionalFormatting sqref="B7">
    <cfRule type="cellIs" dxfId="304" priority="33" operator="equal">
      <formula>TRUE</formula>
    </cfRule>
  </conditionalFormatting>
  <conditionalFormatting sqref="E8:F8">
    <cfRule type="cellIs" dxfId="303" priority="30" operator="equal">
      <formula>"EXC"</formula>
    </cfRule>
    <cfRule type="cellIs" dxfId="302" priority="31" operator="equal">
      <formula>"ABS"</formula>
    </cfRule>
  </conditionalFormatting>
  <conditionalFormatting sqref="E8">
    <cfRule type="cellIs" dxfId="301" priority="32" operator="greaterThan">
      <formula>$E$2</formula>
    </cfRule>
  </conditionalFormatting>
  <conditionalFormatting sqref="B8">
    <cfRule type="cellIs" dxfId="300" priority="29" operator="equal">
      <formula>TRUE</formula>
    </cfRule>
  </conditionalFormatting>
  <conditionalFormatting sqref="E9:F9">
    <cfRule type="cellIs" dxfId="299" priority="26" operator="equal">
      <formula>"EXC"</formula>
    </cfRule>
    <cfRule type="cellIs" dxfId="298" priority="27" operator="equal">
      <formula>"ABS"</formula>
    </cfRule>
  </conditionalFormatting>
  <conditionalFormatting sqref="E9">
    <cfRule type="cellIs" dxfId="297" priority="28" operator="greaterThan">
      <formula>$E$2</formula>
    </cfRule>
  </conditionalFormatting>
  <conditionalFormatting sqref="B9">
    <cfRule type="cellIs" dxfId="296" priority="25" operator="equal">
      <formula>TRUE</formula>
    </cfRule>
  </conditionalFormatting>
  <conditionalFormatting sqref="E10:F10">
    <cfRule type="cellIs" dxfId="295" priority="22" operator="equal">
      <formula>"EXC"</formula>
    </cfRule>
    <cfRule type="cellIs" dxfId="294" priority="23" operator="equal">
      <formula>"ABS"</formula>
    </cfRule>
  </conditionalFormatting>
  <conditionalFormatting sqref="E10">
    <cfRule type="cellIs" dxfId="293" priority="24" operator="greaterThan">
      <formula>$E$2</formula>
    </cfRule>
  </conditionalFormatting>
  <conditionalFormatting sqref="B10">
    <cfRule type="cellIs" dxfId="292" priority="21" operator="equal">
      <formula>TRUE</formula>
    </cfRule>
  </conditionalFormatting>
  <conditionalFormatting sqref="E11:F11">
    <cfRule type="cellIs" dxfId="291" priority="18" operator="equal">
      <formula>"EXC"</formula>
    </cfRule>
    <cfRule type="cellIs" dxfId="290" priority="19" operator="equal">
      <formula>"ABS"</formula>
    </cfRule>
  </conditionalFormatting>
  <conditionalFormatting sqref="E11">
    <cfRule type="cellIs" dxfId="289" priority="20" operator="greaterThan">
      <formula>$E$2</formula>
    </cfRule>
  </conditionalFormatting>
  <conditionalFormatting sqref="B11">
    <cfRule type="cellIs" dxfId="288" priority="17" operator="equal">
      <formula>TRUE</formula>
    </cfRule>
  </conditionalFormatting>
  <conditionalFormatting sqref="E12:F12">
    <cfRule type="cellIs" dxfId="287" priority="14" operator="equal">
      <formula>"EXC"</formula>
    </cfRule>
    <cfRule type="cellIs" dxfId="286" priority="15" operator="equal">
      <formula>"ABS"</formula>
    </cfRule>
  </conditionalFormatting>
  <conditionalFormatting sqref="E12">
    <cfRule type="cellIs" dxfId="285" priority="16" operator="greaterThan">
      <formula>$E$2</formula>
    </cfRule>
  </conditionalFormatting>
  <conditionalFormatting sqref="B12">
    <cfRule type="cellIs" dxfId="284" priority="13" operator="equal">
      <formula>TRUE</formula>
    </cfRule>
  </conditionalFormatting>
  <conditionalFormatting sqref="E13:F13">
    <cfRule type="cellIs" dxfId="283" priority="10" operator="equal">
      <formula>"EXC"</formula>
    </cfRule>
    <cfRule type="cellIs" dxfId="282" priority="11" operator="equal">
      <formula>"ABS"</formula>
    </cfRule>
  </conditionalFormatting>
  <conditionalFormatting sqref="E13">
    <cfRule type="cellIs" dxfId="281" priority="12" operator="greaterThan">
      <formula>$E$2</formula>
    </cfRule>
  </conditionalFormatting>
  <conditionalFormatting sqref="B13">
    <cfRule type="cellIs" dxfId="280" priority="9" operator="equal">
      <formula>TRUE</formula>
    </cfRule>
  </conditionalFormatting>
  <conditionalFormatting sqref="E14:F14">
    <cfRule type="cellIs" dxfId="279" priority="6" operator="equal">
      <formula>"EXC"</formula>
    </cfRule>
    <cfRule type="cellIs" dxfId="278" priority="7" operator="equal">
      <formula>"ABS"</formula>
    </cfRule>
  </conditionalFormatting>
  <conditionalFormatting sqref="E14">
    <cfRule type="cellIs" dxfId="277" priority="8" operator="greaterThan">
      <formula>$E$2</formula>
    </cfRule>
  </conditionalFormatting>
  <conditionalFormatting sqref="B14">
    <cfRule type="cellIs" dxfId="276" priority="5" operator="equal">
      <formula>TRUE</formula>
    </cfRule>
  </conditionalFormatting>
  <conditionalFormatting sqref="E15:F15">
    <cfRule type="cellIs" dxfId="275" priority="2" operator="equal">
      <formula>"EXC"</formula>
    </cfRule>
    <cfRule type="cellIs" dxfId="274" priority="3" operator="equal">
      <formula>"ABS"</formula>
    </cfRule>
  </conditionalFormatting>
  <conditionalFormatting sqref="E15">
    <cfRule type="cellIs" dxfId="273" priority="4" operator="greaterThan">
      <formula>$E$2</formula>
    </cfRule>
  </conditionalFormatting>
  <conditionalFormatting sqref="B15">
    <cfRule type="cellIs" dxfId="272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Y190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6" sqref="E1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67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3:5" x14ac:dyDescent="0.25">
      <c r="C1137" s="180"/>
      <c r="D1137" s="180"/>
      <c r="E1137" s="144"/>
    </row>
    <row r="1138" spans="3:5" x14ac:dyDescent="0.25">
      <c r="C1138" s="180"/>
      <c r="D1138" s="180"/>
      <c r="E1138" s="144"/>
    </row>
    <row r="1139" spans="3:5" x14ac:dyDescent="0.25">
      <c r="C1139" s="180"/>
      <c r="D1139" s="180"/>
      <c r="E1139" s="144"/>
    </row>
    <row r="1140" spans="3:5" x14ac:dyDescent="0.25">
      <c r="C1140" s="180"/>
      <c r="D1140" s="180"/>
      <c r="E1140" s="144"/>
    </row>
    <row r="1141" spans="3:5" x14ac:dyDescent="0.25">
      <c r="C1141" s="180"/>
      <c r="D1141" s="180"/>
      <c r="E1141" s="144"/>
    </row>
    <row r="1142" spans="3:5" x14ac:dyDescent="0.25">
      <c r="C1142" s="180"/>
      <c r="D1142" s="180"/>
      <c r="E1142" s="144"/>
    </row>
    <row r="1143" spans="3:5" x14ac:dyDescent="0.25">
      <c r="C1143" s="180"/>
      <c r="D1143" s="180"/>
      <c r="E1143" s="144"/>
    </row>
    <row r="1144" spans="3:5" x14ac:dyDescent="0.25">
      <c r="C1144" s="180"/>
      <c r="D1144" s="180"/>
      <c r="E1144" s="144"/>
    </row>
    <row r="1145" spans="3:5" x14ac:dyDescent="0.25">
      <c r="C1145" s="180"/>
      <c r="D1145" s="180"/>
      <c r="E1145" s="144"/>
    </row>
    <row r="1146" spans="3:5" x14ac:dyDescent="0.25">
      <c r="C1146" s="180"/>
      <c r="D1146" s="180"/>
      <c r="E1146" s="144"/>
    </row>
    <row r="1147" spans="3:5" x14ac:dyDescent="0.25">
      <c r="C1147" s="180"/>
      <c r="D1147" s="180"/>
      <c r="E1147" s="144"/>
    </row>
    <row r="1148" spans="3:5" x14ac:dyDescent="0.25">
      <c r="C1148" s="180"/>
      <c r="D1148" s="180"/>
      <c r="E1148" s="144"/>
    </row>
    <row r="1149" spans="3:5" x14ac:dyDescent="0.25">
      <c r="C1149" s="180"/>
      <c r="D1149" s="180"/>
      <c r="E1149" s="144"/>
    </row>
    <row r="1150" spans="3:5" x14ac:dyDescent="0.25">
      <c r="C1150" s="180"/>
      <c r="D1150" s="180"/>
      <c r="E1150" s="144"/>
    </row>
    <row r="1151" spans="3:5" x14ac:dyDescent="0.25">
      <c r="C1151" s="180"/>
      <c r="D1151" s="180"/>
      <c r="E1151" s="144"/>
    </row>
    <row r="1152" spans="3:5" x14ac:dyDescent="0.25">
      <c r="C1152" s="180"/>
      <c r="D1152" s="180"/>
      <c r="E1152" s="144"/>
    </row>
    <row r="1153" spans="3:5" x14ac:dyDescent="0.25">
      <c r="C1153" s="180"/>
      <c r="D1153" s="180"/>
      <c r="E1153" s="144"/>
    </row>
    <row r="1154" spans="3:5" x14ac:dyDescent="0.25">
      <c r="C1154" s="180"/>
      <c r="D1154" s="180"/>
      <c r="E1154" s="144"/>
    </row>
    <row r="1155" spans="3:5" x14ac:dyDescent="0.25">
      <c r="C1155" s="180"/>
      <c r="D1155" s="180"/>
      <c r="E1155" s="144"/>
    </row>
    <row r="1156" spans="3:5" x14ac:dyDescent="0.25">
      <c r="C1156" s="180"/>
      <c r="D1156" s="180"/>
      <c r="E1156" s="144"/>
    </row>
    <row r="1157" spans="3:5" x14ac:dyDescent="0.25">
      <c r="C1157" s="180"/>
      <c r="D1157" s="180"/>
      <c r="E1157" s="144"/>
    </row>
    <row r="1158" spans="3:5" x14ac:dyDescent="0.25">
      <c r="C1158" s="180"/>
      <c r="D1158" s="180"/>
      <c r="E1158" s="144"/>
    </row>
    <row r="1159" spans="3:5" x14ac:dyDescent="0.25">
      <c r="C1159" s="180"/>
      <c r="D1159" s="180"/>
      <c r="E1159" s="144"/>
    </row>
    <row r="1160" spans="3:5" x14ac:dyDescent="0.25">
      <c r="C1160" s="180"/>
      <c r="D1160" s="180"/>
      <c r="E1160" s="144"/>
    </row>
    <row r="1161" spans="3:5" x14ac:dyDescent="0.25">
      <c r="C1161" s="180"/>
      <c r="D1161" s="180"/>
      <c r="E1161" s="144"/>
    </row>
    <row r="1162" spans="3:5" x14ac:dyDescent="0.25">
      <c r="C1162" s="180"/>
      <c r="D1162" s="180"/>
      <c r="E1162" s="144"/>
    </row>
    <row r="1163" spans="3:5" x14ac:dyDescent="0.25">
      <c r="C1163" s="180"/>
      <c r="D1163" s="180"/>
      <c r="E1163" s="144"/>
    </row>
    <row r="1164" spans="3:5" x14ac:dyDescent="0.25">
      <c r="C1164" s="180"/>
      <c r="D1164" s="180"/>
      <c r="E1164" s="144"/>
    </row>
    <row r="1165" spans="3:5" x14ac:dyDescent="0.25">
      <c r="C1165" s="180"/>
      <c r="D1165" s="180"/>
      <c r="E1165" s="144"/>
    </row>
    <row r="1166" spans="3:5" x14ac:dyDescent="0.25">
      <c r="C1166" s="180"/>
      <c r="D1166" s="180"/>
      <c r="E1166" s="144"/>
    </row>
    <row r="1167" spans="3:5" x14ac:dyDescent="0.25">
      <c r="C1167" s="180"/>
      <c r="D1167" s="180"/>
      <c r="E1167" s="144"/>
    </row>
    <row r="1168" spans="3:5" x14ac:dyDescent="0.25">
      <c r="C1168" s="180"/>
      <c r="D1168" s="180"/>
      <c r="E1168" s="144"/>
    </row>
    <row r="1169" spans="3:5" x14ac:dyDescent="0.25">
      <c r="C1169" s="180"/>
      <c r="D1169" s="180"/>
      <c r="E1169" s="144"/>
    </row>
    <row r="1170" spans="3:5" x14ac:dyDescent="0.25">
      <c r="C1170" s="180"/>
      <c r="D1170" s="180"/>
      <c r="E1170" s="144"/>
    </row>
    <row r="1171" spans="3:5" x14ac:dyDescent="0.25">
      <c r="C1171" s="180"/>
      <c r="D1171" s="180"/>
      <c r="E1171" s="144"/>
    </row>
    <row r="1172" spans="3:5" x14ac:dyDescent="0.25">
      <c r="C1172" s="180"/>
      <c r="D1172" s="180"/>
      <c r="E1172" s="144"/>
    </row>
    <row r="1173" spans="3:5" x14ac:dyDescent="0.25">
      <c r="C1173" s="180"/>
      <c r="D1173" s="180"/>
      <c r="E1173" s="144"/>
    </row>
    <row r="1174" spans="3:5" x14ac:dyDescent="0.25">
      <c r="C1174" s="180"/>
      <c r="D1174" s="180"/>
      <c r="E1174" s="144"/>
    </row>
    <row r="1175" spans="3:5" x14ac:dyDescent="0.25">
      <c r="C1175" s="180"/>
      <c r="D1175" s="180"/>
      <c r="E1175" s="144"/>
    </row>
    <row r="1176" spans="3:5" x14ac:dyDescent="0.25">
      <c r="C1176" s="180"/>
      <c r="D1176" s="180"/>
      <c r="E1176" s="144"/>
    </row>
    <row r="1177" spans="3:5" x14ac:dyDescent="0.25">
      <c r="C1177" s="180"/>
      <c r="D1177" s="180"/>
      <c r="E1177" s="144"/>
    </row>
    <row r="1178" spans="3:5" x14ac:dyDescent="0.25">
      <c r="C1178" s="180"/>
      <c r="D1178" s="180"/>
      <c r="E1178" s="144"/>
    </row>
    <row r="1179" spans="3:5" x14ac:dyDescent="0.25">
      <c r="C1179" s="180"/>
      <c r="D1179" s="180"/>
      <c r="E1179" s="144"/>
    </row>
    <row r="1180" spans="3:5" x14ac:dyDescent="0.25">
      <c r="C1180" s="180"/>
      <c r="D1180" s="180"/>
      <c r="E1180" s="144"/>
    </row>
    <row r="1181" spans="3:5" x14ac:dyDescent="0.25">
      <c r="C1181" s="180"/>
      <c r="D1181" s="180"/>
      <c r="E1181" s="144"/>
    </row>
    <row r="1182" spans="3:5" x14ac:dyDescent="0.25">
      <c r="C1182" s="180"/>
      <c r="D1182" s="180"/>
      <c r="E1182" s="144"/>
    </row>
    <row r="1183" spans="3:5" x14ac:dyDescent="0.25">
      <c r="C1183" s="180"/>
      <c r="D1183" s="180"/>
      <c r="E1183" s="144"/>
    </row>
    <row r="1184" spans="3:5" x14ac:dyDescent="0.25">
      <c r="C1184" s="180"/>
      <c r="D1184" s="180"/>
      <c r="E1184" s="144"/>
    </row>
    <row r="1185" spans="3:5" x14ac:dyDescent="0.25">
      <c r="C1185" s="180"/>
      <c r="D1185" s="180"/>
      <c r="E1185" s="144"/>
    </row>
    <row r="1186" spans="3:5" x14ac:dyDescent="0.25">
      <c r="C1186" s="180"/>
      <c r="D1186" s="180"/>
      <c r="E1186" s="144"/>
    </row>
    <row r="1187" spans="3:5" x14ac:dyDescent="0.25">
      <c r="C1187" s="180"/>
      <c r="D1187" s="180"/>
      <c r="E1187" s="144"/>
    </row>
    <row r="1188" spans="3:5" x14ac:dyDescent="0.25">
      <c r="C1188" s="180"/>
      <c r="D1188" s="180"/>
      <c r="E1188" s="144"/>
    </row>
    <row r="1189" spans="3:5" x14ac:dyDescent="0.25">
      <c r="C1189" s="180"/>
      <c r="D1189" s="180"/>
      <c r="E1189" s="144"/>
    </row>
    <row r="1190" spans="3:5" x14ac:dyDescent="0.25">
      <c r="C1190" s="180"/>
      <c r="D1190" s="180"/>
      <c r="E1190" s="144"/>
    </row>
    <row r="1191" spans="3:5" x14ac:dyDescent="0.25">
      <c r="C1191" s="180"/>
      <c r="D1191" s="180"/>
      <c r="E1191" s="144"/>
    </row>
    <row r="1192" spans="3:5" x14ac:dyDescent="0.25">
      <c r="C1192" s="180"/>
      <c r="D1192" s="180"/>
      <c r="E1192" s="144"/>
    </row>
    <row r="1193" spans="3:5" x14ac:dyDescent="0.25">
      <c r="C1193" s="180"/>
      <c r="D1193" s="180"/>
      <c r="E1193" s="144"/>
    </row>
    <row r="1194" spans="3:5" x14ac:dyDescent="0.25">
      <c r="C1194" s="180"/>
      <c r="D1194" s="180"/>
      <c r="E1194" s="144"/>
    </row>
    <row r="1195" spans="3:5" x14ac:dyDescent="0.25">
      <c r="C1195" s="180"/>
      <c r="D1195" s="180"/>
      <c r="E1195" s="144"/>
    </row>
    <row r="1196" spans="3:5" x14ac:dyDescent="0.25">
      <c r="C1196" s="180"/>
      <c r="D1196" s="180"/>
      <c r="E1196" s="144"/>
    </row>
    <row r="1197" spans="3:5" x14ac:dyDescent="0.25">
      <c r="C1197" s="180"/>
      <c r="D1197" s="180"/>
      <c r="E1197" s="144"/>
    </row>
    <row r="1198" spans="3:5" x14ac:dyDescent="0.25">
      <c r="C1198" s="180"/>
      <c r="D1198" s="180"/>
      <c r="E1198" s="144"/>
    </row>
    <row r="1199" spans="3:5" x14ac:dyDescent="0.25">
      <c r="C1199" s="180"/>
      <c r="D1199" s="180"/>
      <c r="E1199" s="144"/>
    </row>
    <row r="1200" spans="3:5" x14ac:dyDescent="0.25">
      <c r="C1200" s="180"/>
      <c r="D1200" s="180"/>
      <c r="E1200" s="144"/>
    </row>
    <row r="1201" spans="3:5" x14ac:dyDescent="0.25">
      <c r="C1201" s="180"/>
      <c r="D1201" s="180"/>
      <c r="E1201" s="144"/>
    </row>
    <row r="1202" spans="3:5" x14ac:dyDescent="0.25">
      <c r="C1202" s="180"/>
      <c r="D1202" s="180"/>
      <c r="E1202" s="144"/>
    </row>
    <row r="1203" spans="3:5" x14ac:dyDescent="0.25">
      <c r="C1203" s="180"/>
      <c r="D1203" s="180"/>
      <c r="E1203" s="144"/>
    </row>
    <row r="1204" spans="3:5" x14ac:dyDescent="0.25">
      <c r="C1204" s="180"/>
      <c r="D1204" s="180"/>
      <c r="E1204" s="144"/>
    </row>
    <row r="1205" spans="3:5" x14ac:dyDescent="0.25">
      <c r="C1205" s="180"/>
      <c r="D1205" s="180"/>
      <c r="E1205" s="144"/>
    </row>
    <row r="1206" spans="3:5" x14ac:dyDescent="0.25">
      <c r="C1206" s="180"/>
      <c r="D1206" s="180"/>
      <c r="E1206" s="144"/>
    </row>
    <row r="1207" spans="3:5" x14ac:dyDescent="0.25">
      <c r="C1207" s="180"/>
      <c r="D1207" s="180"/>
      <c r="E1207" s="144"/>
    </row>
    <row r="1208" spans="3:5" x14ac:dyDescent="0.25">
      <c r="C1208" s="180"/>
      <c r="D1208" s="180"/>
      <c r="E1208" s="144"/>
    </row>
    <row r="1209" spans="3:5" x14ac:dyDescent="0.25">
      <c r="E1209" s="144"/>
    </row>
    <row r="1210" spans="3:5" x14ac:dyDescent="0.25">
      <c r="E1210" s="144"/>
    </row>
    <row r="1211" spans="3:5" x14ac:dyDescent="0.25">
      <c r="E1211" s="144"/>
    </row>
    <row r="1212" spans="3:5" x14ac:dyDescent="0.25">
      <c r="E1212" s="144"/>
    </row>
    <row r="1213" spans="3:5" x14ac:dyDescent="0.25">
      <c r="E1213" s="144"/>
    </row>
    <row r="1214" spans="3:5" x14ac:dyDescent="0.25">
      <c r="E1214" s="144"/>
    </row>
    <row r="1215" spans="3:5" x14ac:dyDescent="0.25">
      <c r="E1215" s="144"/>
    </row>
    <row r="1216" spans="3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  <row r="1810" spans="5:5" x14ac:dyDescent="0.25">
      <c r="E1810" s="144"/>
    </row>
    <row r="1811" spans="5:5" x14ac:dyDescent="0.25">
      <c r="E1811" s="144"/>
    </row>
    <row r="1812" spans="5:5" x14ac:dyDescent="0.25">
      <c r="E1812" s="144"/>
    </row>
    <row r="1813" spans="5:5" x14ac:dyDescent="0.25">
      <c r="E1813" s="144"/>
    </row>
    <row r="1814" spans="5:5" x14ac:dyDescent="0.25">
      <c r="E1814" s="144"/>
    </row>
    <row r="1815" spans="5:5" x14ac:dyDescent="0.25">
      <c r="E1815" s="144"/>
    </row>
    <row r="1816" spans="5:5" x14ac:dyDescent="0.25">
      <c r="E1816" s="144"/>
    </row>
    <row r="1817" spans="5:5" x14ac:dyDescent="0.25">
      <c r="E1817" s="144"/>
    </row>
    <row r="1818" spans="5:5" x14ac:dyDescent="0.25">
      <c r="E1818" s="144"/>
    </row>
    <row r="1819" spans="5:5" x14ac:dyDescent="0.25">
      <c r="E1819" s="144"/>
    </row>
    <row r="1820" spans="5:5" x14ac:dyDescent="0.25">
      <c r="E1820" s="144"/>
    </row>
    <row r="1821" spans="5:5" x14ac:dyDescent="0.25">
      <c r="E1821" s="144"/>
    </row>
    <row r="1822" spans="5:5" x14ac:dyDescent="0.25">
      <c r="E1822" s="144"/>
    </row>
    <row r="1823" spans="5:5" x14ac:dyDescent="0.25">
      <c r="E1823" s="144"/>
    </row>
    <row r="1824" spans="5:5" x14ac:dyDescent="0.25">
      <c r="E1824" s="144"/>
    </row>
    <row r="1825" spans="5:5" x14ac:dyDescent="0.25">
      <c r="E1825" s="144"/>
    </row>
    <row r="1826" spans="5:5" x14ac:dyDescent="0.25">
      <c r="E1826" s="144"/>
    </row>
    <row r="1827" spans="5:5" x14ac:dyDescent="0.25">
      <c r="E1827" s="144"/>
    </row>
    <row r="1828" spans="5:5" x14ac:dyDescent="0.25">
      <c r="E1828" s="144"/>
    </row>
    <row r="1829" spans="5:5" x14ac:dyDescent="0.25">
      <c r="E1829" s="144"/>
    </row>
    <row r="1830" spans="5:5" x14ac:dyDescent="0.25">
      <c r="E1830" s="144"/>
    </row>
    <row r="1831" spans="5:5" x14ac:dyDescent="0.25">
      <c r="E1831" s="144"/>
    </row>
    <row r="1832" spans="5:5" x14ac:dyDescent="0.25">
      <c r="E1832" s="144"/>
    </row>
    <row r="1833" spans="5:5" x14ac:dyDescent="0.25">
      <c r="E1833" s="144"/>
    </row>
    <row r="1834" spans="5:5" x14ac:dyDescent="0.25">
      <c r="E1834" s="144"/>
    </row>
    <row r="1835" spans="5:5" x14ac:dyDescent="0.25">
      <c r="E1835" s="144"/>
    </row>
    <row r="1836" spans="5:5" x14ac:dyDescent="0.25">
      <c r="E1836" s="144"/>
    </row>
    <row r="1837" spans="5:5" x14ac:dyDescent="0.25">
      <c r="E1837" s="144"/>
    </row>
    <row r="1838" spans="5:5" x14ac:dyDescent="0.25">
      <c r="E1838" s="144"/>
    </row>
    <row r="1839" spans="5:5" x14ac:dyDescent="0.25">
      <c r="E1839" s="144"/>
    </row>
    <row r="1840" spans="5:5" x14ac:dyDescent="0.25">
      <c r="E1840" s="144"/>
    </row>
    <row r="1841" spans="5:5" x14ac:dyDescent="0.25">
      <c r="E1841" s="144"/>
    </row>
    <row r="1842" spans="5:5" x14ac:dyDescent="0.25">
      <c r="E1842" s="144"/>
    </row>
    <row r="1843" spans="5:5" x14ac:dyDescent="0.25">
      <c r="E1843" s="144"/>
    </row>
    <row r="1844" spans="5:5" x14ac:dyDescent="0.25">
      <c r="E1844" s="144"/>
    </row>
    <row r="1845" spans="5:5" x14ac:dyDescent="0.25">
      <c r="E1845" s="144"/>
    </row>
    <row r="1846" spans="5:5" x14ac:dyDescent="0.25">
      <c r="E1846" s="144"/>
    </row>
    <row r="1847" spans="5:5" x14ac:dyDescent="0.25">
      <c r="E1847" s="144"/>
    </row>
    <row r="1848" spans="5:5" x14ac:dyDescent="0.25">
      <c r="E1848" s="144"/>
    </row>
    <row r="1849" spans="5:5" x14ac:dyDescent="0.25">
      <c r="E1849" s="144"/>
    </row>
    <row r="1850" spans="5:5" x14ac:dyDescent="0.25">
      <c r="E1850" s="144"/>
    </row>
    <row r="1851" spans="5:5" x14ac:dyDescent="0.25">
      <c r="E1851" s="144"/>
    </row>
    <row r="1852" spans="5:5" x14ac:dyDescent="0.25">
      <c r="E1852" s="144"/>
    </row>
    <row r="1853" spans="5:5" x14ac:dyDescent="0.25">
      <c r="E1853" s="144"/>
    </row>
    <row r="1854" spans="5:5" x14ac:dyDescent="0.25">
      <c r="E1854" s="144"/>
    </row>
    <row r="1855" spans="5:5" x14ac:dyDescent="0.25">
      <c r="E1855" s="144"/>
    </row>
    <row r="1856" spans="5:5" x14ac:dyDescent="0.25">
      <c r="E1856" s="144"/>
    </row>
    <row r="1857" spans="5:5" x14ac:dyDescent="0.25">
      <c r="E1857" s="144"/>
    </row>
    <row r="1858" spans="5:5" x14ac:dyDescent="0.25">
      <c r="E1858" s="144"/>
    </row>
    <row r="1859" spans="5:5" x14ac:dyDescent="0.25">
      <c r="E1859" s="144"/>
    </row>
    <row r="1860" spans="5:5" x14ac:dyDescent="0.25">
      <c r="E1860" s="144"/>
    </row>
    <row r="1861" spans="5:5" x14ac:dyDescent="0.25">
      <c r="E1861" s="144"/>
    </row>
    <row r="1862" spans="5:5" x14ac:dyDescent="0.25">
      <c r="E1862" s="144"/>
    </row>
    <row r="1863" spans="5:5" x14ac:dyDescent="0.25">
      <c r="E1863" s="144"/>
    </row>
    <row r="1864" spans="5:5" x14ac:dyDescent="0.25">
      <c r="E1864" s="144"/>
    </row>
    <row r="1865" spans="5:5" x14ac:dyDescent="0.25">
      <c r="E1865" s="144"/>
    </row>
    <row r="1866" spans="5:5" x14ac:dyDescent="0.25">
      <c r="E1866" s="144"/>
    </row>
    <row r="1867" spans="5:5" x14ac:dyDescent="0.25">
      <c r="E1867" s="144"/>
    </row>
    <row r="1868" spans="5:5" x14ac:dyDescent="0.25">
      <c r="E1868" s="144"/>
    </row>
    <row r="1869" spans="5:5" x14ac:dyDescent="0.25">
      <c r="E1869" s="144"/>
    </row>
    <row r="1870" spans="5:5" x14ac:dyDescent="0.25">
      <c r="E1870" s="144"/>
    </row>
    <row r="1871" spans="5:5" x14ac:dyDescent="0.25">
      <c r="E1871" s="144"/>
    </row>
    <row r="1872" spans="5:5" x14ac:dyDescent="0.25">
      <c r="E1872" s="144"/>
    </row>
    <row r="1873" spans="5:5" x14ac:dyDescent="0.25">
      <c r="E1873" s="144"/>
    </row>
    <row r="1874" spans="5:5" x14ac:dyDescent="0.25">
      <c r="E1874" s="144"/>
    </row>
    <row r="1875" spans="5:5" x14ac:dyDescent="0.25">
      <c r="E1875" s="144"/>
    </row>
    <row r="1876" spans="5:5" x14ac:dyDescent="0.25">
      <c r="E1876" s="144"/>
    </row>
    <row r="1877" spans="5:5" x14ac:dyDescent="0.25">
      <c r="E1877" s="144"/>
    </row>
    <row r="1878" spans="5:5" x14ac:dyDescent="0.25">
      <c r="E1878" s="144"/>
    </row>
    <row r="1879" spans="5:5" x14ac:dyDescent="0.25">
      <c r="E1879" s="144"/>
    </row>
    <row r="1880" spans="5:5" x14ac:dyDescent="0.25">
      <c r="E1880" s="144"/>
    </row>
    <row r="1881" spans="5:5" x14ac:dyDescent="0.25">
      <c r="E1881" s="144"/>
    </row>
    <row r="1882" spans="5:5" x14ac:dyDescent="0.25">
      <c r="E1882" s="144"/>
    </row>
    <row r="1883" spans="5:5" x14ac:dyDescent="0.25">
      <c r="E1883" s="144"/>
    </row>
    <row r="1884" spans="5:5" x14ac:dyDescent="0.25">
      <c r="E1884" s="144"/>
    </row>
    <row r="1885" spans="5:5" x14ac:dyDescent="0.25">
      <c r="E1885" s="144"/>
    </row>
    <row r="1886" spans="5:5" x14ac:dyDescent="0.25">
      <c r="E1886" s="144"/>
    </row>
    <row r="1887" spans="5:5" x14ac:dyDescent="0.25">
      <c r="E1887" s="144"/>
    </row>
    <row r="1888" spans="5:5" x14ac:dyDescent="0.25">
      <c r="E1888" s="144"/>
    </row>
    <row r="1889" spans="5:5" x14ac:dyDescent="0.25">
      <c r="E1889" s="144"/>
    </row>
    <row r="1890" spans="5:5" x14ac:dyDescent="0.25">
      <c r="E1890" s="144"/>
    </row>
    <row r="1891" spans="5:5" x14ac:dyDescent="0.25">
      <c r="E1891" s="144"/>
    </row>
    <row r="1892" spans="5:5" x14ac:dyDescent="0.25">
      <c r="E1892" s="144"/>
    </row>
    <row r="1893" spans="5:5" x14ac:dyDescent="0.25">
      <c r="E1893" s="144"/>
    </row>
    <row r="1894" spans="5:5" x14ac:dyDescent="0.25">
      <c r="E1894" s="144"/>
    </row>
    <row r="1895" spans="5:5" x14ac:dyDescent="0.25">
      <c r="E1895" s="144"/>
    </row>
    <row r="1896" spans="5:5" x14ac:dyDescent="0.25">
      <c r="E1896" s="144"/>
    </row>
    <row r="1897" spans="5:5" x14ac:dyDescent="0.25">
      <c r="E1897" s="144"/>
    </row>
    <row r="1898" spans="5:5" x14ac:dyDescent="0.25">
      <c r="E1898" s="144"/>
    </row>
    <row r="1899" spans="5:5" x14ac:dyDescent="0.25">
      <c r="E1899" s="144"/>
    </row>
    <row r="1900" spans="5:5" x14ac:dyDescent="0.25">
      <c r="E1900" s="144"/>
    </row>
    <row r="1901" spans="5:5" x14ac:dyDescent="0.25">
      <c r="E1901" s="144"/>
    </row>
    <row r="1902" spans="5:5" x14ac:dyDescent="0.25">
      <c r="E1902" s="144"/>
    </row>
    <row r="1903" spans="5:5" x14ac:dyDescent="0.25">
      <c r="E1903" s="144"/>
    </row>
    <row r="1904" spans="5:5" x14ac:dyDescent="0.25">
      <c r="E1904" s="144"/>
    </row>
  </sheetData>
  <sheetProtection password="EFD2" sheet="1" objects="1" scenarios="1" selectLockedCells="1"/>
  <conditionalFormatting sqref="E6:F6">
    <cfRule type="cellIs" dxfId="271" priority="38" operator="equal">
      <formula>"EXC"</formula>
    </cfRule>
    <cfRule type="cellIs" dxfId="270" priority="39" operator="equal">
      <formula>"ABS"</formula>
    </cfRule>
  </conditionalFormatting>
  <conditionalFormatting sqref="E6">
    <cfRule type="cellIs" dxfId="269" priority="40" operator="greaterThan">
      <formula>$E$2</formula>
    </cfRule>
  </conditionalFormatting>
  <conditionalFormatting sqref="B6">
    <cfRule type="cellIs" dxfId="268" priority="37" operator="equal">
      <formula>TRUE</formula>
    </cfRule>
  </conditionalFormatting>
  <conditionalFormatting sqref="E7:F7">
    <cfRule type="cellIs" dxfId="267" priority="34" operator="equal">
      <formula>"EXC"</formula>
    </cfRule>
    <cfRule type="cellIs" dxfId="266" priority="35" operator="equal">
      <formula>"ABS"</formula>
    </cfRule>
  </conditionalFormatting>
  <conditionalFormatting sqref="E7">
    <cfRule type="cellIs" dxfId="265" priority="36" operator="greaterThan">
      <formula>$E$2</formula>
    </cfRule>
  </conditionalFormatting>
  <conditionalFormatting sqref="B7">
    <cfRule type="cellIs" dxfId="264" priority="33" operator="equal">
      <formula>TRUE</formula>
    </cfRule>
  </conditionalFormatting>
  <conditionalFormatting sqref="E8:F8">
    <cfRule type="cellIs" dxfId="263" priority="30" operator="equal">
      <formula>"EXC"</formula>
    </cfRule>
    <cfRule type="cellIs" dxfId="262" priority="31" operator="equal">
      <formula>"ABS"</formula>
    </cfRule>
  </conditionalFormatting>
  <conditionalFormatting sqref="E8">
    <cfRule type="cellIs" dxfId="261" priority="32" operator="greaterThan">
      <formula>$E$2</formula>
    </cfRule>
  </conditionalFormatting>
  <conditionalFormatting sqref="B8">
    <cfRule type="cellIs" dxfId="260" priority="29" operator="equal">
      <formula>TRUE</formula>
    </cfRule>
  </conditionalFormatting>
  <conditionalFormatting sqref="E9:F9">
    <cfRule type="cellIs" dxfId="259" priority="26" operator="equal">
      <formula>"EXC"</formula>
    </cfRule>
    <cfRule type="cellIs" dxfId="258" priority="27" operator="equal">
      <formula>"ABS"</formula>
    </cfRule>
  </conditionalFormatting>
  <conditionalFormatting sqref="E9">
    <cfRule type="cellIs" dxfId="257" priority="28" operator="greaterThan">
      <formula>$E$2</formula>
    </cfRule>
  </conditionalFormatting>
  <conditionalFormatting sqref="B9">
    <cfRule type="cellIs" dxfId="256" priority="25" operator="equal">
      <formula>TRUE</formula>
    </cfRule>
  </conditionalFormatting>
  <conditionalFormatting sqref="E10:F10">
    <cfRule type="cellIs" dxfId="255" priority="22" operator="equal">
      <formula>"EXC"</formula>
    </cfRule>
    <cfRule type="cellIs" dxfId="254" priority="23" operator="equal">
      <formula>"ABS"</formula>
    </cfRule>
  </conditionalFormatting>
  <conditionalFormatting sqref="E10">
    <cfRule type="cellIs" dxfId="253" priority="24" operator="greaterThan">
      <formula>$E$2</formula>
    </cfRule>
  </conditionalFormatting>
  <conditionalFormatting sqref="B10">
    <cfRule type="cellIs" dxfId="252" priority="21" operator="equal">
      <formula>TRUE</formula>
    </cfRule>
  </conditionalFormatting>
  <conditionalFormatting sqref="E11:F11">
    <cfRule type="cellIs" dxfId="251" priority="18" operator="equal">
      <formula>"EXC"</formula>
    </cfRule>
    <cfRule type="cellIs" dxfId="250" priority="19" operator="equal">
      <formula>"ABS"</formula>
    </cfRule>
  </conditionalFormatting>
  <conditionalFormatting sqref="E11">
    <cfRule type="cellIs" dxfId="249" priority="20" operator="greaterThan">
      <formula>$E$2</formula>
    </cfRule>
  </conditionalFormatting>
  <conditionalFormatting sqref="B11">
    <cfRule type="cellIs" dxfId="248" priority="17" operator="equal">
      <formula>TRUE</formula>
    </cfRule>
  </conditionalFormatting>
  <conditionalFormatting sqref="E12:F12">
    <cfRule type="cellIs" dxfId="247" priority="14" operator="equal">
      <formula>"EXC"</formula>
    </cfRule>
    <cfRule type="cellIs" dxfId="246" priority="15" operator="equal">
      <formula>"ABS"</formula>
    </cfRule>
  </conditionalFormatting>
  <conditionalFormatting sqref="E12">
    <cfRule type="cellIs" dxfId="245" priority="16" operator="greaterThan">
      <formula>$E$2</formula>
    </cfRule>
  </conditionalFormatting>
  <conditionalFormatting sqref="B12">
    <cfRule type="cellIs" dxfId="244" priority="13" operator="equal">
      <formula>TRUE</formula>
    </cfRule>
  </conditionalFormatting>
  <conditionalFormatting sqref="E13:F13">
    <cfRule type="cellIs" dxfId="243" priority="10" operator="equal">
      <formula>"EXC"</formula>
    </cfRule>
    <cfRule type="cellIs" dxfId="242" priority="11" operator="equal">
      <formula>"ABS"</formula>
    </cfRule>
  </conditionalFormatting>
  <conditionalFormatting sqref="E13">
    <cfRule type="cellIs" dxfId="241" priority="12" operator="greaterThan">
      <formula>$E$2</formula>
    </cfRule>
  </conditionalFormatting>
  <conditionalFormatting sqref="B13">
    <cfRule type="cellIs" dxfId="240" priority="9" operator="equal">
      <formula>TRUE</formula>
    </cfRule>
  </conditionalFormatting>
  <conditionalFormatting sqref="E14:F14">
    <cfRule type="cellIs" dxfId="239" priority="6" operator="equal">
      <formula>"EXC"</formula>
    </cfRule>
    <cfRule type="cellIs" dxfId="238" priority="7" operator="equal">
      <formula>"ABS"</formula>
    </cfRule>
  </conditionalFormatting>
  <conditionalFormatting sqref="E14">
    <cfRule type="cellIs" dxfId="237" priority="8" operator="greaterThan">
      <formula>$E$2</formula>
    </cfRule>
  </conditionalFormatting>
  <conditionalFormatting sqref="B14">
    <cfRule type="cellIs" dxfId="236" priority="5" operator="equal">
      <formula>TRUE</formula>
    </cfRule>
  </conditionalFormatting>
  <conditionalFormatting sqref="E15:F15">
    <cfRule type="cellIs" dxfId="235" priority="2" operator="equal">
      <formula>"EXC"</formula>
    </cfRule>
    <cfRule type="cellIs" dxfId="234" priority="3" operator="equal">
      <formula>"ABS"</formula>
    </cfRule>
  </conditionalFormatting>
  <conditionalFormatting sqref="E15">
    <cfRule type="cellIs" dxfId="233" priority="4" operator="greaterThan">
      <formula>$E$2</formula>
    </cfRule>
  </conditionalFormatting>
  <conditionalFormatting sqref="B15">
    <cfRule type="cellIs" dxfId="232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Y151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5" sqref="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68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</sheetData>
  <sheetProtection password="EFD2" sheet="1" objects="1" scenarios="1" selectLockedCells="1"/>
  <conditionalFormatting sqref="E6:F6">
    <cfRule type="cellIs" dxfId="231" priority="38" operator="equal">
      <formula>"EXC"</formula>
    </cfRule>
    <cfRule type="cellIs" dxfId="230" priority="39" operator="equal">
      <formula>"ABS"</formula>
    </cfRule>
  </conditionalFormatting>
  <conditionalFormatting sqref="E6">
    <cfRule type="cellIs" dxfId="229" priority="40" operator="greaterThan">
      <formula>$E$2</formula>
    </cfRule>
  </conditionalFormatting>
  <conditionalFormatting sqref="B6">
    <cfRule type="cellIs" dxfId="228" priority="37" operator="equal">
      <formula>TRUE</formula>
    </cfRule>
  </conditionalFormatting>
  <conditionalFormatting sqref="E7:F7">
    <cfRule type="cellIs" dxfId="227" priority="34" operator="equal">
      <formula>"EXC"</formula>
    </cfRule>
    <cfRule type="cellIs" dxfId="226" priority="35" operator="equal">
      <formula>"ABS"</formula>
    </cfRule>
  </conditionalFormatting>
  <conditionalFormatting sqref="E7">
    <cfRule type="cellIs" dxfId="225" priority="36" operator="greaterThan">
      <formula>$E$2</formula>
    </cfRule>
  </conditionalFormatting>
  <conditionalFormatting sqref="B7">
    <cfRule type="cellIs" dxfId="224" priority="33" operator="equal">
      <formula>TRUE</formula>
    </cfRule>
  </conditionalFormatting>
  <conditionalFormatting sqref="E8:F8">
    <cfRule type="cellIs" dxfId="223" priority="30" operator="equal">
      <formula>"EXC"</formula>
    </cfRule>
    <cfRule type="cellIs" dxfId="222" priority="31" operator="equal">
      <formula>"ABS"</formula>
    </cfRule>
  </conditionalFormatting>
  <conditionalFormatting sqref="E8">
    <cfRule type="cellIs" dxfId="221" priority="32" operator="greaterThan">
      <formula>$E$2</formula>
    </cfRule>
  </conditionalFormatting>
  <conditionalFormatting sqref="B8">
    <cfRule type="cellIs" dxfId="220" priority="29" operator="equal">
      <formula>TRUE</formula>
    </cfRule>
  </conditionalFormatting>
  <conditionalFormatting sqref="E9:F9">
    <cfRule type="cellIs" dxfId="219" priority="26" operator="equal">
      <formula>"EXC"</formula>
    </cfRule>
    <cfRule type="cellIs" dxfId="218" priority="27" operator="equal">
      <formula>"ABS"</formula>
    </cfRule>
  </conditionalFormatting>
  <conditionalFormatting sqref="E9">
    <cfRule type="cellIs" dxfId="217" priority="28" operator="greaterThan">
      <formula>$E$2</formula>
    </cfRule>
  </conditionalFormatting>
  <conditionalFormatting sqref="B9">
    <cfRule type="cellIs" dxfId="216" priority="25" operator="equal">
      <formula>TRUE</formula>
    </cfRule>
  </conditionalFormatting>
  <conditionalFormatting sqref="E10:F10">
    <cfRule type="cellIs" dxfId="215" priority="22" operator="equal">
      <formula>"EXC"</formula>
    </cfRule>
    <cfRule type="cellIs" dxfId="214" priority="23" operator="equal">
      <formula>"ABS"</formula>
    </cfRule>
  </conditionalFormatting>
  <conditionalFormatting sqref="E10">
    <cfRule type="cellIs" dxfId="213" priority="24" operator="greaterThan">
      <formula>$E$2</formula>
    </cfRule>
  </conditionalFormatting>
  <conditionalFormatting sqref="B10">
    <cfRule type="cellIs" dxfId="212" priority="21" operator="equal">
      <formula>TRUE</formula>
    </cfRule>
  </conditionalFormatting>
  <conditionalFormatting sqref="E11:F11">
    <cfRule type="cellIs" dxfId="211" priority="18" operator="equal">
      <formula>"EXC"</formula>
    </cfRule>
    <cfRule type="cellIs" dxfId="210" priority="19" operator="equal">
      <formula>"ABS"</formula>
    </cfRule>
  </conditionalFormatting>
  <conditionalFormatting sqref="E11">
    <cfRule type="cellIs" dxfId="209" priority="20" operator="greaterThan">
      <formula>$E$2</formula>
    </cfRule>
  </conditionalFormatting>
  <conditionalFormatting sqref="B11">
    <cfRule type="cellIs" dxfId="208" priority="17" operator="equal">
      <formula>TRUE</formula>
    </cfRule>
  </conditionalFormatting>
  <conditionalFormatting sqref="E12:F12">
    <cfRule type="cellIs" dxfId="207" priority="14" operator="equal">
      <formula>"EXC"</formula>
    </cfRule>
    <cfRule type="cellIs" dxfId="206" priority="15" operator="equal">
      <formula>"ABS"</formula>
    </cfRule>
  </conditionalFormatting>
  <conditionalFormatting sqref="E12">
    <cfRule type="cellIs" dxfId="205" priority="16" operator="greaterThan">
      <formula>$E$2</formula>
    </cfRule>
  </conditionalFormatting>
  <conditionalFormatting sqref="B12">
    <cfRule type="cellIs" dxfId="204" priority="13" operator="equal">
      <formula>TRUE</formula>
    </cfRule>
  </conditionalFormatting>
  <conditionalFormatting sqref="E13:F13">
    <cfRule type="cellIs" dxfId="203" priority="10" operator="equal">
      <formula>"EXC"</formula>
    </cfRule>
    <cfRule type="cellIs" dxfId="202" priority="11" operator="equal">
      <formula>"ABS"</formula>
    </cfRule>
  </conditionalFormatting>
  <conditionalFormatting sqref="E13">
    <cfRule type="cellIs" dxfId="201" priority="12" operator="greaterThan">
      <formula>$E$2</formula>
    </cfRule>
  </conditionalFormatting>
  <conditionalFormatting sqref="B13">
    <cfRule type="cellIs" dxfId="200" priority="9" operator="equal">
      <formula>TRUE</formula>
    </cfRule>
  </conditionalFormatting>
  <conditionalFormatting sqref="E14:F14">
    <cfRule type="cellIs" dxfId="199" priority="6" operator="equal">
      <formula>"EXC"</formula>
    </cfRule>
    <cfRule type="cellIs" dxfId="198" priority="7" operator="equal">
      <formula>"ABS"</formula>
    </cfRule>
  </conditionalFormatting>
  <conditionalFormatting sqref="E14">
    <cfRule type="cellIs" dxfId="197" priority="8" operator="greaterThan">
      <formula>$E$2</formula>
    </cfRule>
  </conditionalFormatting>
  <conditionalFormatting sqref="B14">
    <cfRule type="cellIs" dxfId="196" priority="5" operator="equal">
      <formula>TRUE</formula>
    </cfRule>
  </conditionalFormatting>
  <conditionalFormatting sqref="E15:F15">
    <cfRule type="cellIs" dxfId="195" priority="2" operator="equal">
      <formula>"EXC"</formula>
    </cfRule>
    <cfRule type="cellIs" dxfId="194" priority="3" operator="equal">
      <formula>"ABS"</formula>
    </cfRule>
  </conditionalFormatting>
  <conditionalFormatting sqref="E15">
    <cfRule type="cellIs" dxfId="193" priority="4" operator="greaterThan">
      <formula>$E$2</formula>
    </cfRule>
  </conditionalFormatting>
  <conditionalFormatting sqref="B15">
    <cfRule type="cellIs" dxfId="192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D1591"/>
  <sheetViews>
    <sheetView zoomScaleNormal="10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J4" sqref="J4"/>
    </sheetView>
  </sheetViews>
  <sheetFormatPr defaultRowHeight="15" x14ac:dyDescent="0.25"/>
  <cols>
    <col min="1" max="1" width="5.7109375" style="2" customWidth="1"/>
    <col min="2" max="2" width="8" style="2" customWidth="1"/>
    <col min="3" max="3" width="12.7109375" style="219" customWidth="1"/>
    <col min="4" max="4" width="40.7109375" style="2" customWidth="1"/>
    <col min="5" max="5" width="7.5703125" style="2" customWidth="1"/>
    <col min="6" max="6" width="8.7109375" style="2" customWidth="1"/>
    <col min="7" max="7" width="10.140625" style="2" customWidth="1"/>
    <col min="8" max="12" width="8.7109375" style="2" customWidth="1"/>
    <col min="13" max="13" width="1" style="2" customWidth="1"/>
    <col min="14" max="18" width="8.7109375" style="2" customWidth="1"/>
    <col min="19" max="21" width="9.140625" style="2"/>
    <col min="22" max="23" width="11" style="2" customWidth="1"/>
    <col min="24" max="26" width="7.7109375" style="2" customWidth="1"/>
    <col min="27" max="27" width="7.85546875" style="2" customWidth="1"/>
    <col min="28" max="30" width="9.140625" style="2"/>
  </cols>
  <sheetData>
    <row r="1" spans="1:27" ht="15.75" thickBot="1" x14ac:dyDescent="0.3">
      <c r="A1" s="1" t="s">
        <v>252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ht="39" thickBot="1" x14ac:dyDescent="0.3">
      <c r="E2" s="16"/>
      <c r="F2" s="404" t="s">
        <v>69</v>
      </c>
      <c r="G2" s="405"/>
      <c r="H2" s="405"/>
      <c r="I2" s="405"/>
      <c r="J2" s="405"/>
      <c r="K2" s="405"/>
      <c r="L2" s="405"/>
      <c r="M2" s="331"/>
      <c r="N2" s="332" t="s">
        <v>52</v>
      </c>
      <c r="O2" s="51" t="s">
        <v>61</v>
      </c>
      <c r="P2" s="51" t="s">
        <v>140</v>
      </c>
      <c r="Q2" s="51" t="s">
        <v>141</v>
      </c>
      <c r="R2" s="51" t="s">
        <v>176</v>
      </c>
      <c r="S2" s="51" t="s">
        <v>147</v>
      </c>
      <c r="T2" s="52" t="s">
        <v>70</v>
      </c>
      <c r="U2" s="333" t="s">
        <v>71</v>
      </c>
      <c r="V2" s="51" t="s">
        <v>72</v>
      </c>
      <c r="W2" s="51" t="s">
        <v>73</v>
      </c>
      <c r="X2" s="51" t="s">
        <v>74</v>
      </c>
      <c r="Y2" s="51" t="s">
        <v>75</v>
      </c>
      <c r="Z2" s="51" t="s">
        <v>76</v>
      </c>
      <c r="AA2" s="334" t="s">
        <v>77</v>
      </c>
    </row>
    <row r="3" spans="1:27" ht="45.75" thickBot="1" x14ac:dyDescent="0.3">
      <c r="A3" s="335" t="s">
        <v>78</v>
      </c>
      <c r="B3" s="335"/>
      <c r="C3" s="336" t="s">
        <v>78</v>
      </c>
      <c r="D3" s="337" t="s">
        <v>78</v>
      </c>
      <c r="E3" s="338"/>
      <c r="F3" s="339" t="s">
        <v>253</v>
      </c>
      <c r="G3" s="339" t="s">
        <v>254</v>
      </c>
      <c r="H3" s="339" t="s">
        <v>255</v>
      </c>
      <c r="I3" s="339" t="s">
        <v>256</v>
      </c>
      <c r="J3" s="355" t="s">
        <v>258</v>
      </c>
      <c r="K3" s="355" t="s">
        <v>258</v>
      </c>
      <c r="L3" s="356" t="s">
        <v>258</v>
      </c>
      <c r="M3" s="340"/>
      <c r="N3" s="341">
        <f>'CT1'!F2</f>
        <v>100</v>
      </c>
      <c r="O3" s="342">
        <f>'CT2'!F2</f>
        <v>100</v>
      </c>
      <c r="P3" s="342">
        <f>'CT3'!F2</f>
        <v>100</v>
      </c>
      <c r="Q3" s="342">
        <f>'CT4'!F2</f>
        <v>100</v>
      </c>
      <c r="R3" s="342">
        <f>'CT5'!F2</f>
        <v>100</v>
      </c>
      <c r="S3" s="342">
        <f>'CLASS TESTS'!E2</f>
        <v>100</v>
      </c>
      <c r="T3" s="342">
        <f>WPS!F2</f>
        <v>100</v>
      </c>
      <c r="U3" s="342">
        <f>TUTORIALS!S2</f>
        <v>100</v>
      </c>
      <c r="V3" s="342">
        <f>'LAB AFTERNOON'!AB2</f>
        <v>100</v>
      </c>
      <c r="W3" s="342">
        <f>'LAB EXAM'!G2</f>
        <v>100</v>
      </c>
      <c r="X3" s="342">
        <f>'OTHER 1'!F2</f>
        <v>100</v>
      </c>
      <c r="Y3" s="342">
        <f>'OTHER 2'!F2</f>
        <v>100</v>
      </c>
      <c r="Z3" s="342">
        <f>'OTHER 3'!F2</f>
        <v>100</v>
      </c>
      <c r="AA3" s="343">
        <v>100</v>
      </c>
    </row>
    <row r="4" spans="1:27" ht="30.75" thickBot="1" x14ac:dyDescent="0.3">
      <c r="A4" s="344" t="s">
        <v>4</v>
      </c>
      <c r="B4" s="143" t="s">
        <v>153</v>
      </c>
      <c r="C4" s="344" t="s">
        <v>5</v>
      </c>
      <c r="D4" s="344" t="s">
        <v>6</v>
      </c>
      <c r="E4" s="345" t="s">
        <v>79</v>
      </c>
      <c r="F4" s="45">
        <v>40</v>
      </c>
      <c r="G4" s="106">
        <v>50</v>
      </c>
      <c r="H4" s="45">
        <v>30</v>
      </c>
      <c r="I4" s="45">
        <v>50</v>
      </c>
      <c r="J4" s="45"/>
      <c r="K4" s="45"/>
      <c r="L4" s="357"/>
      <c r="M4" s="346"/>
      <c r="N4" s="347"/>
      <c r="O4" s="346"/>
      <c r="P4" s="346"/>
      <c r="Q4" s="406" t="s">
        <v>259</v>
      </c>
      <c r="R4" s="407"/>
      <c r="S4" s="354">
        <v>0.6</v>
      </c>
      <c r="T4" s="354">
        <v>0.4</v>
      </c>
      <c r="U4" s="354">
        <v>0</v>
      </c>
      <c r="V4" s="354">
        <v>0</v>
      </c>
      <c r="W4" s="354">
        <v>0</v>
      </c>
      <c r="X4" s="354">
        <v>0</v>
      </c>
      <c r="Y4" s="354">
        <v>0</v>
      </c>
      <c r="Z4" s="354">
        <v>0</v>
      </c>
      <c r="AA4" s="348">
        <f>SUM(S4:Z4)</f>
        <v>1</v>
      </c>
    </row>
    <row r="5" spans="1:27" ht="15.75" thickBot="1" x14ac:dyDescent="0.3">
      <c r="A5" s="11">
        <v>1</v>
      </c>
      <c r="B5" s="142" t="b">
        <f>ISERROR(MATCH(C5,MASTER!$B:$B,0))</f>
        <v>0</v>
      </c>
      <c r="C5" s="162" t="s">
        <v>235</v>
      </c>
      <c r="D5" s="349" t="s">
        <v>247</v>
      </c>
      <c r="E5" s="32" t="str">
        <f t="shared" ref="E5:E14" si="0">IF(OR(F5="No",G5="No",H5="No",I5="No",J5="No",K5="No",L5="No"),"DPR","DP")</f>
        <v>DP</v>
      </c>
      <c r="F5" s="350" t="str">
        <f t="shared" ref="F5:F14" si="1">IF(AA5&lt;$F$4,"No","Yes")</f>
        <v>Yes</v>
      </c>
      <c r="G5" s="351" t="str">
        <f t="shared" ref="G5:G14" si="2">IF(V5&lt;$G$4,"No","Yes")</f>
        <v>Yes</v>
      </c>
      <c r="H5" s="351" t="str">
        <f t="shared" ref="H5:H14" si="3">IF(S5&lt;$H$4,"No","Yes")</f>
        <v>Yes</v>
      </c>
      <c r="I5" s="32" t="str">
        <f t="shared" ref="I5:I14" si="4">IF(U5&lt;$I$4,"No","Yes")</f>
        <v>Yes</v>
      </c>
      <c r="J5" s="35"/>
      <c r="K5" s="35"/>
      <c r="L5" s="358"/>
      <c r="M5" s="346"/>
      <c r="N5" s="352">
        <f>VLOOKUP(C5,'CT1'!$C:$F,4,FALSE)</f>
        <v>100</v>
      </c>
      <c r="O5" s="353">
        <f>VLOOKUP(C5,'CT2'!$C:$F,4,FALSE)</f>
        <v>0</v>
      </c>
      <c r="P5" s="353">
        <f>VLOOKUP(C5,'CT3'!$C:$F,4,FALSE)</f>
        <v>0</v>
      </c>
      <c r="Q5" s="353">
        <f>VLOOKUP(C5,'CT4'!$C:$F,4,FALSE)</f>
        <v>0</v>
      </c>
      <c r="R5" s="353">
        <f>VLOOKUP(C5,'CT5'!$C:$F,4,FALSE)</f>
        <v>0</v>
      </c>
      <c r="S5" s="353">
        <f>VLOOKUP(C5,'CLASS TESTS'!$C:$E,3,FALSE)</f>
        <v>100</v>
      </c>
      <c r="T5" s="353">
        <f>VLOOKUP(C5,WPS!$C:$F,4,FALSE)</f>
        <v>100</v>
      </c>
      <c r="U5" s="32">
        <f>VLOOKUP(C5,TUTORIALS!$C:$S,17,FALSE)</f>
        <v>100</v>
      </c>
      <c r="V5" s="353">
        <f>VLOOKUP(C5,'LAB AFTERNOON'!$C:$AB,26,FALSE)</f>
        <v>100</v>
      </c>
      <c r="W5" s="32">
        <f>VLOOKUP(C5,'LAB EXAM'!$C:$G,5,FALSE)</f>
        <v>100</v>
      </c>
      <c r="X5" s="32">
        <f>VLOOKUP(C5,'OTHER 1'!$C:$F,4,FALSE)</f>
        <v>100</v>
      </c>
      <c r="Y5" s="32">
        <f>VLOOKUP(C5,'OTHER 2'!$C:$F,4,FALSE)</f>
        <v>100</v>
      </c>
      <c r="Z5" s="32">
        <f>VLOOKUP(C5,'OTHER 3'!$C:$F,4,FALSE)</f>
        <v>100</v>
      </c>
      <c r="AA5" s="353">
        <f t="shared" ref="AA5:AA14" si="5">(IF($S$4=0,0,$S$4*S5/$S$3)+IF($T$4=0,0,$T$4*T5/$T$3)+IF($U$4=0,0,$U$4*U5/$U$3)+IF($V$4=0,0,$V$4*V5/$V$3)+IF($W$4=0,0,$W$4*W5/$W$3)+IF($X$4=0,0,$X$4*X5/$X$3)+IF($Y$4=0,0,$Y$4*Y5/$Y$3)+IF($Z$4=0,0,$Z$4*Z5/$Z$3))*100</f>
        <v>100</v>
      </c>
    </row>
    <row r="6" spans="1:27" ht="15.75" thickBot="1" x14ac:dyDescent="0.3">
      <c r="A6" s="11">
        <v>2</v>
      </c>
      <c r="B6" s="142" t="b">
        <f>ISERROR(MATCH(C6,MASTER!$B:$B,0))</f>
        <v>0</v>
      </c>
      <c r="C6" s="162" t="s">
        <v>236</v>
      </c>
      <c r="D6" s="349" t="s">
        <v>248</v>
      </c>
      <c r="E6" s="32" t="str">
        <f t="shared" si="0"/>
        <v>DP</v>
      </c>
      <c r="F6" s="350" t="str">
        <f t="shared" si="1"/>
        <v>Yes</v>
      </c>
      <c r="G6" s="351" t="str">
        <f t="shared" si="2"/>
        <v>Yes</v>
      </c>
      <c r="H6" s="351" t="str">
        <f t="shared" si="3"/>
        <v>Yes</v>
      </c>
      <c r="I6" s="32" t="str">
        <f t="shared" si="4"/>
        <v>Yes</v>
      </c>
      <c r="J6" s="35"/>
      <c r="K6" s="35"/>
      <c r="L6" s="358"/>
      <c r="M6" s="346"/>
      <c r="N6" s="352">
        <f>VLOOKUP(C6,'CT1'!$C:$F,4,FALSE)</f>
        <v>50</v>
      </c>
      <c r="O6" s="353">
        <f>VLOOKUP(C6,'CT2'!$C:$F,4,FALSE)</f>
        <v>0</v>
      </c>
      <c r="P6" s="353">
        <f>VLOOKUP(C6,'CT3'!$C:$F,4,FALSE)</f>
        <v>0</v>
      </c>
      <c r="Q6" s="353">
        <f>VLOOKUP(C6,'CT4'!$C:$F,4,FALSE)</f>
        <v>0</v>
      </c>
      <c r="R6" s="353">
        <f>VLOOKUP(C6,'CT5'!$C:$F,4,FALSE)</f>
        <v>0</v>
      </c>
      <c r="S6" s="353">
        <f>VLOOKUP(C6,'CLASS TESTS'!$C:$E,3,FALSE)</f>
        <v>50</v>
      </c>
      <c r="T6" s="353">
        <f>VLOOKUP(C6,WPS!$C:$F,4,FALSE)</f>
        <v>50</v>
      </c>
      <c r="U6" s="32">
        <f>VLOOKUP(C6,TUTORIALS!$C:$S,17,FALSE)</f>
        <v>50</v>
      </c>
      <c r="V6" s="353">
        <f>VLOOKUP(C6,'LAB AFTERNOON'!$C:$AB,26,FALSE)</f>
        <v>50</v>
      </c>
      <c r="W6" s="32">
        <f>VLOOKUP(C6,'LAB EXAM'!$C:$G,5,FALSE)</f>
        <v>50</v>
      </c>
      <c r="X6" s="32">
        <f>VLOOKUP(C6,'OTHER 1'!$C:$F,4,FALSE)</f>
        <v>50</v>
      </c>
      <c r="Y6" s="32">
        <f>VLOOKUP(C6,'OTHER 2'!$C:$F,4,FALSE)</f>
        <v>50</v>
      </c>
      <c r="Z6" s="32">
        <f>VLOOKUP(C6,'OTHER 3'!$C:$F,4,FALSE)</f>
        <v>50</v>
      </c>
      <c r="AA6" s="353">
        <f t="shared" si="5"/>
        <v>50</v>
      </c>
    </row>
    <row r="7" spans="1:27" ht="15.75" thickBot="1" x14ac:dyDescent="0.3">
      <c r="A7" s="11">
        <v>3</v>
      </c>
      <c r="B7" s="142" t="b">
        <f>ISERROR(MATCH(C7,MASTER!$B:$B,0))</f>
        <v>0</v>
      </c>
      <c r="C7" s="162" t="s">
        <v>237</v>
      </c>
      <c r="D7" s="349" t="s">
        <v>249</v>
      </c>
      <c r="E7" s="32" t="str">
        <f t="shared" si="0"/>
        <v>DPR</v>
      </c>
      <c r="F7" s="350" t="str">
        <f t="shared" si="1"/>
        <v>No</v>
      </c>
      <c r="G7" s="351" t="str">
        <f t="shared" si="2"/>
        <v>No</v>
      </c>
      <c r="H7" s="351" t="str">
        <f t="shared" si="3"/>
        <v>No</v>
      </c>
      <c r="I7" s="32" t="str">
        <f t="shared" si="4"/>
        <v>No</v>
      </c>
      <c r="J7" s="35"/>
      <c r="K7" s="35"/>
      <c r="L7" s="358"/>
      <c r="M7" s="346"/>
      <c r="N7" s="352">
        <f>VLOOKUP(C7,'CT1'!$C:$F,4,FALSE)</f>
        <v>0</v>
      </c>
      <c r="O7" s="353">
        <f>VLOOKUP(C7,'CT2'!$C:$F,4,FALSE)</f>
        <v>0</v>
      </c>
      <c r="P7" s="353">
        <f>VLOOKUP(C7,'CT3'!$C:$F,4,FALSE)</f>
        <v>0</v>
      </c>
      <c r="Q7" s="353">
        <f>VLOOKUP(C7,'CT4'!$C:$F,4,FALSE)</f>
        <v>0</v>
      </c>
      <c r="R7" s="353">
        <f>VLOOKUP(C7,'CT5'!$C:$F,4,FALSE)</f>
        <v>0</v>
      </c>
      <c r="S7" s="353">
        <f>VLOOKUP(C7,'CLASS TESTS'!$C:$E,3,FALSE)</f>
        <v>0</v>
      </c>
      <c r="T7" s="353">
        <f>VLOOKUP(C7,WPS!$C:$F,4,FALSE)</f>
        <v>0</v>
      </c>
      <c r="U7" s="32">
        <f>VLOOKUP(C7,TUTORIALS!$C:$S,17,FALSE)</f>
        <v>0</v>
      </c>
      <c r="V7" s="353">
        <f>VLOOKUP(C7,'LAB AFTERNOON'!$C:$AB,26,FALSE)</f>
        <v>0</v>
      </c>
      <c r="W7" s="32">
        <f>VLOOKUP(C7,'LAB EXAM'!$C:$G,5,FALSE)</f>
        <v>0</v>
      </c>
      <c r="X7" s="32">
        <f>VLOOKUP(C7,'OTHER 1'!$C:$F,4,FALSE)</f>
        <v>0</v>
      </c>
      <c r="Y7" s="32">
        <f>VLOOKUP(C7,'OTHER 2'!$C:$F,4,FALSE)</f>
        <v>0</v>
      </c>
      <c r="Z7" s="32">
        <f>VLOOKUP(C7,'OTHER 3'!$C:$F,4,FALSE)</f>
        <v>0</v>
      </c>
      <c r="AA7" s="353">
        <f t="shared" si="5"/>
        <v>0</v>
      </c>
    </row>
    <row r="8" spans="1:27" ht="15.75" thickBot="1" x14ac:dyDescent="0.3">
      <c r="A8" s="11">
        <v>4</v>
      </c>
      <c r="B8" s="142" t="b">
        <f>ISERROR(MATCH(C8,MASTER!$B:$B,0))</f>
        <v>0</v>
      </c>
      <c r="C8" s="162" t="s">
        <v>238</v>
      </c>
      <c r="D8" s="349" t="s">
        <v>250</v>
      </c>
      <c r="E8" s="32" t="str">
        <f t="shared" si="0"/>
        <v>DP</v>
      </c>
      <c r="F8" s="350" t="str">
        <f t="shared" si="1"/>
        <v>Yes</v>
      </c>
      <c r="G8" s="351" t="str">
        <f t="shared" si="2"/>
        <v>Yes</v>
      </c>
      <c r="H8" s="351" t="str">
        <f t="shared" si="3"/>
        <v>Yes</v>
      </c>
      <c r="I8" s="32" t="str">
        <f t="shared" si="4"/>
        <v>Yes</v>
      </c>
      <c r="J8" s="35"/>
      <c r="K8" s="35"/>
      <c r="L8" s="358"/>
      <c r="M8" s="346"/>
      <c r="N8" s="352">
        <f>VLOOKUP(C8,'CT1'!$C:$F,4,FALSE)</f>
        <v>200</v>
      </c>
      <c r="O8" s="353">
        <f>VLOOKUP(C8,'CT2'!$C:$F,4,FALSE)</f>
        <v>0</v>
      </c>
      <c r="P8" s="353">
        <f>VLOOKUP(C8,'CT3'!$C:$F,4,FALSE)</f>
        <v>0</v>
      </c>
      <c r="Q8" s="353">
        <f>VLOOKUP(C8,'CT4'!$C:$F,4,FALSE)</f>
        <v>0</v>
      </c>
      <c r="R8" s="353">
        <f>VLOOKUP(C8,'CT5'!$C:$F,4,FALSE)</f>
        <v>0</v>
      </c>
      <c r="S8" s="353">
        <f>VLOOKUP(C8,'CLASS TESTS'!$C:$E,3,FALSE)</f>
        <v>200</v>
      </c>
      <c r="T8" s="353">
        <f>VLOOKUP(C8,WPS!$C:$F,4,FALSE)</f>
        <v>200</v>
      </c>
      <c r="U8" s="32">
        <f>VLOOKUP(C8,TUTORIALS!$C:$S,17,FALSE)</f>
        <v>200</v>
      </c>
      <c r="V8" s="353">
        <f>VLOOKUP(C8,'LAB AFTERNOON'!$C:$AB,26,FALSE)</f>
        <v>200</v>
      </c>
      <c r="W8" s="32">
        <f>VLOOKUP(C8,'LAB EXAM'!$C:$G,5,FALSE)</f>
        <v>200</v>
      </c>
      <c r="X8" s="32">
        <f>VLOOKUP(C8,'OTHER 1'!$C:$F,4,FALSE)</f>
        <v>200</v>
      </c>
      <c r="Y8" s="32">
        <f>VLOOKUP(C8,'OTHER 2'!$C:$F,4,FALSE)</f>
        <v>200</v>
      </c>
      <c r="Z8" s="32">
        <f>VLOOKUP(C8,'OTHER 3'!$C:$F,4,FALSE)</f>
        <v>200</v>
      </c>
      <c r="AA8" s="353">
        <f t="shared" si="5"/>
        <v>200</v>
      </c>
    </row>
    <row r="9" spans="1:27" ht="15.75" thickBot="1" x14ac:dyDescent="0.3">
      <c r="A9" s="11">
        <v>5</v>
      </c>
      <c r="B9" s="142" t="b">
        <f>ISERROR(MATCH(C9,MASTER!$B:$B,0))</f>
        <v>0</v>
      </c>
      <c r="C9" s="162" t="s">
        <v>239</v>
      </c>
      <c r="D9" s="349" t="s">
        <v>245</v>
      </c>
      <c r="E9" s="32" t="str">
        <f t="shared" si="0"/>
        <v>DPR</v>
      </c>
      <c r="F9" s="350" t="str">
        <f t="shared" si="1"/>
        <v>No</v>
      </c>
      <c r="G9" s="351" t="str">
        <f t="shared" si="2"/>
        <v>No</v>
      </c>
      <c r="H9" s="351" t="str">
        <f t="shared" si="3"/>
        <v>No</v>
      </c>
      <c r="I9" s="32" t="str">
        <f t="shared" si="4"/>
        <v>No</v>
      </c>
      <c r="J9" s="35"/>
      <c r="K9" s="35"/>
      <c r="L9" s="358"/>
      <c r="M9" s="346"/>
      <c r="N9" s="352" t="str">
        <f>VLOOKUP(C9,'CT1'!$C:$F,4,FALSE)</f>
        <v>ABS</v>
      </c>
      <c r="O9" s="353">
        <f>VLOOKUP(C9,'CT2'!$C:$F,4,FALSE)</f>
        <v>0</v>
      </c>
      <c r="P9" s="353">
        <f>VLOOKUP(C9,'CT3'!$C:$F,4,FALSE)</f>
        <v>0</v>
      </c>
      <c r="Q9" s="353">
        <f>VLOOKUP(C9,'CT4'!$C:$F,4,FALSE)</f>
        <v>0</v>
      </c>
      <c r="R9" s="353">
        <f>VLOOKUP(C9,'CT5'!$C:$F,4,FALSE)</f>
        <v>0</v>
      </c>
      <c r="S9" s="353">
        <f>VLOOKUP(C9,'CLASS TESTS'!$C:$E,3,FALSE)</f>
        <v>0</v>
      </c>
      <c r="T9" s="353">
        <f>VLOOKUP(C9,WPS!$C:$F,4,FALSE)</f>
        <v>0</v>
      </c>
      <c r="U9" s="32">
        <f>VLOOKUP(C9,TUTORIALS!$C:$S,17,FALSE)</f>
        <v>0</v>
      </c>
      <c r="V9" s="353">
        <f>VLOOKUP(C9,'LAB AFTERNOON'!$C:$AB,26,FALSE)</f>
        <v>0</v>
      </c>
      <c r="W9" s="32" t="str">
        <f>VLOOKUP(C9,'LAB EXAM'!$C:$G,5,FALSE)</f>
        <v>ABS</v>
      </c>
      <c r="X9" s="32" t="str">
        <f>VLOOKUP(C9,'OTHER 1'!$C:$F,4,FALSE)</f>
        <v>ABS</v>
      </c>
      <c r="Y9" s="32" t="str">
        <f>VLOOKUP(C9,'OTHER 2'!$C:$F,4,FALSE)</f>
        <v>ABS</v>
      </c>
      <c r="Z9" s="32" t="str">
        <f>VLOOKUP(C9,'OTHER 3'!$C:$F,4,FALSE)</f>
        <v>ABS</v>
      </c>
      <c r="AA9" s="353">
        <f t="shared" si="5"/>
        <v>0</v>
      </c>
    </row>
    <row r="10" spans="1:27" ht="15.75" thickBot="1" x14ac:dyDescent="0.3">
      <c r="A10" s="11">
        <v>6</v>
      </c>
      <c r="B10" s="142" t="b">
        <f>ISERROR(MATCH(C10,MASTER!$B:$B,0))</f>
        <v>0</v>
      </c>
      <c r="C10" s="162" t="s">
        <v>240</v>
      </c>
      <c r="D10" s="349" t="s">
        <v>246</v>
      </c>
      <c r="E10" s="32" t="e">
        <f t="shared" si="0"/>
        <v>#DIV/0!</v>
      </c>
      <c r="F10" s="350" t="e">
        <f t="shared" si="1"/>
        <v>#DIV/0!</v>
      </c>
      <c r="G10" s="351" t="e">
        <f t="shared" si="2"/>
        <v>#DIV/0!</v>
      </c>
      <c r="H10" s="351" t="e">
        <f t="shared" si="3"/>
        <v>#DIV/0!</v>
      </c>
      <c r="I10" s="32" t="e">
        <f t="shared" si="4"/>
        <v>#DIV/0!</v>
      </c>
      <c r="J10" s="35"/>
      <c r="K10" s="35"/>
      <c r="L10" s="358"/>
      <c r="M10" s="346"/>
      <c r="N10" s="352" t="str">
        <f>VLOOKUP(C10,'CT1'!$C:$F,4,FALSE)</f>
        <v>EXC</v>
      </c>
      <c r="O10" s="353">
        <f>VLOOKUP(C10,'CT2'!$C:$F,4,FALSE)</f>
        <v>0</v>
      </c>
      <c r="P10" s="353">
        <f>VLOOKUP(C10,'CT3'!$C:$F,4,FALSE)</f>
        <v>0</v>
      </c>
      <c r="Q10" s="353">
        <f>VLOOKUP(C10,'CT4'!$C:$F,4,FALSE)</f>
        <v>0</v>
      </c>
      <c r="R10" s="353">
        <f>VLOOKUP(C10,'CT5'!$C:$F,4,FALSE)</f>
        <v>0</v>
      </c>
      <c r="S10" s="353" t="e">
        <f>VLOOKUP(C10,'CLASS TESTS'!$C:$E,3,FALSE)</f>
        <v>#DIV/0!</v>
      </c>
      <c r="T10" s="353" t="e">
        <f>VLOOKUP(C10,WPS!$C:$F,4,FALSE)</f>
        <v>#DIV/0!</v>
      </c>
      <c r="U10" s="32" t="e">
        <f>VLOOKUP(C10,TUTORIALS!$C:$S,17,FALSE)</f>
        <v>#DIV/0!</v>
      </c>
      <c r="V10" s="353" t="e">
        <f>VLOOKUP(C10,'LAB AFTERNOON'!$C:$AB,26,FALSE)</f>
        <v>#DIV/0!</v>
      </c>
      <c r="W10" s="32">
        <f>VLOOKUP(C10,'LAB EXAM'!$C:$G,5,FALSE)</f>
        <v>50</v>
      </c>
      <c r="X10" s="32" t="str">
        <f>VLOOKUP(C10,'OTHER 1'!$C:$F,4,FALSE)</f>
        <v>EXC</v>
      </c>
      <c r="Y10" s="32" t="str">
        <f>VLOOKUP(C10,'OTHER 2'!$C:$F,4,FALSE)</f>
        <v>EXC</v>
      </c>
      <c r="Z10" s="32" t="str">
        <f>VLOOKUP(C10,'OTHER 3'!$C:$F,4,FALSE)</f>
        <v>EXC</v>
      </c>
      <c r="AA10" s="353" t="e">
        <f t="shared" si="5"/>
        <v>#DIV/0!</v>
      </c>
    </row>
    <row r="11" spans="1:27" ht="15.75" thickBot="1" x14ac:dyDescent="0.3">
      <c r="A11" s="11">
        <v>7</v>
      </c>
      <c r="B11" s="142" t="b">
        <f>ISERROR(MATCH(C11,MASTER!$B:$B,0))</f>
        <v>0</v>
      </c>
      <c r="C11" s="162" t="s">
        <v>241</v>
      </c>
      <c r="D11" s="349" t="s">
        <v>91</v>
      </c>
      <c r="E11" s="32" t="str">
        <f t="shared" si="0"/>
        <v>DP</v>
      </c>
      <c r="F11" s="350" t="str">
        <f t="shared" si="1"/>
        <v>Yes</v>
      </c>
      <c r="G11" s="351" t="str">
        <f t="shared" si="2"/>
        <v>Yes</v>
      </c>
      <c r="H11" s="351" t="str">
        <f t="shared" si="3"/>
        <v>Yes</v>
      </c>
      <c r="I11" s="32" t="str">
        <f t="shared" si="4"/>
        <v>Yes</v>
      </c>
      <c r="J11" s="35"/>
      <c r="K11" s="35"/>
      <c r="L11" s="358"/>
      <c r="M11" s="346"/>
      <c r="N11" s="352">
        <f>VLOOKUP(C11,'CT1'!$C:$F,4,FALSE)</f>
        <v>55.000000000000007</v>
      </c>
      <c r="O11" s="353">
        <f>VLOOKUP(C11,'CT2'!$C:$F,4,FALSE)</f>
        <v>0</v>
      </c>
      <c r="P11" s="353">
        <f>VLOOKUP(C11,'CT3'!$C:$F,4,FALSE)</f>
        <v>0</v>
      </c>
      <c r="Q11" s="353">
        <f>VLOOKUP(C11,'CT4'!$C:$F,4,FALSE)</f>
        <v>0</v>
      </c>
      <c r="R11" s="353">
        <f>VLOOKUP(C11,'CT5'!$C:$F,4,FALSE)</f>
        <v>0</v>
      </c>
      <c r="S11" s="353">
        <f>VLOOKUP(C11,'CLASS TESTS'!$C:$E,3,FALSE)</f>
        <v>55.000000000000007</v>
      </c>
      <c r="T11" s="353">
        <f>VLOOKUP(C11,WPS!$C:$F,4,FALSE)</f>
        <v>50</v>
      </c>
      <c r="U11" s="32">
        <f>VLOOKUP(C11,TUTORIALS!$C:$S,17,FALSE)</f>
        <v>80</v>
      </c>
      <c r="V11" s="353">
        <f>VLOOKUP(C11,'LAB AFTERNOON'!$C:$AB,26,FALSE)</f>
        <v>64</v>
      </c>
      <c r="W11" s="32">
        <f>VLOOKUP(C11,'LAB EXAM'!$C:$G,5,FALSE)</f>
        <v>50</v>
      </c>
      <c r="X11" s="32">
        <f>VLOOKUP(C11,'OTHER 1'!$C:$F,4,FALSE)</f>
        <v>44</v>
      </c>
      <c r="Y11" s="32">
        <f>VLOOKUP(C11,'OTHER 2'!$C:$F,4,FALSE)</f>
        <v>44</v>
      </c>
      <c r="Z11" s="32">
        <f>VLOOKUP(C11,'OTHER 3'!$C:$F,4,FALSE)</f>
        <v>44</v>
      </c>
      <c r="AA11" s="353">
        <f t="shared" si="5"/>
        <v>53</v>
      </c>
    </row>
    <row r="12" spans="1:27" ht="15.75" thickBot="1" x14ac:dyDescent="0.3">
      <c r="A12" s="11">
        <v>8</v>
      </c>
      <c r="B12" s="142" t="b">
        <f>ISERROR(MATCH(C12,MASTER!$B:$B,0))</f>
        <v>0</v>
      </c>
      <c r="C12" s="162" t="s">
        <v>242</v>
      </c>
      <c r="D12" s="349" t="s">
        <v>94</v>
      </c>
      <c r="E12" s="32" t="str">
        <f t="shared" si="0"/>
        <v>DP</v>
      </c>
      <c r="F12" s="350" t="str">
        <f t="shared" si="1"/>
        <v>Yes</v>
      </c>
      <c r="G12" s="351" t="str">
        <f t="shared" si="2"/>
        <v>Yes</v>
      </c>
      <c r="H12" s="351" t="str">
        <f t="shared" si="3"/>
        <v>Yes</v>
      </c>
      <c r="I12" s="32" t="str">
        <f t="shared" si="4"/>
        <v>Yes</v>
      </c>
      <c r="J12" s="35"/>
      <c r="K12" s="35"/>
      <c r="L12" s="358"/>
      <c r="M12" s="346"/>
      <c r="N12" s="352">
        <f>VLOOKUP(C12,'CT1'!$C:$F,4,FALSE)</f>
        <v>55.000000000000007</v>
      </c>
      <c r="O12" s="353">
        <f>VLOOKUP(C12,'CT2'!$C:$F,4,FALSE)</f>
        <v>0</v>
      </c>
      <c r="P12" s="353">
        <f>VLOOKUP(C12,'CT3'!$C:$F,4,FALSE)</f>
        <v>0</v>
      </c>
      <c r="Q12" s="353">
        <f>VLOOKUP(C12,'CT4'!$C:$F,4,FALSE)</f>
        <v>0</v>
      </c>
      <c r="R12" s="353">
        <f>VLOOKUP(C12,'CT5'!$C:$F,4,FALSE)</f>
        <v>0</v>
      </c>
      <c r="S12" s="353">
        <f>VLOOKUP(C12,'CLASS TESTS'!$C:$E,3,FALSE)</f>
        <v>55.000000000000007</v>
      </c>
      <c r="T12" s="353">
        <f>VLOOKUP(C12,WPS!$C:$F,4,FALSE)</f>
        <v>50</v>
      </c>
      <c r="U12" s="32">
        <f>VLOOKUP(C12,TUTORIALS!$C:$S,17,FALSE)</f>
        <v>80</v>
      </c>
      <c r="V12" s="353">
        <f>VLOOKUP(C12,'LAB AFTERNOON'!$C:$AB,26,FALSE)</f>
        <v>100</v>
      </c>
      <c r="W12" s="32">
        <f>VLOOKUP(C12,'LAB EXAM'!$C:$G,5,FALSE)</f>
        <v>60</v>
      </c>
      <c r="X12" s="32">
        <f>VLOOKUP(C12,'OTHER 1'!$C:$F,4,FALSE)</f>
        <v>44</v>
      </c>
      <c r="Y12" s="32">
        <f>VLOOKUP(C12,'OTHER 2'!$C:$F,4,FALSE)</f>
        <v>44</v>
      </c>
      <c r="Z12" s="32">
        <f>VLOOKUP(C12,'OTHER 3'!$C:$F,4,FALSE)</f>
        <v>44</v>
      </c>
      <c r="AA12" s="353">
        <f t="shared" si="5"/>
        <v>53</v>
      </c>
    </row>
    <row r="13" spans="1:27" ht="15.75" thickBot="1" x14ac:dyDescent="0.3">
      <c r="A13" s="11">
        <v>9</v>
      </c>
      <c r="B13" s="142" t="b">
        <f>ISERROR(MATCH(C13,MASTER!$B:$B,0))</f>
        <v>0</v>
      </c>
      <c r="C13" s="162" t="s">
        <v>243</v>
      </c>
      <c r="D13" s="349" t="s">
        <v>172</v>
      </c>
      <c r="E13" s="32" t="str">
        <f t="shared" si="0"/>
        <v>DPR</v>
      </c>
      <c r="F13" s="350" t="str">
        <f t="shared" si="1"/>
        <v>No</v>
      </c>
      <c r="G13" s="351" t="str">
        <f t="shared" si="2"/>
        <v>Yes</v>
      </c>
      <c r="H13" s="351" t="str">
        <f t="shared" si="3"/>
        <v>Yes</v>
      </c>
      <c r="I13" s="32" t="str">
        <f t="shared" si="4"/>
        <v>No</v>
      </c>
      <c r="J13" s="35"/>
      <c r="K13" s="35"/>
      <c r="L13" s="358"/>
      <c r="M13" s="346"/>
      <c r="N13" s="352">
        <f>VLOOKUP(C13,'CT1'!$C:$F,4,FALSE)</f>
        <v>55.000000000000007</v>
      </c>
      <c r="O13" s="353">
        <f>VLOOKUP(C13,'CT2'!$C:$F,4,FALSE)</f>
        <v>0</v>
      </c>
      <c r="P13" s="353">
        <f>VLOOKUP(C13,'CT3'!$C:$F,4,FALSE)</f>
        <v>0</v>
      </c>
      <c r="Q13" s="353">
        <f>VLOOKUP(C13,'CT4'!$C:$F,4,FALSE)</f>
        <v>0</v>
      </c>
      <c r="R13" s="353">
        <f>VLOOKUP(C13,'CT5'!$C:$F,4,FALSE)</f>
        <v>0</v>
      </c>
      <c r="S13" s="353">
        <f>VLOOKUP(C13,'CLASS TESTS'!$C:$E,3,FALSE)</f>
        <v>55.000000000000007</v>
      </c>
      <c r="T13" s="353">
        <f>VLOOKUP(C13,WPS!$C:$F,4,FALSE)</f>
        <v>0</v>
      </c>
      <c r="U13" s="32">
        <f>VLOOKUP(C13,TUTORIALS!$C:$S,17,FALSE)</f>
        <v>0</v>
      </c>
      <c r="V13" s="353">
        <f>VLOOKUP(C13,'LAB AFTERNOON'!$C:$AB,26,FALSE)</f>
        <v>100</v>
      </c>
      <c r="W13" s="32">
        <f>VLOOKUP(C13,'LAB EXAM'!$C:$G,5,FALSE)</f>
        <v>50</v>
      </c>
      <c r="X13" s="32">
        <f>VLOOKUP(C13,'OTHER 1'!$C:$F,4,FALSE)</f>
        <v>44</v>
      </c>
      <c r="Y13" s="32">
        <f>VLOOKUP(C13,'OTHER 2'!$C:$F,4,FALSE)</f>
        <v>44</v>
      </c>
      <c r="Z13" s="32">
        <f>VLOOKUP(C13,'OTHER 3'!$C:$F,4,FALSE)</f>
        <v>44</v>
      </c>
      <c r="AA13" s="353">
        <f t="shared" si="5"/>
        <v>33</v>
      </c>
    </row>
    <row r="14" spans="1:27" ht="15.75" thickBot="1" x14ac:dyDescent="0.3">
      <c r="A14" s="11">
        <v>10</v>
      </c>
      <c r="B14" s="142" t="b">
        <f>ISERROR(MATCH(C14,MASTER!$B:$B,0))</f>
        <v>0</v>
      </c>
      <c r="C14" s="162" t="s">
        <v>244</v>
      </c>
      <c r="D14" s="349" t="s">
        <v>92</v>
      </c>
      <c r="E14" s="32" t="str">
        <f t="shared" si="0"/>
        <v>DP</v>
      </c>
      <c r="F14" s="350" t="str">
        <f t="shared" si="1"/>
        <v>Yes</v>
      </c>
      <c r="G14" s="351" t="str">
        <f t="shared" si="2"/>
        <v>Yes</v>
      </c>
      <c r="H14" s="351" t="str">
        <f t="shared" si="3"/>
        <v>Yes</v>
      </c>
      <c r="I14" s="32" t="str">
        <f t="shared" si="4"/>
        <v>Yes</v>
      </c>
      <c r="J14" s="35"/>
      <c r="K14" s="35"/>
      <c r="L14" s="358"/>
      <c r="M14" s="346"/>
      <c r="N14" s="352">
        <f>VLOOKUP(C14,'CT1'!$C:$F,4,FALSE)</f>
        <v>55.000000000000007</v>
      </c>
      <c r="O14" s="353">
        <f>VLOOKUP(C14,'CT2'!$C:$F,4,FALSE)</f>
        <v>0</v>
      </c>
      <c r="P14" s="353">
        <f>VLOOKUP(C14,'CT3'!$C:$F,4,FALSE)</f>
        <v>0</v>
      </c>
      <c r="Q14" s="353">
        <f>VLOOKUP(C14,'CT4'!$C:$F,4,FALSE)</f>
        <v>0</v>
      </c>
      <c r="R14" s="353">
        <f>VLOOKUP(C14,'CT5'!$C:$F,4,FALSE)</f>
        <v>0</v>
      </c>
      <c r="S14" s="353">
        <f>VLOOKUP(C14,'CLASS TESTS'!$C:$E,3,FALSE)</f>
        <v>55.000000000000007</v>
      </c>
      <c r="T14" s="353">
        <f>VLOOKUP(C14,WPS!$C:$F,4,FALSE)</f>
        <v>50</v>
      </c>
      <c r="U14" s="32">
        <f>VLOOKUP(C14,TUTORIALS!$C:$S,17,FALSE)</f>
        <v>100</v>
      </c>
      <c r="V14" s="353">
        <f>VLOOKUP(C14,'LAB AFTERNOON'!$C:$AB,26,FALSE)</f>
        <v>100</v>
      </c>
      <c r="W14" s="32">
        <f>VLOOKUP(C14,'LAB EXAM'!$C:$G,5,FALSE)</f>
        <v>50</v>
      </c>
      <c r="X14" s="32">
        <f>VLOOKUP(C14,'OTHER 1'!$C:$F,4,FALSE)</f>
        <v>44</v>
      </c>
      <c r="Y14" s="32">
        <f>VLOOKUP(C14,'OTHER 2'!$C:$F,4,FALSE)</f>
        <v>44</v>
      </c>
      <c r="Z14" s="32">
        <f>VLOOKUP(C14,'OTHER 3'!$C:$F,4,FALSE)</f>
        <v>44</v>
      </c>
      <c r="AA14" s="353">
        <f t="shared" si="5"/>
        <v>53</v>
      </c>
    </row>
    <row r="15" spans="1:27" x14ac:dyDescent="0.25">
      <c r="C15" s="180"/>
      <c r="D15" s="180"/>
      <c r="J15" s="144"/>
      <c r="K15" s="144"/>
      <c r="L15" s="144"/>
    </row>
    <row r="16" spans="1:27" x14ac:dyDescent="0.25">
      <c r="C16" s="180"/>
      <c r="D16" s="180"/>
      <c r="J16" s="144"/>
      <c r="K16" s="144"/>
      <c r="L16" s="144"/>
    </row>
    <row r="17" spans="3:12" x14ac:dyDescent="0.25">
      <c r="C17" s="180"/>
      <c r="D17" s="180"/>
      <c r="J17" s="144"/>
      <c r="K17" s="144"/>
      <c r="L17" s="144"/>
    </row>
    <row r="18" spans="3:12" x14ac:dyDescent="0.25">
      <c r="C18" s="180"/>
      <c r="D18" s="180"/>
      <c r="J18" s="144"/>
      <c r="K18" s="144"/>
      <c r="L18" s="144"/>
    </row>
    <row r="19" spans="3:12" x14ac:dyDescent="0.25">
      <c r="C19" s="180"/>
      <c r="D19" s="180"/>
      <c r="J19" s="144"/>
      <c r="K19" s="144"/>
      <c r="L19" s="144"/>
    </row>
    <row r="20" spans="3:12" x14ac:dyDescent="0.25">
      <c r="C20" s="180"/>
      <c r="D20" s="180"/>
      <c r="J20" s="144"/>
      <c r="K20" s="144"/>
      <c r="L20" s="144"/>
    </row>
    <row r="21" spans="3:12" x14ac:dyDescent="0.25">
      <c r="C21" s="180"/>
      <c r="D21" s="180"/>
      <c r="J21" s="144"/>
      <c r="K21" s="144"/>
      <c r="L21" s="144"/>
    </row>
    <row r="22" spans="3:12" x14ac:dyDescent="0.25">
      <c r="C22" s="180"/>
      <c r="D22" s="180"/>
      <c r="J22" s="144"/>
      <c r="K22" s="144"/>
      <c r="L22" s="144"/>
    </row>
    <row r="23" spans="3:12" x14ac:dyDescent="0.25">
      <c r="C23" s="180"/>
      <c r="D23" s="180"/>
      <c r="J23" s="144"/>
      <c r="K23" s="144"/>
      <c r="L23" s="144"/>
    </row>
    <row r="24" spans="3:12" x14ac:dyDescent="0.25">
      <c r="C24" s="180"/>
      <c r="D24" s="180"/>
      <c r="J24" s="144"/>
      <c r="K24" s="144"/>
      <c r="L24" s="144"/>
    </row>
    <row r="25" spans="3:12" x14ac:dyDescent="0.25">
      <c r="C25" s="180"/>
      <c r="D25" s="180"/>
      <c r="J25" s="144"/>
      <c r="K25" s="144"/>
      <c r="L25" s="144"/>
    </row>
    <row r="26" spans="3:12" x14ac:dyDescent="0.25">
      <c r="C26" s="180"/>
      <c r="D26" s="180"/>
      <c r="J26" s="144"/>
      <c r="K26" s="144"/>
      <c r="L26" s="144"/>
    </row>
    <row r="27" spans="3:12" x14ac:dyDescent="0.25">
      <c r="C27" s="180"/>
      <c r="D27" s="180"/>
      <c r="J27" s="144"/>
      <c r="K27" s="144"/>
      <c r="L27" s="144"/>
    </row>
    <row r="28" spans="3:12" x14ac:dyDescent="0.25">
      <c r="C28" s="180"/>
      <c r="D28" s="180"/>
      <c r="J28" s="144"/>
      <c r="K28" s="144"/>
      <c r="L28" s="144"/>
    </row>
    <row r="29" spans="3:12" x14ac:dyDescent="0.25">
      <c r="C29" s="180"/>
      <c r="D29" s="180"/>
      <c r="J29" s="144"/>
      <c r="K29" s="144"/>
      <c r="L29" s="144"/>
    </row>
    <row r="30" spans="3:12" x14ac:dyDescent="0.25">
      <c r="C30" s="180"/>
      <c r="D30" s="180"/>
      <c r="J30" s="144"/>
      <c r="K30" s="144"/>
      <c r="L30" s="144"/>
    </row>
    <row r="31" spans="3:12" x14ac:dyDescent="0.25">
      <c r="C31" s="180"/>
      <c r="D31" s="180"/>
      <c r="J31" s="144"/>
      <c r="K31" s="144"/>
      <c r="L31" s="144"/>
    </row>
    <row r="32" spans="3:12" x14ac:dyDescent="0.25">
      <c r="C32" s="180"/>
      <c r="D32" s="180"/>
      <c r="J32" s="144"/>
      <c r="K32" s="144"/>
      <c r="L32" s="144"/>
    </row>
    <row r="33" spans="3:12" x14ac:dyDescent="0.25">
      <c r="C33" s="180"/>
      <c r="D33" s="180"/>
      <c r="J33" s="144"/>
      <c r="K33" s="144"/>
      <c r="L33" s="144"/>
    </row>
    <row r="34" spans="3:12" x14ac:dyDescent="0.25">
      <c r="C34" s="180"/>
      <c r="D34" s="180"/>
      <c r="J34" s="144"/>
      <c r="K34" s="144"/>
      <c r="L34" s="144"/>
    </row>
    <row r="35" spans="3:12" x14ac:dyDescent="0.25">
      <c r="C35" s="180"/>
      <c r="D35" s="180"/>
      <c r="J35" s="144"/>
      <c r="K35" s="144"/>
      <c r="L35" s="144"/>
    </row>
    <row r="36" spans="3:12" x14ac:dyDescent="0.25">
      <c r="C36" s="180"/>
      <c r="D36" s="180"/>
      <c r="J36" s="144"/>
      <c r="K36" s="144"/>
      <c r="L36" s="144"/>
    </row>
    <row r="37" spans="3:12" x14ac:dyDescent="0.25">
      <c r="C37" s="180"/>
      <c r="D37" s="180"/>
      <c r="J37" s="144"/>
      <c r="K37" s="144"/>
      <c r="L37" s="144"/>
    </row>
    <row r="38" spans="3:12" x14ac:dyDescent="0.25">
      <c r="C38" s="180"/>
      <c r="D38" s="180"/>
      <c r="J38" s="144"/>
      <c r="K38" s="144"/>
      <c r="L38" s="144"/>
    </row>
    <row r="39" spans="3:12" x14ac:dyDescent="0.25">
      <c r="C39" s="180"/>
      <c r="D39" s="180"/>
      <c r="J39" s="144"/>
      <c r="K39" s="144"/>
      <c r="L39" s="144"/>
    </row>
    <row r="40" spans="3:12" x14ac:dyDescent="0.25">
      <c r="C40" s="180"/>
      <c r="D40" s="180"/>
      <c r="J40" s="144"/>
      <c r="K40" s="144"/>
      <c r="L40" s="144"/>
    </row>
    <row r="41" spans="3:12" x14ac:dyDescent="0.25">
      <c r="C41" s="180"/>
      <c r="D41" s="180"/>
      <c r="J41" s="144"/>
      <c r="K41" s="144"/>
      <c r="L41" s="144"/>
    </row>
    <row r="42" spans="3:12" x14ac:dyDescent="0.25">
      <c r="C42" s="180"/>
      <c r="D42" s="180"/>
      <c r="J42" s="144"/>
      <c r="K42" s="144"/>
      <c r="L42" s="144"/>
    </row>
    <row r="43" spans="3:12" x14ac:dyDescent="0.25">
      <c r="C43" s="180"/>
      <c r="D43" s="180"/>
      <c r="J43" s="144"/>
      <c r="K43" s="144"/>
      <c r="L43" s="144"/>
    </row>
    <row r="44" spans="3:12" x14ac:dyDescent="0.25">
      <c r="C44" s="180"/>
      <c r="D44" s="180"/>
      <c r="J44" s="144"/>
      <c r="K44" s="144"/>
      <c r="L44" s="144"/>
    </row>
    <row r="45" spans="3:12" x14ac:dyDescent="0.25">
      <c r="C45" s="180"/>
      <c r="D45" s="180"/>
      <c r="J45" s="144"/>
      <c r="K45" s="144"/>
      <c r="L45" s="144"/>
    </row>
    <row r="46" spans="3:12" x14ac:dyDescent="0.25">
      <c r="C46" s="180"/>
      <c r="D46" s="180"/>
      <c r="J46" s="144"/>
      <c r="K46" s="144"/>
      <c r="L46" s="144"/>
    </row>
    <row r="47" spans="3:12" x14ac:dyDescent="0.25">
      <c r="C47" s="180"/>
      <c r="D47" s="180"/>
      <c r="J47" s="144"/>
      <c r="K47" s="144"/>
      <c r="L47" s="144"/>
    </row>
    <row r="48" spans="3:12" x14ac:dyDescent="0.25">
      <c r="C48" s="180"/>
      <c r="D48" s="180"/>
      <c r="J48" s="144"/>
      <c r="K48" s="144"/>
      <c r="L48" s="144"/>
    </row>
    <row r="49" spans="3:12" x14ac:dyDescent="0.25">
      <c r="C49" s="180"/>
      <c r="D49" s="180"/>
      <c r="J49" s="144"/>
      <c r="K49" s="144"/>
      <c r="L49" s="144"/>
    </row>
    <row r="50" spans="3:12" x14ac:dyDescent="0.25">
      <c r="C50" s="180"/>
      <c r="D50" s="180"/>
      <c r="J50" s="144"/>
      <c r="K50" s="144"/>
      <c r="L50" s="144"/>
    </row>
    <row r="51" spans="3:12" x14ac:dyDescent="0.25">
      <c r="C51" s="180"/>
      <c r="D51" s="180"/>
      <c r="J51" s="144"/>
      <c r="K51" s="144"/>
      <c r="L51" s="144"/>
    </row>
    <row r="52" spans="3:12" x14ac:dyDescent="0.25">
      <c r="C52" s="180"/>
      <c r="D52" s="180"/>
      <c r="J52" s="144"/>
      <c r="K52" s="144"/>
      <c r="L52" s="144"/>
    </row>
    <row r="53" spans="3:12" x14ac:dyDescent="0.25">
      <c r="C53" s="180"/>
      <c r="D53" s="180"/>
      <c r="J53" s="144"/>
      <c r="K53" s="144"/>
      <c r="L53" s="144"/>
    </row>
    <row r="54" spans="3:12" x14ac:dyDescent="0.25">
      <c r="C54" s="180"/>
      <c r="D54" s="180"/>
      <c r="J54" s="144"/>
      <c r="K54" s="144"/>
      <c r="L54" s="144"/>
    </row>
    <row r="55" spans="3:12" x14ac:dyDescent="0.25">
      <c r="C55" s="180"/>
      <c r="D55" s="180"/>
      <c r="J55" s="144"/>
      <c r="K55" s="144"/>
      <c r="L55" s="144"/>
    </row>
    <row r="56" spans="3:12" x14ac:dyDescent="0.25">
      <c r="C56" s="180"/>
      <c r="D56" s="180"/>
      <c r="J56" s="144"/>
      <c r="K56" s="144"/>
      <c r="L56" s="144"/>
    </row>
    <row r="57" spans="3:12" x14ac:dyDescent="0.25">
      <c r="C57" s="180"/>
      <c r="D57" s="180"/>
      <c r="J57" s="144"/>
      <c r="K57" s="144"/>
      <c r="L57" s="144"/>
    </row>
    <row r="58" spans="3:12" x14ac:dyDescent="0.25">
      <c r="C58" s="180"/>
      <c r="D58" s="180"/>
      <c r="J58" s="144"/>
      <c r="K58" s="144"/>
      <c r="L58" s="144"/>
    </row>
    <row r="59" spans="3:12" x14ac:dyDescent="0.25">
      <c r="C59" s="180"/>
      <c r="D59" s="180"/>
      <c r="J59" s="144"/>
      <c r="K59" s="144"/>
      <c r="L59" s="144"/>
    </row>
    <row r="60" spans="3:12" x14ac:dyDescent="0.25">
      <c r="C60" s="180"/>
      <c r="D60" s="180"/>
      <c r="J60" s="144"/>
      <c r="K60" s="144"/>
      <c r="L60" s="144"/>
    </row>
    <row r="61" spans="3:12" x14ac:dyDescent="0.25">
      <c r="C61" s="180"/>
      <c r="D61" s="180"/>
      <c r="J61" s="144"/>
      <c r="K61" s="144"/>
      <c r="L61" s="144"/>
    </row>
    <row r="62" spans="3:12" x14ac:dyDescent="0.25">
      <c r="C62" s="180"/>
      <c r="D62" s="180"/>
      <c r="J62" s="144"/>
      <c r="K62" s="144"/>
      <c r="L62" s="144"/>
    </row>
    <row r="63" spans="3:12" x14ac:dyDescent="0.25">
      <c r="C63" s="180"/>
      <c r="D63" s="180"/>
      <c r="J63" s="144"/>
      <c r="K63" s="144"/>
      <c r="L63" s="144"/>
    </row>
    <row r="64" spans="3:12" x14ac:dyDescent="0.25">
      <c r="C64" s="180"/>
      <c r="D64" s="180"/>
      <c r="J64" s="144"/>
      <c r="K64" s="144"/>
      <c r="L64" s="144"/>
    </row>
    <row r="65" spans="3:12" x14ac:dyDescent="0.25">
      <c r="C65" s="180"/>
      <c r="D65" s="180"/>
      <c r="J65" s="144"/>
      <c r="K65" s="144"/>
      <c r="L65" s="144"/>
    </row>
    <row r="66" spans="3:12" x14ac:dyDescent="0.25">
      <c r="C66" s="180"/>
      <c r="D66" s="180"/>
      <c r="J66" s="144"/>
      <c r="K66" s="144"/>
      <c r="L66" s="144"/>
    </row>
    <row r="67" spans="3:12" x14ac:dyDescent="0.25">
      <c r="C67" s="180"/>
      <c r="D67" s="180"/>
      <c r="J67" s="144"/>
      <c r="K67" s="144"/>
      <c r="L67" s="144"/>
    </row>
    <row r="68" spans="3:12" x14ac:dyDescent="0.25">
      <c r="C68" s="180"/>
      <c r="D68" s="180"/>
      <c r="J68" s="144"/>
      <c r="K68" s="144"/>
      <c r="L68" s="144"/>
    </row>
    <row r="69" spans="3:12" x14ac:dyDescent="0.25">
      <c r="C69" s="180"/>
      <c r="D69" s="180"/>
      <c r="J69" s="144"/>
      <c r="K69" s="144"/>
      <c r="L69" s="144"/>
    </row>
    <row r="70" spans="3:12" x14ac:dyDescent="0.25">
      <c r="C70" s="180"/>
      <c r="D70" s="180"/>
      <c r="J70" s="144"/>
      <c r="K70" s="144"/>
      <c r="L70" s="144"/>
    </row>
    <row r="71" spans="3:12" x14ac:dyDescent="0.25">
      <c r="C71" s="180"/>
      <c r="D71" s="180"/>
      <c r="J71" s="144"/>
      <c r="K71" s="144"/>
      <c r="L71" s="144"/>
    </row>
    <row r="72" spans="3:12" x14ac:dyDescent="0.25">
      <c r="C72" s="180"/>
      <c r="D72" s="180"/>
      <c r="J72" s="144"/>
      <c r="K72" s="144"/>
      <c r="L72" s="144"/>
    </row>
    <row r="73" spans="3:12" x14ac:dyDescent="0.25">
      <c r="C73" s="180"/>
      <c r="D73" s="180"/>
      <c r="J73" s="144"/>
      <c r="K73" s="144"/>
      <c r="L73" s="144"/>
    </row>
    <row r="74" spans="3:12" x14ac:dyDescent="0.25">
      <c r="C74" s="180"/>
      <c r="D74" s="180"/>
      <c r="J74" s="144"/>
      <c r="K74" s="144"/>
      <c r="L74" s="144"/>
    </row>
    <row r="75" spans="3:12" x14ac:dyDescent="0.25">
      <c r="C75" s="180"/>
      <c r="D75" s="180"/>
      <c r="J75" s="144"/>
      <c r="K75" s="144"/>
      <c r="L75" s="144"/>
    </row>
    <row r="76" spans="3:12" x14ac:dyDescent="0.25">
      <c r="C76" s="180"/>
      <c r="D76" s="180"/>
      <c r="J76" s="144"/>
      <c r="K76" s="144"/>
      <c r="L76" s="144"/>
    </row>
    <row r="77" spans="3:12" x14ac:dyDescent="0.25">
      <c r="C77" s="180"/>
      <c r="D77" s="180"/>
      <c r="J77" s="144"/>
      <c r="K77" s="144"/>
      <c r="L77" s="144"/>
    </row>
    <row r="78" spans="3:12" x14ac:dyDescent="0.25">
      <c r="C78" s="180"/>
      <c r="D78" s="180"/>
      <c r="J78" s="144"/>
      <c r="K78" s="144"/>
      <c r="L78" s="144"/>
    </row>
    <row r="79" spans="3:12" x14ac:dyDescent="0.25">
      <c r="C79" s="180"/>
      <c r="D79" s="180"/>
      <c r="J79" s="144"/>
      <c r="K79" s="144"/>
      <c r="L79" s="144"/>
    </row>
    <row r="80" spans="3:12" x14ac:dyDescent="0.25">
      <c r="C80" s="180"/>
      <c r="D80" s="180"/>
      <c r="J80" s="144"/>
      <c r="K80" s="144"/>
      <c r="L80" s="144"/>
    </row>
    <row r="81" spans="3:12" x14ac:dyDescent="0.25">
      <c r="C81" s="180"/>
      <c r="D81" s="180"/>
      <c r="J81" s="144"/>
      <c r="K81" s="144"/>
      <c r="L81" s="144"/>
    </row>
    <row r="82" spans="3:12" x14ac:dyDescent="0.25">
      <c r="C82" s="180"/>
      <c r="D82" s="180"/>
      <c r="J82" s="144"/>
      <c r="K82" s="144"/>
      <c r="L82" s="144"/>
    </row>
    <row r="83" spans="3:12" x14ac:dyDescent="0.25">
      <c r="C83" s="180"/>
      <c r="D83" s="180"/>
      <c r="J83" s="144"/>
      <c r="K83" s="144"/>
      <c r="L83" s="144"/>
    </row>
    <row r="84" spans="3:12" x14ac:dyDescent="0.25">
      <c r="C84" s="180"/>
      <c r="D84" s="180"/>
      <c r="J84" s="144"/>
      <c r="K84" s="144"/>
      <c r="L84" s="144"/>
    </row>
    <row r="85" spans="3:12" x14ac:dyDescent="0.25">
      <c r="C85" s="180"/>
      <c r="D85" s="180"/>
      <c r="J85" s="144"/>
      <c r="K85" s="144"/>
      <c r="L85" s="144"/>
    </row>
    <row r="86" spans="3:12" x14ac:dyDescent="0.25">
      <c r="C86" s="180"/>
      <c r="D86" s="180"/>
      <c r="J86" s="144"/>
      <c r="K86" s="144"/>
      <c r="L86" s="144"/>
    </row>
    <row r="87" spans="3:12" x14ac:dyDescent="0.25">
      <c r="C87" s="180"/>
      <c r="D87" s="180"/>
      <c r="J87" s="144"/>
      <c r="K87" s="144"/>
      <c r="L87" s="144"/>
    </row>
    <row r="88" spans="3:12" x14ac:dyDescent="0.25">
      <c r="C88" s="180"/>
      <c r="D88" s="180"/>
      <c r="J88" s="144"/>
      <c r="K88" s="144"/>
      <c r="L88" s="144"/>
    </row>
    <row r="89" spans="3:12" x14ac:dyDescent="0.25">
      <c r="C89" s="180"/>
      <c r="D89" s="180"/>
      <c r="J89" s="144"/>
      <c r="K89" s="144"/>
      <c r="L89" s="144"/>
    </row>
    <row r="90" spans="3:12" x14ac:dyDescent="0.25">
      <c r="C90" s="180"/>
      <c r="D90" s="180"/>
      <c r="J90" s="144"/>
      <c r="K90" s="144"/>
      <c r="L90" s="144"/>
    </row>
    <row r="91" spans="3:12" x14ac:dyDescent="0.25">
      <c r="C91" s="180"/>
      <c r="D91" s="180"/>
      <c r="J91" s="144"/>
      <c r="K91" s="144"/>
      <c r="L91" s="144"/>
    </row>
    <row r="92" spans="3:12" x14ac:dyDescent="0.25">
      <c r="C92" s="180"/>
      <c r="D92" s="180"/>
      <c r="J92" s="144"/>
      <c r="K92" s="144"/>
      <c r="L92" s="144"/>
    </row>
    <row r="93" spans="3:12" x14ac:dyDescent="0.25">
      <c r="C93" s="180"/>
      <c r="D93" s="180"/>
      <c r="J93" s="144"/>
      <c r="K93" s="144"/>
      <c r="L93" s="144"/>
    </row>
    <row r="94" spans="3:12" x14ac:dyDescent="0.25">
      <c r="C94" s="180"/>
      <c r="D94" s="180"/>
      <c r="J94" s="144"/>
      <c r="K94" s="144"/>
      <c r="L94" s="144"/>
    </row>
    <row r="95" spans="3:12" x14ac:dyDescent="0.25">
      <c r="C95" s="180"/>
      <c r="D95" s="180"/>
      <c r="J95" s="144"/>
      <c r="K95" s="144"/>
      <c r="L95" s="144"/>
    </row>
    <row r="96" spans="3:12" x14ac:dyDescent="0.25">
      <c r="C96" s="180"/>
      <c r="D96" s="180"/>
      <c r="J96" s="144"/>
      <c r="K96" s="144"/>
      <c r="L96" s="144"/>
    </row>
    <row r="97" spans="3:12" x14ac:dyDescent="0.25">
      <c r="C97" s="180"/>
      <c r="D97" s="180"/>
      <c r="J97" s="144"/>
      <c r="K97" s="144"/>
      <c r="L97" s="144"/>
    </row>
    <row r="98" spans="3:12" x14ac:dyDescent="0.25">
      <c r="C98" s="180"/>
      <c r="D98" s="180"/>
      <c r="J98" s="144"/>
      <c r="K98" s="144"/>
      <c r="L98" s="144"/>
    </row>
    <row r="99" spans="3:12" x14ac:dyDescent="0.25">
      <c r="C99" s="180"/>
      <c r="D99" s="180"/>
      <c r="J99" s="144"/>
      <c r="K99" s="144"/>
      <c r="L99" s="144"/>
    </row>
    <row r="100" spans="3:12" x14ac:dyDescent="0.25">
      <c r="C100" s="180"/>
      <c r="D100" s="180"/>
      <c r="J100" s="144"/>
      <c r="K100" s="144"/>
      <c r="L100" s="144"/>
    </row>
    <row r="101" spans="3:12" x14ac:dyDescent="0.25">
      <c r="C101" s="180"/>
      <c r="D101" s="180"/>
      <c r="J101" s="144"/>
      <c r="K101" s="144"/>
      <c r="L101" s="144"/>
    </row>
    <row r="102" spans="3:12" x14ac:dyDescent="0.25">
      <c r="C102" s="180"/>
      <c r="D102" s="180"/>
      <c r="J102" s="144"/>
      <c r="K102" s="144"/>
      <c r="L102" s="144"/>
    </row>
    <row r="103" spans="3:12" x14ac:dyDescent="0.25">
      <c r="C103" s="180"/>
      <c r="D103" s="180"/>
      <c r="J103" s="144"/>
      <c r="K103" s="144"/>
      <c r="L103" s="144"/>
    </row>
    <row r="104" spans="3:12" x14ac:dyDescent="0.25">
      <c r="C104" s="180"/>
      <c r="D104" s="180"/>
      <c r="J104" s="144"/>
      <c r="K104" s="144"/>
      <c r="L104" s="144"/>
    </row>
    <row r="105" spans="3:12" x14ac:dyDescent="0.25">
      <c r="C105" s="180"/>
      <c r="D105" s="180"/>
      <c r="J105" s="144"/>
      <c r="K105" s="144"/>
      <c r="L105" s="144"/>
    </row>
    <row r="106" spans="3:12" x14ac:dyDescent="0.25">
      <c r="C106" s="180"/>
      <c r="D106" s="180"/>
      <c r="J106" s="144"/>
      <c r="K106" s="144"/>
      <c r="L106" s="144"/>
    </row>
    <row r="107" spans="3:12" x14ac:dyDescent="0.25">
      <c r="C107" s="180"/>
      <c r="D107" s="180"/>
      <c r="J107" s="144"/>
      <c r="K107" s="144"/>
      <c r="L107" s="144"/>
    </row>
    <row r="108" spans="3:12" x14ac:dyDescent="0.25">
      <c r="C108" s="180"/>
      <c r="D108" s="180"/>
      <c r="J108" s="144"/>
      <c r="K108" s="144"/>
      <c r="L108" s="144"/>
    </row>
    <row r="109" spans="3:12" x14ac:dyDescent="0.25">
      <c r="C109" s="180"/>
      <c r="D109" s="180"/>
      <c r="J109" s="144"/>
      <c r="K109" s="144"/>
      <c r="L109" s="144"/>
    </row>
    <row r="110" spans="3:12" x14ac:dyDescent="0.25">
      <c r="C110" s="180"/>
      <c r="D110" s="180"/>
      <c r="J110" s="144"/>
      <c r="K110" s="144"/>
      <c r="L110" s="144"/>
    </row>
    <row r="111" spans="3:12" x14ac:dyDescent="0.25">
      <c r="C111" s="180"/>
      <c r="D111" s="180"/>
      <c r="J111" s="144"/>
      <c r="K111" s="144"/>
      <c r="L111" s="144"/>
    </row>
    <row r="112" spans="3:12" x14ac:dyDescent="0.25">
      <c r="C112" s="180"/>
      <c r="D112" s="180"/>
      <c r="J112" s="144"/>
      <c r="K112" s="144"/>
      <c r="L112" s="144"/>
    </row>
    <row r="113" spans="3:12" x14ac:dyDescent="0.25">
      <c r="C113" s="180"/>
      <c r="D113" s="180"/>
      <c r="J113" s="144"/>
      <c r="K113" s="144"/>
      <c r="L113" s="144"/>
    </row>
    <row r="114" spans="3:12" x14ac:dyDescent="0.25">
      <c r="C114" s="180"/>
      <c r="D114" s="180"/>
      <c r="J114" s="144"/>
      <c r="K114" s="144"/>
      <c r="L114" s="144"/>
    </row>
    <row r="115" spans="3:12" x14ac:dyDescent="0.25">
      <c r="C115" s="180"/>
      <c r="D115" s="180"/>
      <c r="J115" s="144"/>
      <c r="K115" s="144"/>
      <c r="L115" s="144"/>
    </row>
    <row r="116" spans="3:12" x14ac:dyDescent="0.25">
      <c r="C116" s="180"/>
      <c r="D116" s="180"/>
      <c r="J116" s="144"/>
      <c r="K116" s="144"/>
      <c r="L116" s="144"/>
    </row>
    <row r="117" spans="3:12" x14ac:dyDescent="0.25">
      <c r="C117" s="180"/>
      <c r="D117" s="180"/>
      <c r="J117" s="144"/>
      <c r="K117" s="144"/>
      <c r="L117" s="144"/>
    </row>
    <row r="118" spans="3:12" x14ac:dyDescent="0.25">
      <c r="C118" s="180"/>
      <c r="D118" s="180"/>
      <c r="J118" s="144"/>
      <c r="K118" s="144"/>
      <c r="L118" s="144"/>
    </row>
    <row r="119" spans="3:12" x14ac:dyDescent="0.25">
      <c r="C119" s="180"/>
      <c r="D119" s="180"/>
      <c r="J119" s="144"/>
      <c r="K119" s="144"/>
      <c r="L119" s="144"/>
    </row>
    <row r="120" spans="3:12" x14ac:dyDescent="0.25">
      <c r="C120" s="180"/>
      <c r="D120" s="180"/>
      <c r="J120" s="144"/>
      <c r="K120" s="144"/>
      <c r="L120" s="144"/>
    </row>
    <row r="121" spans="3:12" x14ac:dyDescent="0.25">
      <c r="C121" s="180"/>
      <c r="D121" s="180"/>
      <c r="J121" s="144"/>
      <c r="K121" s="144"/>
      <c r="L121" s="144"/>
    </row>
    <row r="122" spans="3:12" x14ac:dyDescent="0.25">
      <c r="C122" s="180"/>
      <c r="D122" s="180"/>
      <c r="J122" s="144"/>
      <c r="K122" s="144"/>
      <c r="L122" s="144"/>
    </row>
    <row r="123" spans="3:12" x14ac:dyDescent="0.25">
      <c r="C123" s="180"/>
      <c r="D123" s="180"/>
      <c r="J123" s="144"/>
      <c r="K123" s="144"/>
      <c r="L123" s="144"/>
    </row>
    <row r="124" spans="3:12" x14ac:dyDescent="0.25">
      <c r="C124" s="180"/>
      <c r="D124" s="180"/>
      <c r="J124" s="144"/>
      <c r="K124" s="144"/>
      <c r="L124" s="144"/>
    </row>
    <row r="125" spans="3:12" x14ac:dyDescent="0.25">
      <c r="C125" s="180"/>
      <c r="D125" s="180"/>
      <c r="J125" s="144"/>
      <c r="K125" s="144"/>
      <c r="L125" s="144"/>
    </row>
    <row r="126" spans="3:12" x14ac:dyDescent="0.25">
      <c r="C126" s="180"/>
      <c r="D126" s="180"/>
      <c r="J126" s="144"/>
      <c r="K126" s="144"/>
      <c r="L126" s="144"/>
    </row>
    <row r="127" spans="3:12" x14ac:dyDescent="0.25">
      <c r="C127" s="180"/>
      <c r="D127" s="180"/>
      <c r="J127" s="144"/>
      <c r="K127" s="144"/>
      <c r="L127" s="144"/>
    </row>
    <row r="128" spans="3:12" x14ac:dyDescent="0.25">
      <c r="C128" s="180"/>
      <c r="D128" s="180"/>
      <c r="J128" s="144"/>
      <c r="K128" s="144"/>
      <c r="L128" s="144"/>
    </row>
    <row r="129" spans="3:12" x14ac:dyDescent="0.25">
      <c r="C129" s="180"/>
      <c r="D129" s="180"/>
      <c r="J129" s="144"/>
      <c r="K129" s="144"/>
      <c r="L129" s="144"/>
    </row>
    <row r="130" spans="3:12" x14ac:dyDescent="0.25">
      <c r="C130" s="180"/>
      <c r="D130" s="180"/>
      <c r="J130" s="144"/>
      <c r="K130" s="144"/>
      <c r="L130" s="144"/>
    </row>
    <row r="131" spans="3:12" x14ac:dyDescent="0.25">
      <c r="C131" s="180"/>
      <c r="D131" s="180"/>
      <c r="J131" s="144"/>
      <c r="K131" s="144"/>
      <c r="L131" s="144"/>
    </row>
    <row r="132" spans="3:12" x14ac:dyDescent="0.25">
      <c r="C132" s="180"/>
      <c r="D132" s="180"/>
      <c r="J132" s="144"/>
      <c r="K132" s="144"/>
      <c r="L132" s="144"/>
    </row>
    <row r="133" spans="3:12" x14ac:dyDescent="0.25">
      <c r="C133" s="180"/>
      <c r="D133" s="180"/>
      <c r="J133" s="144"/>
      <c r="K133" s="144"/>
      <c r="L133" s="144"/>
    </row>
    <row r="134" spans="3:12" x14ac:dyDescent="0.25">
      <c r="C134" s="180"/>
      <c r="D134" s="180"/>
      <c r="J134" s="144"/>
      <c r="K134" s="144"/>
      <c r="L134" s="144"/>
    </row>
    <row r="135" spans="3:12" x14ac:dyDescent="0.25">
      <c r="C135" s="180"/>
      <c r="D135" s="180"/>
      <c r="J135" s="144"/>
      <c r="K135" s="144"/>
      <c r="L135" s="144"/>
    </row>
    <row r="136" spans="3:12" x14ac:dyDescent="0.25">
      <c r="C136" s="180"/>
      <c r="D136" s="180"/>
      <c r="J136" s="144"/>
      <c r="K136" s="144"/>
      <c r="L136" s="144"/>
    </row>
    <row r="137" spans="3:12" x14ac:dyDescent="0.25">
      <c r="C137" s="180"/>
      <c r="D137" s="180"/>
      <c r="J137" s="144"/>
      <c r="K137" s="144"/>
      <c r="L137" s="144"/>
    </row>
    <row r="138" spans="3:12" x14ac:dyDescent="0.25">
      <c r="C138" s="180"/>
      <c r="D138" s="180"/>
      <c r="J138" s="144"/>
      <c r="K138" s="144"/>
      <c r="L138" s="144"/>
    </row>
    <row r="139" spans="3:12" x14ac:dyDescent="0.25">
      <c r="C139" s="180"/>
      <c r="D139" s="180"/>
      <c r="J139" s="144"/>
      <c r="K139" s="144"/>
      <c r="L139" s="144"/>
    </row>
    <row r="140" spans="3:12" x14ac:dyDescent="0.25">
      <c r="C140" s="180"/>
      <c r="D140" s="180"/>
      <c r="J140" s="144"/>
      <c r="K140" s="144"/>
      <c r="L140" s="144"/>
    </row>
    <row r="141" spans="3:12" x14ac:dyDescent="0.25">
      <c r="C141" s="180"/>
      <c r="D141" s="180"/>
      <c r="J141" s="144"/>
      <c r="K141" s="144"/>
      <c r="L141" s="144"/>
    </row>
    <row r="142" spans="3:12" x14ac:dyDescent="0.25">
      <c r="C142" s="180"/>
      <c r="D142" s="180"/>
      <c r="J142" s="144"/>
      <c r="K142" s="144"/>
      <c r="L142" s="144"/>
    </row>
    <row r="143" spans="3:12" x14ac:dyDescent="0.25">
      <c r="C143" s="180"/>
      <c r="D143" s="180"/>
      <c r="J143" s="144"/>
      <c r="K143" s="144"/>
      <c r="L143" s="144"/>
    </row>
    <row r="144" spans="3:12" x14ac:dyDescent="0.25">
      <c r="C144" s="180"/>
      <c r="D144" s="180"/>
      <c r="J144" s="144"/>
      <c r="K144" s="144"/>
      <c r="L144" s="144"/>
    </row>
    <row r="145" spans="3:12" x14ac:dyDescent="0.25">
      <c r="C145" s="180"/>
      <c r="D145" s="180"/>
      <c r="J145" s="144"/>
      <c r="K145" s="144"/>
      <c r="L145" s="144"/>
    </row>
    <row r="146" spans="3:12" x14ac:dyDescent="0.25">
      <c r="C146" s="180"/>
      <c r="D146" s="180"/>
      <c r="J146" s="144"/>
      <c r="K146" s="144"/>
      <c r="L146" s="144"/>
    </row>
    <row r="147" spans="3:12" x14ac:dyDescent="0.25">
      <c r="C147" s="180"/>
      <c r="D147" s="180"/>
      <c r="J147" s="144"/>
      <c r="K147" s="144"/>
      <c r="L147" s="144"/>
    </row>
    <row r="148" spans="3:12" x14ac:dyDescent="0.25">
      <c r="C148" s="180"/>
      <c r="D148" s="180"/>
      <c r="J148" s="144"/>
      <c r="K148" s="144"/>
      <c r="L148" s="144"/>
    </row>
    <row r="149" spans="3:12" x14ac:dyDescent="0.25">
      <c r="C149" s="180"/>
      <c r="D149" s="180"/>
      <c r="J149" s="144"/>
      <c r="K149" s="144"/>
      <c r="L149" s="144"/>
    </row>
    <row r="150" spans="3:12" x14ac:dyDescent="0.25">
      <c r="C150" s="180"/>
      <c r="D150" s="180"/>
      <c r="J150" s="144"/>
      <c r="K150" s="144"/>
      <c r="L150" s="144"/>
    </row>
    <row r="151" spans="3:12" x14ac:dyDescent="0.25">
      <c r="C151" s="180"/>
      <c r="D151" s="180"/>
      <c r="J151" s="144"/>
      <c r="K151" s="144"/>
      <c r="L151" s="144"/>
    </row>
    <row r="152" spans="3:12" x14ac:dyDescent="0.25">
      <c r="C152" s="180"/>
      <c r="D152" s="180"/>
      <c r="J152" s="144"/>
      <c r="K152" s="144"/>
      <c r="L152" s="144"/>
    </row>
    <row r="153" spans="3:12" x14ac:dyDescent="0.25">
      <c r="C153" s="180"/>
      <c r="D153" s="180"/>
      <c r="J153" s="144"/>
      <c r="K153" s="144"/>
      <c r="L153" s="144"/>
    </row>
    <row r="154" spans="3:12" x14ac:dyDescent="0.25">
      <c r="C154" s="180"/>
      <c r="D154" s="180"/>
      <c r="J154" s="144"/>
      <c r="K154" s="144"/>
      <c r="L154" s="144"/>
    </row>
    <row r="155" spans="3:12" x14ac:dyDescent="0.25">
      <c r="C155" s="180"/>
      <c r="D155" s="180"/>
      <c r="J155" s="144"/>
      <c r="K155" s="144"/>
      <c r="L155" s="144"/>
    </row>
    <row r="156" spans="3:12" x14ac:dyDescent="0.25">
      <c r="C156" s="180"/>
      <c r="D156" s="180"/>
      <c r="J156" s="144"/>
      <c r="K156" s="144"/>
      <c r="L156" s="144"/>
    </row>
    <row r="157" spans="3:12" x14ac:dyDescent="0.25">
      <c r="C157" s="180"/>
      <c r="D157" s="180"/>
      <c r="J157" s="144"/>
      <c r="K157" s="144"/>
      <c r="L157" s="144"/>
    </row>
    <row r="158" spans="3:12" x14ac:dyDescent="0.25">
      <c r="C158" s="180"/>
      <c r="D158" s="180"/>
      <c r="J158" s="144"/>
      <c r="K158" s="144"/>
      <c r="L158" s="144"/>
    </row>
    <row r="159" spans="3:12" x14ac:dyDescent="0.25">
      <c r="C159" s="180"/>
      <c r="D159" s="180"/>
      <c r="J159" s="144"/>
      <c r="K159" s="144"/>
      <c r="L159" s="144"/>
    </row>
    <row r="160" spans="3:12" x14ac:dyDescent="0.25">
      <c r="C160" s="180"/>
      <c r="D160" s="180"/>
      <c r="J160" s="144"/>
      <c r="K160" s="144"/>
      <c r="L160" s="144"/>
    </row>
    <row r="161" spans="3:12" x14ac:dyDescent="0.25">
      <c r="C161" s="180"/>
      <c r="D161" s="180"/>
      <c r="J161" s="144"/>
      <c r="K161" s="144"/>
      <c r="L161" s="144"/>
    </row>
    <row r="162" spans="3:12" x14ac:dyDescent="0.25">
      <c r="C162" s="180"/>
      <c r="D162" s="180"/>
      <c r="J162" s="144"/>
      <c r="K162" s="144"/>
      <c r="L162" s="144"/>
    </row>
    <row r="163" spans="3:12" x14ac:dyDescent="0.25">
      <c r="C163" s="180"/>
      <c r="D163" s="180"/>
      <c r="J163" s="144"/>
      <c r="K163" s="144"/>
      <c r="L163" s="144"/>
    </row>
    <row r="164" spans="3:12" x14ac:dyDescent="0.25">
      <c r="C164" s="180"/>
      <c r="D164" s="180"/>
      <c r="J164" s="144"/>
      <c r="K164" s="144"/>
      <c r="L164" s="144"/>
    </row>
    <row r="165" spans="3:12" x14ac:dyDescent="0.25">
      <c r="C165" s="180"/>
      <c r="D165" s="180"/>
      <c r="J165" s="144"/>
      <c r="K165" s="144"/>
      <c r="L165" s="144"/>
    </row>
    <row r="166" spans="3:12" x14ac:dyDescent="0.25">
      <c r="C166" s="180"/>
      <c r="D166" s="180"/>
      <c r="J166" s="144"/>
      <c r="K166" s="144"/>
      <c r="L166" s="144"/>
    </row>
    <row r="167" spans="3:12" x14ac:dyDescent="0.25">
      <c r="C167" s="180"/>
      <c r="D167" s="180"/>
      <c r="J167" s="144"/>
      <c r="K167" s="144"/>
      <c r="L167" s="144"/>
    </row>
    <row r="168" spans="3:12" x14ac:dyDescent="0.25">
      <c r="C168" s="180"/>
      <c r="D168" s="180"/>
      <c r="J168" s="144"/>
      <c r="K168" s="144"/>
      <c r="L168" s="144"/>
    </row>
    <row r="169" spans="3:12" x14ac:dyDescent="0.25">
      <c r="C169" s="180"/>
      <c r="D169" s="180"/>
      <c r="J169" s="144"/>
      <c r="K169" s="144"/>
      <c r="L169" s="144"/>
    </row>
    <row r="170" spans="3:12" x14ac:dyDescent="0.25">
      <c r="C170" s="180"/>
      <c r="D170" s="180"/>
      <c r="J170" s="144"/>
      <c r="K170" s="144"/>
      <c r="L170" s="144"/>
    </row>
    <row r="171" spans="3:12" x14ac:dyDescent="0.25">
      <c r="C171" s="180"/>
      <c r="D171" s="180"/>
      <c r="J171" s="144"/>
      <c r="K171" s="144"/>
      <c r="L171" s="144"/>
    </row>
    <row r="172" spans="3:12" x14ac:dyDescent="0.25">
      <c r="C172" s="180"/>
      <c r="D172" s="180"/>
      <c r="J172" s="144"/>
      <c r="K172" s="144"/>
      <c r="L172" s="144"/>
    </row>
    <row r="173" spans="3:12" x14ac:dyDescent="0.25">
      <c r="C173" s="180"/>
      <c r="D173" s="180"/>
      <c r="J173" s="144"/>
      <c r="K173" s="144"/>
      <c r="L173" s="144"/>
    </row>
    <row r="174" spans="3:12" x14ac:dyDescent="0.25">
      <c r="C174" s="180"/>
      <c r="D174" s="180"/>
      <c r="J174" s="144"/>
      <c r="K174" s="144"/>
      <c r="L174" s="144"/>
    </row>
    <row r="175" spans="3:12" x14ac:dyDescent="0.25">
      <c r="C175" s="180"/>
      <c r="D175" s="180"/>
      <c r="J175" s="144"/>
      <c r="K175" s="144"/>
      <c r="L175" s="144"/>
    </row>
    <row r="176" spans="3:12" x14ac:dyDescent="0.25">
      <c r="C176" s="180"/>
      <c r="D176" s="180"/>
      <c r="J176" s="144"/>
      <c r="K176" s="144"/>
      <c r="L176" s="144"/>
    </row>
    <row r="177" spans="3:12" x14ac:dyDescent="0.25">
      <c r="C177" s="180"/>
      <c r="D177" s="180"/>
      <c r="J177" s="144"/>
      <c r="K177" s="144"/>
      <c r="L177" s="144"/>
    </row>
    <row r="178" spans="3:12" x14ac:dyDescent="0.25">
      <c r="C178" s="180"/>
      <c r="D178" s="180"/>
      <c r="J178" s="144"/>
      <c r="K178" s="144"/>
      <c r="L178" s="144"/>
    </row>
    <row r="179" spans="3:12" x14ac:dyDescent="0.25">
      <c r="C179" s="180"/>
      <c r="D179" s="180"/>
      <c r="J179" s="144"/>
      <c r="K179" s="144"/>
      <c r="L179" s="144"/>
    </row>
    <row r="180" spans="3:12" x14ac:dyDescent="0.25">
      <c r="C180" s="180"/>
      <c r="D180" s="180"/>
      <c r="J180" s="144"/>
      <c r="K180" s="144"/>
      <c r="L180" s="144"/>
    </row>
    <row r="181" spans="3:12" x14ac:dyDescent="0.25">
      <c r="C181" s="180"/>
      <c r="D181" s="180"/>
      <c r="J181" s="144"/>
      <c r="K181" s="144"/>
      <c r="L181" s="144"/>
    </row>
    <row r="182" spans="3:12" x14ac:dyDescent="0.25">
      <c r="C182" s="180"/>
      <c r="D182" s="180"/>
      <c r="J182" s="144"/>
      <c r="K182" s="144"/>
      <c r="L182" s="144"/>
    </row>
    <row r="183" spans="3:12" x14ac:dyDescent="0.25">
      <c r="C183" s="180"/>
      <c r="D183" s="180"/>
      <c r="J183" s="144"/>
      <c r="K183" s="144"/>
      <c r="L183" s="144"/>
    </row>
    <row r="184" spans="3:12" x14ac:dyDescent="0.25">
      <c r="C184" s="180"/>
      <c r="D184" s="180"/>
      <c r="J184" s="144"/>
      <c r="K184" s="144"/>
      <c r="L184" s="144"/>
    </row>
    <row r="185" spans="3:12" x14ac:dyDescent="0.25">
      <c r="C185" s="180"/>
      <c r="D185" s="180"/>
      <c r="J185" s="144"/>
      <c r="K185" s="144"/>
      <c r="L185" s="144"/>
    </row>
    <row r="186" spans="3:12" x14ac:dyDescent="0.25">
      <c r="C186" s="180"/>
      <c r="D186" s="180"/>
      <c r="J186" s="144"/>
      <c r="K186" s="144"/>
      <c r="L186" s="144"/>
    </row>
    <row r="187" spans="3:12" x14ac:dyDescent="0.25">
      <c r="C187" s="180"/>
      <c r="D187" s="180"/>
      <c r="J187" s="144"/>
      <c r="K187" s="144"/>
      <c r="L187" s="144"/>
    </row>
    <row r="188" spans="3:12" x14ac:dyDescent="0.25">
      <c r="C188" s="180"/>
      <c r="D188" s="180"/>
      <c r="J188" s="144"/>
      <c r="K188" s="144"/>
      <c r="L188" s="144"/>
    </row>
    <row r="189" spans="3:12" x14ac:dyDescent="0.25">
      <c r="C189" s="180"/>
      <c r="D189" s="180"/>
      <c r="J189" s="144"/>
      <c r="K189" s="144"/>
      <c r="L189" s="144"/>
    </row>
    <row r="190" spans="3:12" x14ac:dyDescent="0.25">
      <c r="C190" s="180"/>
      <c r="D190" s="180"/>
      <c r="J190" s="144"/>
      <c r="K190" s="144"/>
      <c r="L190" s="144"/>
    </row>
    <row r="191" spans="3:12" x14ac:dyDescent="0.25">
      <c r="C191" s="180"/>
      <c r="D191" s="180"/>
      <c r="J191" s="144"/>
      <c r="K191" s="144"/>
      <c r="L191" s="144"/>
    </row>
    <row r="192" spans="3:12" x14ac:dyDescent="0.25">
      <c r="C192" s="180"/>
      <c r="D192" s="180"/>
      <c r="J192" s="144"/>
      <c r="K192" s="144"/>
      <c r="L192" s="144"/>
    </row>
    <row r="193" spans="3:12" x14ac:dyDescent="0.25">
      <c r="C193" s="180"/>
      <c r="D193" s="180"/>
      <c r="J193" s="144"/>
      <c r="K193" s="144"/>
      <c r="L193" s="144"/>
    </row>
    <row r="194" spans="3:12" x14ac:dyDescent="0.25">
      <c r="C194" s="180"/>
      <c r="D194" s="180"/>
      <c r="J194" s="144"/>
      <c r="K194" s="144"/>
      <c r="L194" s="144"/>
    </row>
    <row r="195" spans="3:12" x14ac:dyDescent="0.25">
      <c r="C195" s="180"/>
      <c r="D195" s="180"/>
      <c r="J195" s="144"/>
      <c r="K195" s="144"/>
      <c r="L195" s="144"/>
    </row>
    <row r="196" spans="3:12" x14ac:dyDescent="0.25">
      <c r="C196" s="180"/>
      <c r="D196" s="180"/>
      <c r="J196" s="144"/>
      <c r="K196" s="144"/>
      <c r="L196" s="144"/>
    </row>
    <row r="197" spans="3:12" x14ac:dyDescent="0.25">
      <c r="C197" s="180"/>
      <c r="D197" s="180"/>
      <c r="J197" s="144"/>
      <c r="K197" s="144"/>
      <c r="L197" s="144"/>
    </row>
    <row r="198" spans="3:12" x14ac:dyDescent="0.25">
      <c r="C198" s="180"/>
      <c r="D198" s="180"/>
      <c r="J198" s="144"/>
      <c r="K198" s="144"/>
      <c r="L198" s="144"/>
    </row>
    <row r="199" spans="3:12" x14ac:dyDescent="0.25">
      <c r="C199" s="180"/>
      <c r="D199" s="180"/>
      <c r="J199" s="144"/>
      <c r="K199" s="144"/>
      <c r="L199" s="144"/>
    </row>
    <row r="200" spans="3:12" x14ac:dyDescent="0.25">
      <c r="C200" s="180"/>
      <c r="D200" s="180"/>
      <c r="J200" s="144"/>
      <c r="K200" s="144"/>
      <c r="L200" s="144"/>
    </row>
    <row r="201" spans="3:12" x14ac:dyDescent="0.25">
      <c r="C201" s="180"/>
      <c r="D201" s="180"/>
      <c r="J201" s="144"/>
      <c r="K201" s="144"/>
      <c r="L201" s="144"/>
    </row>
    <row r="202" spans="3:12" x14ac:dyDescent="0.25">
      <c r="C202" s="180"/>
      <c r="D202" s="180"/>
      <c r="J202" s="144"/>
      <c r="K202" s="144"/>
      <c r="L202" s="144"/>
    </row>
    <row r="203" spans="3:12" x14ac:dyDescent="0.25">
      <c r="C203" s="180"/>
      <c r="D203" s="180"/>
      <c r="J203" s="144"/>
      <c r="K203" s="144"/>
      <c r="L203" s="144"/>
    </row>
    <row r="204" spans="3:12" x14ac:dyDescent="0.25">
      <c r="C204" s="180"/>
      <c r="D204" s="180"/>
      <c r="J204" s="144"/>
      <c r="K204" s="144"/>
      <c r="L204" s="144"/>
    </row>
    <row r="205" spans="3:12" x14ac:dyDescent="0.25">
      <c r="C205" s="180"/>
      <c r="D205" s="180"/>
      <c r="J205" s="144"/>
      <c r="K205" s="144"/>
      <c r="L205" s="144"/>
    </row>
    <row r="206" spans="3:12" x14ac:dyDescent="0.25">
      <c r="C206" s="180"/>
      <c r="D206" s="180"/>
      <c r="J206" s="144"/>
      <c r="K206" s="144"/>
      <c r="L206" s="144"/>
    </row>
    <row r="207" spans="3:12" x14ac:dyDescent="0.25">
      <c r="C207" s="180"/>
      <c r="D207" s="180"/>
      <c r="J207" s="144"/>
      <c r="K207" s="144"/>
      <c r="L207" s="144"/>
    </row>
    <row r="208" spans="3:12" x14ac:dyDescent="0.25">
      <c r="C208" s="180"/>
      <c r="D208" s="180"/>
      <c r="J208" s="144"/>
      <c r="K208" s="144"/>
      <c r="L208" s="144"/>
    </row>
    <row r="209" spans="3:12" x14ac:dyDescent="0.25">
      <c r="C209" s="180"/>
      <c r="D209" s="180"/>
      <c r="J209" s="144"/>
      <c r="K209" s="144"/>
      <c r="L209" s="144"/>
    </row>
    <row r="210" spans="3:12" x14ac:dyDescent="0.25">
      <c r="C210" s="180"/>
      <c r="D210" s="180"/>
      <c r="J210" s="144"/>
      <c r="K210" s="144"/>
      <c r="L210" s="144"/>
    </row>
    <row r="211" spans="3:12" x14ac:dyDescent="0.25">
      <c r="C211" s="180"/>
      <c r="D211" s="180"/>
      <c r="J211" s="144"/>
      <c r="K211" s="144"/>
      <c r="L211" s="144"/>
    </row>
    <row r="212" spans="3:12" x14ac:dyDescent="0.25">
      <c r="C212" s="180"/>
      <c r="D212" s="180"/>
      <c r="J212" s="144"/>
      <c r="K212" s="144"/>
      <c r="L212" s="144"/>
    </row>
    <row r="213" spans="3:12" x14ac:dyDescent="0.25">
      <c r="C213" s="180"/>
      <c r="D213" s="180"/>
      <c r="J213" s="144"/>
      <c r="K213" s="144"/>
      <c r="L213" s="144"/>
    </row>
    <row r="214" spans="3:12" x14ac:dyDescent="0.25">
      <c r="C214" s="180"/>
      <c r="D214" s="180"/>
      <c r="J214" s="144"/>
      <c r="K214" s="144"/>
      <c r="L214" s="144"/>
    </row>
    <row r="215" spans="3:12" x14ac:dyDescent="0.25">
      <c r="C215" s="180"/>
      <c r="D215" s="180"/>
      <c r="J215" s="144"/>
      <c r="K215" s="144"/>
      <c r="L215" s="144"/>
    </row>
    <row r="216" spans="3:12" x14ac:dyDescent="0.25">
      <c r="C216" s="180"/>
      <c r="D216" s="180"/>
      <c r="J216" s="144"/>
      <c r="K216" s="144"/>
      <c r="L216" s="144"/>
    </row>
    <row r="217" spans="3:12" x14ac:dyDescent="0.25">
      <c r="C217" s="180"/>
      <c r="D217" s="180"/>
      <c r="J217" s="144"/>
      <c r="K217" s="144"/>
      <c r="L217" s="144"/>
    </row>
    <row r="218" spans="3:12" x14ac:dyDescent="0.25">
      <c r="C218" s="180"/>
      <c r="D218" s="180"/>
      <c r="J218" s="144"/>
      <c r="K218" s="144"/>
      <c r="L218" s="144"/>
    </row>
    <row r="219" spans="3:12" x14ac:dyDescent="0.25">
      <c r="C219" s="180"/>
      <c r="D219" s="180"/>
      <c r="J219" s="144"/>
      <c r="K219" s="144"/>
      <c r="L219" s="144"/>
    </row>
    <row r="220" spans="3:12" x14ac:dyDescent="0.25">
      <c r="C220" s="180"/>
      <c r="D220" s="180"/>
      <c r="J220" s="144"/>
      <c r="K220" s="144"/>
      <c r="L220" s="144"/>
    </row>
    <row r="221" spans="3:12" x14ac:dyDescent="0.25">
      <c r="C221" s="180"/>
      <c r="D221" s="180"/>
      <c r="J221" s="144"/>
      <c r="K221" s="144"/>
      <c r="L221" s="144"/>
    </row>
    <row r="222" spans="3:12" x14ac:dyDescent="0.25">
      <c r="C222" s="180"/>
      <c r="D222" s="180"/>
      <c r="J222" s="144"/>
      <c r="K222" s="144"/>
      <c r="L222" s="144"/>
    </row>
    <row r="223" spans="3:12" x14ac:dyDescent="0.25">
      <c r="C223" s="180"/>
      <c r="D223" s="180"/>
      <c r="J223" s="144"/>
      <c r="K223" s="144"/>
      <c r="L223" s="144"/>
    </row>
    <row r="224" spans="3:12" x14ac:dyDescent="0.25">
      <c r="C224" s="180"/>
      <c r="D224" s="180"/>
      <c r="J224" s="144"/>
      <c r="K224" s="144"/>
      <c r="L224" s="144"/>
    </row>
    <row r="225" spans="3:12" x14ac:dyDescent="0.25">
      <c r="C225" s="180"/>
      <c r="D225" s="180"/>
      <c r="J225" s="144"/>
      <c r="K225" s="144"/>
      <c r="L225" s="144"/>
    </row>
    <row r="226" spans="3:12" x14ac:dyDescent="0.25">
      <c r="C226" s="180"/>
      <c r="D226" s="180"/>
      <c r="J226" s="144"/>
      <c r="K226" s="144"/>
      <c r="L226" s="144"/>
    </row>
    <row r="227" spans="3:12" x14ac:dyDescent="0.25">
      <c r="C227" s="180"/>
      <c r="D227" s="180"/>
      <c r="J227" s="144"/>
      <c r="K227" s="144"/>
      <c r="L227" s="144"/>
    </row>
    <row r="228" spans="3:12" x14ac:dyDescent="0.25">
      <c r="C228" s="180"/>
      <c r="D228" s="180"/>
      <c r="J228" s="144"/>
      <c r="K228" s="144"/>
      <c r="L228" s="144"/>
    </row>
    <row r="229" spans="3:12" x14ac:dyDescent="0.25">
      <c r="C229" s="180"/>
      <c r="D229" s="180"/>
      <c r="J229" s="144"/>
      <c r="K229" s="144"/>
      <c r="L229" s="144"/>
    </row>
    <row r="230" spans="3:12" x14ac:dyDescent="0.25">
      <c r="C230" s="180"/>
      <c r="D230" s="180"/>
      <c r="J230" s="144"/>
      <c r="K230" s="144"/>
      <c r="L230" s="144"/>
    </row>
    <row r="231" spans="3:12" x14ac:dyDescent="0.25">
      <c r="C231" s="180"/>
      <c r="D231" s="180"/>
      <c r="J231" s="144"/>
      <c r="K231" s="144"/>
      <c r="L231" s="144"/>
    </row>
    <row r="232" spans="3:12" x14ac:dyDescent="0.25">
      <c r="C232" s="180"/>
      <c r="D232" s="180"/>
      <c r="J232" s="144"/>
      <c r="K232" s="144"/>
      <c r="L232" s="144"/>
    </row>
    <row r="233" spans="3:12" x14ac:dyDescent="0.25">
      <c r="C233" s="180"/>
      <c r="D233" s="180"/>
      <c r="J233" s="144"/>
      <c r="K233" s="144"/>
      <c r="L233" s="144"/>
    </row>
    <row r="234" spans="3:12" x14ac:dyDescent="0.25">
      <c r="C234" s="180"/>
      <c r="D234" s="180"/>
      <c r="J234" s="144"/>
      <c r="K234" s="144"/>
      <c r="L234" s="144"/>
    </row>
    <row r="235" spans="3:12" x14ac:dyDescent="0.25">
      <c r="C235" s="180"/>
      <c r="D235" s="180"/>
      <c r="J235" s="144"/>
      <c r="K235" s="144"/>
      <c r="L235" s="144"/>
    </row>
    <row r="236" spans="3:12" x14ac:dyDescent="0.25">
      <c r="C236" s="180"/>
      <c r="D236" s="180"/>
      <c r="J236" s="144"/>
      <c r="K236" s="144"/>
      <c r="L236" s="144"/>
    </row>
    <row r="237" spans="3:12" x14ac:dyDescent="0.25">
      <c r="C237" s="180"/>
      <c r="D237" s="180"/>
      <c r="J237" s="144"/>
      <c r="K237" s="144"/>
      <c r="L237" s="144"/>
    </row>
    <row r="238" spans="3:12" x14ac:dyDescent="0.25">
      <c r="C238" s="180"/>
      <c r="D238" s="180"/>
      <c r="J238" s="144"/>
      <c r="K238" s="144"/>
      <c r="L238" s="144"/>
    </row>
    <row r="239" spans="3:12" x14ac:dyDescent="0.25">
      <c r="C239" s="180"/>
      <c r="D239" s="180"/>
      <c r="J239" s="144"/>
      <c r="K239" s="144"/>
      <c r="L239" s="144"/>
    </row>
    <row r="240" spans="3:12" x14ac:dyDescent="0.25">
      <c r="C240" s="180"/>
      <c r="D240" s="180"/>
      <c r="J240" s="144"/>
      <c r="K240" s="144"/>
      <c r="L240" s="144"/>
    </row>
    <row r="241" spans="3:12" x14ac:dyDescent="0.25">
      <c r="C241" s="180"/>
      <c r="D241" s="180"/>
      <c r="J241" s="144"/>
      <c r="K241" s="144"/>
      <c r="L241" s="144"/>
    </row>
    <row r="242" spans="3:12" x14ac:dyDescent="0.25">
      <c r="C242" s="180"/>
      <c r="D242" s="180"/>
      <c r="J242" s="144"/>
      <c r="K242" s="144"/>
      <c r="L242" s="144"/>
    </row>
    <row r="243" spans="3:12" x14ac:dyDescent="0.25">
      <c r="C243" s="180"/>
      <c r="D243" s="180"/>
      <c r="J243" s="144"/>
      <c r="K243" s="144"/>
      <c r="L243" s="144"/>
    </row>
    <row r="244" spans="3:12" x14ac:dyDescent="0.25">
      <c r="C244" s="180"/>
      <c r="D244" s="180"/>
      <c r="J244" s="144"/>
      <c r="K244" s="144"/>
      <c r="L244" s="144"/>
    </row>
    <row r="245" spans="3:12" x14ac:dyDescent="0.25">
      <c r="C245" s="180"/>
      <c r="D245" s="180"/>
      <c r="J245" s="144"/>
      <c r="K245" s="144"/>
      <c r="L245" s="144"/>
    </row>
    <row r="246" spans="3:12" x14ac:dyDescent="0.25">
      <c r="C246" s="180"/>
      <c r="D246" s="180"/>
      <c r="J246" s="144"/>
      <c r="K246" s="144"/>
      <c r="L246" s="144"/>
    </row>
    <row r="247" spans="3:12" x14ac:dyDescent="0.25">
      <c r="C247" s="180"/>
      <c r="D247" s="180"/>
      <c r="J247" s="144"/>
      <c r="K247" s="144"/>
      <c r="L247" s="144"/>
    </row>
    <row r="248" spans="3:12" x14ac:dyDescent="0.25">
      <c r="C248" s="180"/>
      <c r="D248" s="180"/>
      <c r="J248" s="144"/>
      <c r="K248" s="144"/>
      <c r="L248" s="144"/>
    </row>
    <row r="249" spans="3:12" x14ac:dyDescent="0.25">
      <c r="C249" s="180"/>
      <c r="D249" s="180"/>
      <c r="J249" s="144"/>
      <c r="K249" s="144"/>
      <c r="L249" s="144"/>
    </row>
    <row r="250" spans="3:12" x14ac:dyDescent="0.25">
      <c r="C250" s="180"/>
      <c r="D250" s="180"/>
      <c r="J250" s="144"/>
      <c r="K250" s="144"/>
      <c r="L250" s="144"/>
    </row>
    <row r="251" spans="3:12" x14ac:dyDescent="0.25">
      <c r="C251" s="180"/>
      <c r="D251" s="180"/>
      <c r="J251" s="144"/>
      <c r="K251" s="144"/>
      <c r="L251" s="144"/>
    </row>
    <row r="252" spans="3:12" x14ac:dyDescent="0.25">
      <c r="C252" s="180"/>
      <c r="D252" s="180"/>
      <c r="J252" s="144"/>
      <c r="K252" s="144"/>
      <c r="L252" s="144"/>
    </row>
    <row r="253" spans="3:12" x14ac:dyDescent="0.25">
      <c r="C253" s="180"/>
      <c r="D253" s="180"/>
      <c r="J253" s="144"/>
      <c r="K253" s="144"/>
      <c r="L253" s="144"/>
    </row>
    <row r="254" spans="3:12" x14ac:dyDescent="0.25">
      <c r="C254" s="180"/>
      <c r="D254" s="180"/>
      <c r="J254" s="144"/>
      <c r="K254" s="144"/>
      <c r="L254" s="144"/>
    </row>
    <row r="255" spans="3:12" x14ac:dyDescent="0.25">
      <c r="C255" s="180"/>
      <c r="D255" s="180"/>
      <c r="J255" s="144"/>
      <c r="K255" s="144"/>
      <c r="L255" s="144"/>
    </row>
    <row r="256" spans="3:12" x14ac:dyDescent="0.25">
      <c r="C256" s="180"/>
      <c r="D256" s="180"/>
      <c r="J256" s="144"/>
      <c r="K256" s="144"/>
      <c r="L256" s="144"/>
    </row>
    <row r="257" spans="3:12" x14ac:dyDescent="0.25">
      <c r="C257" s="180"/>
      <c r="D257" s="180"/>
      <c r="J257" s="144"/>
      <c r="K257" s="144"/>
      <c r="L257" s="144"/>
    </row>
    <row r="258" spans="3:12" x14ac:dyDescent="0.25">
      <c r="C258" s="180"/>
      <c r="D258" s="180"/>
      <c r="J258" s="144"/>
      <c r="K258" s="144"/>
      <c r="L258" s="144"/>
    </row>
    <row r="259" spans="3:12" x14ac:dyDescent="0.25">
      <c r="C259" s="180"/>
      <c r="D259" s="180"/>
      <c r="J259" s="144"/>
      <c r="K259" s="144"/>
      <c r="L259" s="144"/>
    </row>
    <row r="260" spans="3:12" x14ac:dyDescent="0.25">
      <c r="C260" s="180"/>
      <c r="D260" s="180"/>
      <c r="J260" s="144"/>
      <c r="K260" s="144"/>
      <c r="L260" s="144"/>
    </row>
    <row r="261" spans="3:12" x14ac:dyDescent="0.25">
      <c r="C261" s="180"/>
      <c r="D261" s="180"/>
      <c r="J261" s="144"/>
      <c r="K261" s="144"/>
      <c r="L261" s="144"/>
    </row>
    <row r="262" spans="3:12" x14ac:dyDescent="0.25">
      <c r="C262" s="180"/>
      <c r="D262" s="180"/>
      <c r="J262" s="144"/>
      <c r="K262" s="144"/>
      <c r="L262" s="144"/>
    </row>
    <row r="263" spans="3:12" x14ac:dyDescent="0.25">
      <c r="C263" s="180"/>
      <c r="D263" s="180"/>
      <c r="J263" s="144"/>
      <c r="K263" s="144"/>
      <c r="L263" s="144"/>
    </row>
    <row r="264" spans="3:12" x14ac:dyDescent="0.25">
      <c r="C264" s="180"/>
      <c r="D264" s="180"/>
      <c r="J264" s="144"/>
      <c r="K264" s="144"/>
      <c r="L264" s="144"/>
    </row>
    <row r="265" spans="3:12" x14ac:dyDescent="0.25">
      <c r="C265" s="180"/>
      <c r="D265" s="180"/>
      <c r="J265" s="144"/>
      <c r="K265" s="144"/>
      <c r="L265" s="144"/>
    </row>
    <row r="266" spans="3:12" x14ac:dyDescent="0.25">
      <c r="C266" s="180"/>
      <c r="D266" s="180"/>
      <c r="J266" s="144"/>
      <c r="K266" s="144"/>
      <c r="L266" s="144"/>
    </row>
    <row r="267" spans="3:12" x14ac:dyDescent="0.25">
      <c r="C267" s="180"/>
      <c r="D267" s="180"/>
      <c r="J267" s="144"/>
      <c r="K267" s="144"/>
      <c r="L267" s="144"/>
    </row>
    <row r="268" spans="3:12" x14ac:dyDescent="0.25">
      <c r="C268" s="180"/>
      <c r="D268" s="180"/>
      <c r="J268" s="144"/>
      <c r="K268" s="144"/>
      <c r="L268" s="144"/>
    </row>
    <row r="269" spans="3:12" x14ac:dyDescent="0.25">
      <c r="C269" s="180"/>
      <c r="D269" s="180"/>
      <c r="J269" s="144"/>
      <c r="K269" s="144"/>
      <c r="L269" s="144"/>
    </row>
    <row r="270" spans="3:12" x14ac:dyDescent="0.25">
      <c r="C270" s="180"/>
      <c r="D270" s="180"/>
      <c r="J270" s="144"/>
      <c r="K270" s="144"/>
      <c r="L270" s="144"/>
    </row>
    <row r="271" spans="3:12" x14ac:dyDescent="0.25">
      <c r="C271" s="180"/>
      <c r="D271" s="180"/>
      <c r="J271" s="144"/>
      <c r="K271" s="144"/>
      <c r="L271" s="144"/>
    </row>
    <row r="272" spans="3:12" x14ac:dyDescent="0.25">
      <c r="C272" s="180"/>
      <c r="D272" s="180"/>
      <c r="J272" s="144"/>
      <c r="K272" s="144"/>
      <c r="L272" s="144"/>
    </row>
    <row r="273" spans="3:12" x14ac:dyDescent="0.25">
      <c r="C273" s="180"/>
      <c r="D273" s="180"/>
      <c r="J273" s="144"/>
      <c r="K273" s="144"/>
      <c r="L273" s="144"/>
    </row>
    <row r="274" spans="3:12" x14ac:dyDescent="0.25">
      <c r="C274" s="180"/>
      <c r="D274" s="180"/>
      <c r="J274" s="144"/>
      <c r="K274" s="144"/>
      <c r="L274" s="144"/>
    </row>
    <row r="275" spans="3:12" x14ac:dyDescent="0.25">
      <c r="C275" s="180"/>
      <c r="D275" s="180"/>
      <c r="J275" s="144"/>
      <c r="K275" s="144"/>
      <c r="L275" s="144"/>
    </row>
    <row r="276" spans="3:12" x14ac:dyDescent="0.25">
      <c r="C276" s="180"/>
      <c r="D276" s="180"/>
      <c r="J276" s="144"/>
      <c r="K276" s="144"/>
      <c r="L276" s="144"/>
    </row>
    <row r="277" spans="3:12" x14ac:dyDescent="0.25">
      <c r="C277" s="180"/>
      <c r="D277" s="180"/>
      <c r="J277" s="144"/>
      <c r="K277" s="144"/>
      <c r="L277" s="144"/>
    </row>
    <row r="278" spans="3:12" x14ac:dyDescent="0.25">
      <c r="C278" s="180"/>
      <c r="D278" s="180"/>
      <c r="J278" s="144"/>
      <c r="K278" s="144"/>
      <c r="L278" s="144"/>
    </row>
    <row r="279" spans="3:12" x14ac:dyDescent="0.25">
      <c r="C279" s="180"/>
      <c r="D279" s="180"/>
      <c r="J279" s="144"/>
      <c r="K279" s="144"/>
      <c r="L279" s="144"/>
    </row>
    <row r="280" spans="3:12" x14ac:dyDescent="0.25">
      <c r="C280" s="180"/>
      <c r="D280" s="180"/>
      <c r="J280" s="144"/>
      <c r="K280" s="144"/>
      <c r="L280" s="144"/>
    </row>
    <row r="281" spans="3:12" x14ac:dyDescent="0.25">
      <c r="C281" s="180"/>
      <c r="D281" s="180"/>
      <c r="J281" s="144"/>
      <c r="K281" s="144"/>
      <c r="L281" s="144"/>
    </row>
    <row r="282" spans="3:12" x14ac:dyDescent="0.25">
      <c r="C282" s="180"/>
      <c r="D282" s="180"/>
      <c r="J282" s="144"/>
      <c r="K282" s="144"/>
      <c r="L282" s="144"/>
    </row>
    <row r="283" spans="3:12" x14ac:dyDescent="0.25">
      <c r="C283" s="180"/>
      <c r="D283" s="180"/>
      <c r="J283" s="144"/>
      <c r="K283" s="144"/>
      <c r="L283" s="144"/>
    </row>
    <row r="284" spans="3:12" x14ac:dyDescent="0.25">
      <c r="C284" s="180"/>
      <c r="D284" s="180"/>
      <c r="J284" s="144"/>
      <c r="K284" s="144"/>
      <c r="L284" s="144"/>
    </row>
    <row r="285" spans="3:12" x14ac:dyDescent="0.25">
      <c r="C285" s="180"/>
      <c r="D285" s="180"/>
      <c r="J285" s="144"/>
      <c r="K285" s="144"/>
      <c r="L285" s="144"/>
    </row>
    <row r="286" spans="3:12" x14ac:dyDescent="0.25">
      <c r="C286" s="180"/>
      <c r="D286" s="180"/>
      <c r="J286" s="144"/>
      <c r="K286" s="144"/>
      <c r="L286" s="144"/>
    </row>
    <row r="287" spans="3:12" x14ac:dyDescent="0.25">
      <c r="C287" s="180"/>
      <c r="D287" s="180"/>
      <c r="J287" s="144"/>
      <c r="K287" s="144"/>
      <c r="L287" s="144"/>
    </row>
    <row r="288" spans="3:12" x14ac:dyDescent="0.25">
      <c r="C288" s="180"/>
      <c r="D288" s="180"/>
      <c r="J288" s="144"/>
      <c r="K288" s="144"/>
      <c r="L288" s="144"/>
    </row>
    <row r="289" spans="3:12" x14ac:dyDescent="0.25">
      <c r="C289" s="180"/>
      <c r="D289" s="180"/>
      <c r="J289" s="144"/>
      <c r="K289" s="144"/>
      <c r="L289" s="144"/>
    </row>
    <row r="290" spans="3:12" x14ac:dyDescent="0.25">
      <c r="C290" s="180"/>
      <c r="D290" s="180"/>
      <c r="J290" s="144"/>
      <c r="K290" s="144"/>
      <c r="L290" s="144"/>
    </row>
    <row r="291" spans="3:12" x14ac:dyDescent="0.25">
      <c r="C291" s="180"/>
      <c r="D291" s="180"/>
      <c r="J291" s="144"/>
      <c r="K291" s="144"/>
      <c r="L291" s="144"/>
    </row>
    <row r="292" spans="3:12" x14ac:dyDescent="0.25">
      <c r="C292" s="180"/>
      <c r="D292" s="180"/>
      <c r="J292" s="144"/>
      <c r="K292" s="144"/>
      <c r="L292" s="144"/>
    </row>
    <row r="293" spans="3:12" x14ac:dyDescent="0.25">
      <c r="C293" s="180"/>
      <c r="D293" s="180"/>
      <c r="J293" s="144"/>
      <c r="K293" s="144"/>
      <c r="L293" s="144"/>
    </row>
    <row r="294" spans="3:12" x14ac:dyDescent="0.25">
      <c r="C294" s="180"/>
      <c r="D294" s="180"/>
      <c r="J294" s="144"/>
      <c r="K294" s="144"/>
      <c r="L294" s="144"/>
    </row>
    <row r="295" spans="3:12" x14ac:dyDescent="0.25">
      <c r="C295" s="180"/>
      <c r="D295" s="180"/>
      <c r="J295" s="144"/>
      <c r="K295" s="144"/>
      <c r="L295" s="144"/>
    </row>
    <row r="296" spans="3:12" x14ac:dyDescent="0.25">
      <c r="C296" s="180"/>
      <c r="D296" s="180"/>
      <c r="J296" s="144"/>
      <c r="K296" s="144"/>
      <c r="L296" s="144"/>
    </row>
    <row r="297" spans="3:12" x14ac:dyDescent="0.25">
      <c r="C297" s="180"/>
      <c r="D297" s="180"/>
      <c r="J297" s="144"/>
      <c r="K297" s="144"/>
      <c r="L297" s="144"/>
    </row>
    <row r="298" spans="3:12" x14ac:dyDescent="0.25">
      <c r="C298" s="180"/>
      <c r="D298" s="180"/>
      <c r="J298" s="144"/>
      <c r="K298" s="144"/>
      <c r="L298" s="144"/>
    </row>
    <row r="299" spans="3:12" x14ac:dyDescent="0.25">
      <c r="C299" s="180"/>
      <c r="D299" s="180"/>
      <c r="J299" s="144"/>
      <c r="K299" s="144"/>
      <c r="L299" s="144"/>
    </row>
    <row r="300" spans="3:12" x14ac:dyDescent="0.25">
      <c r="C300" s="180"/>
      <c r="D300" s="180"/>
      <c r="J300" s="144"/>
      <c r="K300" s="144"/>
      <c r="L300" s="144"/>
    </row>
    <row r="301" spans="3:12" x14ac:dyDescent="0.25">
      <c r="C301" s="180"/>
      <c r="D301" s="180"/>
      <c r="J301" s="144"/>
      <c r="K301" s="144"/>
      <c r="L301" s="144"/>
    </row>
    <row r="302" spans="3:12" x14ac:dyDescent="0.25">
      <c r="C302" s="180"/>
      <c r="D302" s="180"/>
      <c r="J302" s="144"/>
      <c r="K302" s="144"/>
      <c r="L302" s="144"/>
    </row>
    <row r="303" spans="3:12" x14ac:dyDescent="0.25">
      <c r="C303" s="180"/>
      <c r="D303" s="180"/>
      <c r="J303" s="144"/>
      <c r="K303" s="144"/>
      <c r="L303" s="144"/>
    </row>
    <row r="304" spans="3:12" x14ac:dyDescent="0.25">
      <c r="C304" s="180"/>
      <c r="D304" s="180"/>
      <c r="J304" s="144"/>
      <c r="K304" s="144"/>
      <c r="L304" s="144"/>
    </row>
    <row r="305" spans="3:12" x14ac:dyDescent="0.25">
      <c r="C305" s="180"/>
      <c r="D305" s="180"/>
      <c r="J305" s="144"/>
      <c r="K305" s="144"/>
      <c r="L305" s="144"/>
    </row>
    <row r="306" spans="3:12" x14ac:dyDescent="0.25">
      <c r="C306" s="180"/>
      <c r="D306" s="180"/>
      <c r="J306" s="144"/>
      <c r="K306" s="144"/>
      <c r="L306" s="144"/>
    </row>
    <row r="307" spans="3:12" x14ac:dyDescent="0.25">
      <c r="C307" s="180"/>
      <c r="D307" s="180"/>
      <c r="J307" s="144"/>
      <c r="K307" s="144"/>
      <c r="L307" s="144"/>
    </row>
    <row r="308" spans="3:12" x14ac:dyDescent="0.25">
      <c r="C308" s="180"/>
      <c r="D308" s="180"/>
      <c r="J308" s="144"/>
      <c r="K308" s="144"/>
      <c r="L308" s="144"/>
    </row>
    <row r="309" spans="3:12" x14ac:dyDescent="0.25">
      <c r="C309" s="180"/>
      <c r="D309" s="180"/>
      <c r="J309" s="144"/>
      <c r="K309" s="144"/>
      <c r="L309" s="144"/>
    </row>
    <row r="310" spans="3:12" x14ac:dyDescent="0.25">
      <c r="C310" s="180"/>
      <c r="D310" s="180"/>
      <c r="J310" s="144"/>
      <c r="K310" s="144"/>
      <c r="L310" s="144"/>
    </row>
    <row r="311" spans="3:12" x14ac:dyDescent="0.25">
      <c r="C311" s="180"/>
      <c r="D311" s="180"/>
      <c r="J311" s="144"/>
      <c r="K311" s="144"/>
      <c r="L311" s="144"/>
    </row>
    <row r="312" spans="3:12" x14ac:dyDescent="0.25">
      <c r="C312" s="180"/>
      <c r="D312" s="180"/>
      <c r="J312" s="144"/>
      <c r="K312" s="144"/>
      <c r="L312" s="144"/>
    </row>
    <row r="313" spans="3:12" x14ac:dyDescent="0.25">
      <c r="C313" s="180"/>
      <c r="D313" s="180"/>
      <c r="J313" s="144"/>
      <c r="K313" s="144"/>
      <c r="L313" s="144"/>
    </row>
    <row r="314" spans="3:12" x14ac:dyDescent="0.25">
      <c r="C314" s="180"/>
      <c r="D314" s="180"/>
      <c r="J314" s="144"/>
      <c r="K314" s="144"/>
      <c r="L314" s="144"/>
    </row>
    <row r="315" spans="3:12" x14ac:dyDescent="0.25">
      <c r="C315" s="180"/>
      <c r="D315" s="180"/>
      <c r="J315" s="144"/>
      <c r="K315" s="144"/>
      <c r="L315" s="144"/>
    </row>
    <row r="316" spans="3:12" x14ac:dyDescent="0.25">
      <c r="C316" s="180"/>
      <c r="D316" s="180"/>
      <c r="J316" s="144"/>
      <c r="K316" s="144"/>
      <c r="L316" s="144"/>
    </row>
    <row r="317" spans="3:12" x14ac:dyDescent="0.25">
      <c r="C317" s="180"/>
      <c r="D317" s="180"/>
      <c r="J317" s="144"/>
      <c r="K317" s="144"/>
      <c r="L317" s="144"/>
    </row>
    <row r="318" spans="3:12" x14ac:dyDescent="0.25">
      <c r="C318" s="180"/>
      <c r="D318" s="180"/>
      <c r="J318" s="144"/>
      <c r="K318" s="144"/>
      <c r="L318" s="144"/>
    </row>
    <row r="319" spans="3:12" x14ac:dyDescent="0.25">
      <c r="C319" s="180"/>
      <c r="D319" s="180"/>
      <c r="J319" s="144"/>
      <c r="K319" s="144"/>
      <c r="L319" s="144"/>
    </row>
    <row r="320" spans="3:12" x14ac:dyDescent="0.25">
      <c r="C320" s="180"/>
      <c r="D320" s="180"/>
      <c r="J320" s="144"/>
      <c r="K320" s="144"/>
      <c r="L320" s="144"/>
    </row>
    <row r="321" spans="3:12" x14ac:dyDescent="0.25">
      <c r="C321" s="180"/>
      <c r="D321" s="180"/>
      <c r="J321" s="144"/>
      <c r="K321" s="144"/>
      <c r="L321" s="144"/>
    </row>
    <row r="322" spans="3:12" x14ac:dyDescent="0.25">
      <c r="C322" s="180"/>
      <c r="D322" s="180"/>
      <c r="J322" s="144"/>
      <c r="K322" s="144"/>
      <c r="L322" s="144"/>
    </row>
    <row r="323" spans="3:12" x14ac:dyDescent="0.25">
      <c r="C323" s="180"/>
      <c r="D323" s="180"/>
      <c r="J323" s="144"/>
      <c r="K323" s="144"/>
      <c r="L323" s="144"/>
    </row>
    <row r="324" spans="3:12" x14ac:dyDescent="0.25">
      <c r="C324" s="180"/>
      <c r="D324" s="180"/>
      <c r="J324" s="144"/>
      <c r="K324" s="144"/>
      <c r="L324" s="144"/>
    </row>
    <row r="325" spans="3:12" x14ac:dyDescent="0.25">
      <c r="C325" s="180"/>
      <c r="D325" s="180"/>
      <c r="J325" s="144"/>
      <c r="K325" s="144"/>
      <c r="L325" s="144"/>
    </row>
    <row r="326" spans="3:12" x14ac:dyDescent="0.25">
      <c r="C326" s="180"/>
      <c r="D326" s="180"/>
      <c r="J326" s="144"/>
      <c r="K326" s="144"/>
      <c r="L326" s="144"/>
    </row>
    <row r="327" spans="3:12" x14ac:dyDescent="0.25">
      <c r="C327" s="180"/>
      <c r="D327" s="180"/>
      <c r="J327" s="144"/>
      <c r="K327" s="144"/>
      <c r="L327" s="144"/>
    </row>
    <row r="328" spans="3:12" x14ac:dyDescent="0.25">
      <c r="C328" s="180"/>
      <c r="D328" s="180"/>
      <c r="J328" s="144"/>
      <c r="K328" s="144"/>
      <c r="L328" s="144"/>
    </row>
    <row r="329" spans="3:12" x14ac:dyDescent="0.25">
      <c r="C329" s="180"/>
      <c r="D329" s="180"/>
      <c r="J329" s="144"/>
      <c r="K329" s="144"/>
      <c r="L329" s="144"/>
    </row>
    <row r="330" spans="3:12" x14ac:dyDescent="0.25">
      <c r="C330" s="180"/>
      <c r="D330" s="180"/>
      <c r="J330" s="144"/>
      <c r="K330" s="144"/>
      <c r="L330" s="144"/>
    </row>
    <row r="331" spans="3:12" x14ac:dyDescent="0.25">
      <c r="C331" s="180"/>
      <c r="D331" s="180"/>
      <c r="J331" s="144"/>
      <c r="K331" s="144"/>
      <c r="L331" s="144"/>
    </row>
    <row r="332" spans="3:12" x14ac:dyDescent="0.25">
      <c r="C332" s="180"/>
      <c r="D332" s="180"/>
      <c r="J332" s="144"/>
      <c r="K332" s="144"/>
      <c r="L332" s="144"/>
    </row>
    <row r="333" spans="3:12" x14ac:dyDescent="0.25">
      <c r="C333" s="180"/>
      <c r="D333" s="180"/>
      <c r="J333" s="144"/>
      <c r="K333" s="144"/>
      <c r="L333" s="144"/>
    </row>
    <row r="334" spans="3:12" x14ac:dyDescent="0.25">
      <c r="C334" s="180"/>
      <c r="D334" s="180"/>
      <c r="J334" s="144"/>
      <c r="K334" s="144"/>
      <c r="L334" s="144"/>
    </row>
    <row r="335" spans="3:12" x14ac:dyDescent="0.25">
      <c r="C335" s="180"/>
      <c r="D335" s="180"/>
      <c r="J335" s="144"/>
      <c r="K335" s="144"/>
      <c r="L335" s="144"/>
    </row>
    <row r="336" spans="3:12" x14ac:dyDescent="0.25">
      <c r="C336" s="180"/>
      <c r="D336" s="180"/>
      <c r="J336" s="144"/>
      <c r="K336" s="144"/>
      <c r="L336" s="144"/>
    </row>
    <row r="337" spans="3:12" x14ac:dyDescent="0.25">
      <c r="C337" s="180"/>
      <c r="D337" s="180"/>
      <c r="J337" s="144"/>
      <c r="K337" s="144"/>
      <c r="L337" s="144"/>
    </row>
    <row r="338" spans="3:12" x14ac:dyDescent="0.25">
      <c r="C338" s="180"/>
      <c r="D338" s="180"/>
      <c r="J338" s="144"/>
      <c r="K338" s="144"/>
      <c r="L338" s="144"/>
    </row>
    <row r="339" spans="3:12" x14ac:dyDescent="0.25">
      <c r="C339" s="180"/>
      <c r="D339" s="180"/>
      <c r="J339" s="144"/>
      <c r="K339" s="144"/>
      <c r="L339" s="144"/>
    </row>
    <row r="340" spans="3:12" x14ac:dyDescent="0.25">
      <c r="C340" s="180"/>
      <c r="D340" s="180"/>
      <c r="J340" s="144"/>
      <c r="K340" s="144"/>
      <c r="L340" s="144"/>
    </row>
    <row r="341" spans="3:12" x14ac:dyDescent="0.25">
      <c r="C341" s="180"/>
      <c r="D341" s="180"/>
      <c r="J341" s="144"/>
      <c r="K341" s="144"/>
      <c r="L341" s="144"/>
    </row>
    <row r="342" spans="3:12" x14ac:dyDescent="0.25">
      <c r="C342" s="180"/>
      <c r="D342" s="180"/>
      <c r="J342" s="144"/>
      <c r="K342" s="144"/>
      <c r="L342" s="144"/>
    </row>
    <row r="343" spans="3:12" x14ac:dyDescent="0.25">
      <c r="C343" s="180"/>
      <c r="D343" s="180"/>
      <c r="J343" s="144"/>
      <c r="K343" s="144"/>
      <c r="L343" s="144"/>
    </row>
    <row r="344" spans="3:12" x14ac:dyDescent="0.25">
      <c r="C344" s="180"/>
      <c r="D344" s="180"/>
      <c r="J344" s="144"/>
      <c r="K344" s="144"/>
      <c r="L344" s="144"/>
    </row>
    <row r="345" spans="3:12" x14ac:dyDescent="0.25">
      <c r="C345" s="180"/>
      <c r="D345" s="180"/>
      <c r="J345" s="144"/>
      <c r="K345" s="144"/>
      <c r="L345" s="144"/>
    </row>
    <row r="346" spans="3:12" x14ac:dyDescent="0.25">
      <c r="C346" s="180"/>
      <c r="D346" s="180"/>
      <c r="J346" s="144"/>
      <c r="K346" s="144"/>
      <c r="L346" s="144"/>
    </row>
    <row r="347" spans="3:12" x14ac:dyDescent="0.25">
      <c r="C347" s="180"/>
      <c r="D347" s="180"/>
      <c r="J347" s="144"/>
      <c r="K347" s="144"/>
      <c r="L347" s="144"/>
    </row>
    <row r="348" spans="3:12" x14ac:dyDescent="0.25">
      <c r="C348" s="180"/>
      <c r="D348" s="180"/>
      <c r="J348" s="144"/>
      <c r="K348" s="144"/>
      <c r="L348" s="144"/>
    </row>
    <row r="349" spans="3:12" x14ac:dyDescent="0.25">
      <c r="C349" s="180"/>
      <c r="D349" s="180"/>
      <c r="J349" s="144"/>
      <c r="K349" s="144"/>
      <c r="L349" s="144"/>
    </row>
    <row r="350" spans="3:12" x14ac:dyDescent="0.25">
      <c r="C350" s="180"/>
      <c r="D350" s="180"/>
      <c r="J350" s="144"/>
      <c r="K350" s="144"/>
      <c r="L350" s="144"/>
    </row>
    <row r="351" spans="3:12" x14ac:dyDescent="0.25">
      <c r="C351" s="180"/>
      <c r="D351" s="180"/>
      <c r="J351" s="144"/>
      <c r="K351" s="144"/>
      <c r="L351" s="144"/>
    </row>
    <row r="352" spans="3:12" x14ac:dyDescent="0.25">
      <c r="C352" s="180"/>
      <c r="D352" s="180"/>
      <c r="J352" s="144"/>
      <c r="K352" s="144"/>
      <c r="L352" s="144"/>
    </row>
    <row r="353" spans="3:12" x14ac:dyDescent="0.25">
      <c r="C353" s="180"/>
      <c r="D353" s="180"/>
      <c r="J353" s="144"/>
      <c r="K353" s="144"/>
      <c r="L353" s="144"/>
    </row>
    <row r="354" spans="3:12" x14ac:dyDescent="0.25">
      <c r="C354" s="180"/>
      <c r="D354" s="180"/>
      <c r="J354" s="144"/>
      <c r="K354" s="144"/>
      <c r="L354" s="144"/>
    </row>
    <row r="355" spans="3:12" x14ac:dyDescent="0.25">
      <c r="C355" s="180"/>
      <c r="D355" s="180"/>
      <c r="J355" s="144"/>
      <c r="K355" s="144"/>
      <c r="L355" s="144"/>
    </row>
    <row r="356" spans="3:12" x14ac:dyDescent="0.25">
      <c r="C356" s="180"/>
      <c r="D356" s="180"/>
      <c r="J356" s="144"/>
      <c r="K356" s="144"/>
      <c r="L356" s="144"/>
    </row>
    <row r="357" spans="3:12" x14ac:dyDescent="0.25">
      <c r="C357" s="180"/>
      <c r="D357" s="180"/>
      <c r="J357" s="144"/>
      <c r="K357" s="144"/>
      <c r="L357" s="144"/>
    </row>
    <row r="358" spans="3:12" x14ac:dyDescent="0.25">
      <c r="C358" s="180"/>
      <c r="D358" s="180"/>
      <c r="J358" s="144"/>
      <c r="K358" s="144"/>
      <c r="L358" s="144"/>
    </row>
    <row r="359" spans="3:12" x14ac:dyDescent="0.25">
      <c r="C359" s="180"/>
      <c r="D359" s="180"/>
      <c r="J359" s="144"/>
      <c r="K359" s="144"/>
      <c r="L359" s="144"/>
    </row>
    <row r="360" spans="3:12" x14ac:dyDescent="0.25">
      <c r="C360" s="180"/>
      <c r="D360" s="180"/>
      <c r="J360" s="144"/>
      <c r="K360" s="144"/>
      <c r="L360" s="144"/>
    </row>
    <row r="361" spans="3:12" x14ac:dyDescent="0.25">
      <c r="C361" s="180"/>
      <c r="D361" s="180"/>
      <c r="J361" s="144"/>
      <c r="K361" s="144"/>
      <c r="L361" s="144"/>
    </row>
    <row r="362" spans="3:12" x14ac:dyDescent="0.25">
      <c r="C362" s="180"/>
      <c r="D362" s="180"/>
      <c r="J362" s="144"/>
      <c r="K362" s="144"/>
      <c r="L362" s="144"/>
    </row>
    <row r="363" spans="3:12" x14ac:dyDescent="0.25">
      <c r="C363" s="180"/>
      <c r="D363" s="180"/>
      <c r="J363" s="144"/>
      <c r="K363" s="144"/>
      <c r="L363" s="144"/>
    </row>
    <row r="364" spans="3:12" x14ac:dyDescent="0.25">
      <c r="C364" s="180"/>
      <c r="D364" s="180"/>
      <c r="J364" s="144"/>
      <c r="K364" s="144"/>
      <c r="L364" s="144"/>
    </row>
    <row r="365" spans="3:12" x14ac:dyDescent="0.25">
      <c r="C365" s="180"/>
      <c r="D365" s="180"/>
      <c r="J365" s="144"/>
      <c r="K365" s="144"/>
      <c r="L365" s="144"/>
    </row>
    <row r="366" spans="3:12" x14ac:dyDescent="0.25">
      <c r="C366" s="180"/>
      <c r="D366" s="180"/>
      <c r="J366" s="144"/>
      <c r="K366" s="144"/>
      <c r="L366" s="144"/>
    </row>
    <row r="367" spans="3:12" x14ac:dyDescent="0.25">
      <c r="C367" s="180"/>
      <c r="D367" s="180"/>
      <c r="J367" s="144"/>
      <c r="K367" s="144"/>
      <c r="L367" s="144"/>
    </row>
    <row r="368" spans="3:12" x14ac:dyDescent="0.25">
      <c r="C368" s="180"/>
      <c r="D368" s="180"/>
      <c r="J368" s="144"/>
      <c r="K368" s="144"/>
      <c r="L368" s="144"/>
    </row>
    <row r="369" spans="3:12" x14ac:dyDescent="0.25">
      <c r="C369" s="180"/>
      <c r="D369" s="180"/>
      <c r="J369" s="144"/>
      <c r="K369" s="144"/>
      <c r="L369" s="144"/>
    </row>
    <row r="370" spans="3:12" x14ac:dyDescent="0.25">
      <c r="C370" s="180"/>
      <c r="D370" s="180"/>
      <c r="J370" s="144"/>
      <c r="K370" s="144"/>
      <c r="L370" s="144"/>
    </row>
    <row r="371" spans="3:12" x14ac:dyDescent="0.25">
      <c r="C371" s="180"/>
      <c r="D371" s="180"/>
      <c r="J371" s="144"/>
      <c r="K371" s="144"/>
      <c r="L371" s="144"/>
    </row>
    <row r="372" spans="3:12" x14ac:dyDescent="0.25">
      <c r="C372" s="180"/>
      <c r="D372" s="180"/>
      <c r="J372" s="144"/>
      <c r="K372" s="144"/>
      <c r="L372" s="144"/>
    </row>
    <row r="373" spans="3:12" x14ac:dyDescent="0.25">
      <c r="C373" s="180"/>
      <c r="D373" s="180"/>
      <c r="J373" s="144"/>
      <c r="K373" s="144"/>
      <c r="L373" s="144"/>
    </row>
    <row r="374" spans="3:12" x14ac:dyDescent="0.25">
      <c r="C374" s="180"/>
      <c r="D374" s="180"/>
      <c r="J374" s="144"/>
      <c r="K374" s="144"/>
      <c r="L374" s="144"/>
    </row>
    <row r="375" spans="3:12" x14ac:dyDescent="0.25">
      <c r="C375" s="180"/>
      <c r="D375" s="180"/>
      <c r="J375" s="144"/>
      <c r="K375" s="144"/>
      <c r="L375" s="144"/>
    </row>
    <row r="376" spans="3:12" x14ac:dyDescent="0.25">
      <c r="C376" s="180"/>
      <c r="D376" s="180"/>
      <c r="J376" s="144"/>
      <c r="K376" s="144"/>
      <c r="L376" s="144"/>
    </row>
    <row r="377" spans="3:12" x14ac:dyDescent="0.25">
      <c r="C377" s="180"/>
      <c r="D377" s="180"/>
      <c r="J377" s="144"/>
      <c r="K377" s="144"/>
      <c r="L377" s="144"/>
    </row>
    <row r="378" spans="3:12" x14ac:dyDescent="0.25">
      <c r="C378" s="180"/>
      <c r="D378" s="180"/>
      <c r="J378" s="144"/>
      <c r="K378" s="144"/>
      <c r="L378" s="144"/>
    </row>
    <row r="379" spans="3:12" x14ac:dyDescent="0.25">
      <c r="C379" s="180"/>
      <c r="D379" s="180"/>
      <c r="J379" s="144"/>
      <c r="K379" s="144"/>
      <c r="L379" s="144"/>
    </row>
    <row r="380" spans="3:12" x14ac:dyDescent="0.25">
      <c r="C380" s="180"/>
      <c r="D380" s="180"/>
      <c r="J380" s="144"/>
      <c r="K380" s="144"/>
      <c r="L380" s="144"/>
    </row>
    <row r="381" spans="3:12" x14ac:dyDescent="0.25">
      <c r="C381" s="180"/>
      <c r="D381" s="180"/>
      <c r="J381" s="144"/>
      <c r="K381" s="144"/>
      <c r="L381" s="144"/>
    </row>
    <row r="382" spans="3:12" x14ac:dyDescent="0.25">
      <c r="C382" s="180"/>
      <c r="D382" s="180"/>
      <c r="J382" s="144"/>
      <c r="K382" s="144"/>
      <c r="L382" s="144"/>
    </row>
    <row r="383" spans="3:12" x14ac:dyDescent="0.25">
      <c r="C383" s="180"/>
      <c r="D383" s="180"/>
      <c r="J383" s="144"/>
      <c r="K383" s="144"/>
      <c r="L383" s="144"/>
    </row>
    <row r="384" spans="3:12" x14ac:dyDescent="0.25">
      <c r="C384" s="180"/>
      <c r="D384" s="180"/>
      <c r="J384" s="144"/>
      <c r="K384" s="144"/>
      <c r="L384" s="144"/>
    </row>
    <row r="385" spans="3:12" x14ac:dyDescent="0.25">
      <c r="C385" s="180"/>
      <c r="D385" s="180"/>
      <c r="J385" s="144"/>
      <c r="K385" s="144"/>
      <c r="L385" s="144"/>
    </row>
    <row r="386" spans="3:12" x14ac:dyDescent="0.25">
      <c r="C386" s="180"/>
      <c r="D386" s="180"/>
      <c r="J386" s="144"/>
      <c r="K386" s="144"/>
      <c r="L386" s="144"/>
    </row>
    <row r="387" spans="3:12" x14ac:dyDescent="0.25">
      <c r="C387" s="180"/>
      <c r="D387" s="180"/>
      <c r="J387" s="144"/>
      <c r="K387" s="144"/>
      <c r="L387" s="144"/>
    </row>
    <row r="388" spans="3:12" x14ac:dyDescent="0.25">
      <c r="C388" s="180"/>
      <c r="D388" s="180"/>
      <c r="J388" s="144"/>
      <c r="K388" s="144"/>
      <c r="L388" s="144"/>
    </row>
    <row r="389" spans="3:12" x14ac:dyDescent="0.25">
      <c r="C389" s="180"/>
      <c r="D389" s="180"/>
      <c r="J389" s="144"/>
      <c r="K389" s="144"/>
      <c r="L389" s="144"/>
    </row>
    <row r="390" spans="3:12" x14ac:dyDescent="0.25">
      <c r="C390" s="180"/>
      <c r="D390" s="180"/>
      <c r="J390" s="144"/>
      <c r="K390" s="144"/>
      <c r="L390" s="144"/>
    </row>
    <row r="391" spans="3:12" x14ac:dyDescent="0.25">
      <c r="C391" s="180"/>
      <c r="D391" s="180"/>
      <c r="J391" s="144"/>
      <c r="K391" s="144"/>
      <c r="L391" s="144"/>
    </row>
    <row r="392" spans="3:12" x14ac:dyDescent="0.25">
      <c r="C392" s="180"/>
      <c r="D392" s="180"/>
      <c r="J392" s="144"/>
      <c r="K392" s="144"/>
      <c r="L392" s="144"/>
    </row>
    <row r="393" spans="3:12" x14ac:dyDescent="0.25">
      <c r="C393" s="180"/>
      <c r="D393" s="180"/>
      <c r="J393" s="144"/>
      <c r="K393" s="144"/>
      <c r="L393" s="144"/>
    </row>
    <row r="394" spans="3:12" x14ac:dyDescent="0.25">
      <c r="C394" s="180"/>
      <c r="D394" s="180"/>
      <c r="J394" s="144"/>
      <c r="K394" s="144"/>
      <c r="L394" s="144"/>
    </row>
    <row r="395" spans="3:12" x14ac:dyDescent="0.25">
      <c r="C395" s="180"/>
      <c r="D395" s="180"/>
      <c r="J395" s="144"/>
      <c r="K395" s="144"/>
      <c r="L395" s="144"/>
    </row>
    <row r="396" spans="3:12" x14ac:dyDescent="0.25">
      <c r="C396" s="180"/>
      <c r="D396" s="180"/>
      <c r="J396" s="144"/>
      <c r="K396" s="144"/>
      <c r="L396" s="144"/>
    </row>
    <row r="397" spans="3:12" x14ac:dyDescent="0.25">
      <c r="C397" s="180"/>
      <c r="D397" s="180"/>
      <c r="J397" s="144"/>
      <c r="K397" s="144"/>
      <c r="L397" s="144"/>
    </row>
    <row r="398" spans="3:12" x14ac:dyDescent="0.25">
      <c r="C398" s="180"/>
      <c r="D398" s="180"/>
      <c r="J398" s="144"/>
      <c r="K398" s="144"/>
      <c r="L398" s="144"/>
    </row>
    <row r="399" spans="3:12" x14ac:dyDescent="0.25">
      <c r="C399" s="180"/>
      <c r="D399" s="180"/>
      <c r="J399" s="144"/>
      <c r="K399" s="144"/>
      <c r="L399" s="144"/>
    </row>
    <row r="400" spans="3:12" x14ac:dyDescent="0.25">
      <c r="C400" s="180"/>
      <c r="D400" s="180"/>
      <c r="J400" s="144"/>
      <c r="K400" s="144"/>
      <c r="L400" s="144"/>
    </row>
    <row r="401" spans="3:12" x14ac:dyDescent="0.25">
      <c r="C401" s="180"/>
      <c r="D401" s="180"/>
      <c r="J401" s="144"/>
      <c r="K401" s="144"/>
      <c r="L401" s="144"/>
    </row>
    <row r="402" spans="3:12" x14ac:dyDescent="0.25">
      <c r="C402" s="180"/>
      <c r="D402" s="180"/>
      <c r="J402" s="144"/>
      <c r="K402" s="144"/>
      <c r="L402" s="144"/>
    </row>
    <row r="403" spans="3:12" x14ac:dyDescent="0.25">
      <c r="C403" s="180"/>
      <c r="D403" s="180"/>
      <c r="J403" s="144"/>
      <c r="K403" s="144"/>
      <c r="L403" s="144"/>
    </row>
    <row r="404" spans="3:12" x14ac:dyDescent="0.25">
      <c r="C404" s="180"/>
      <c r="D404" s="180"/>
      <c r="J404" s="144"/>
      <c r="K404" s="144"/>
      <c r="L404" s="144"/>
    </row>
    <row r="405" spans="3:12" x14ac:dyDescent="0.25">
      <c r="C405" s="180"/>
      <c r="D405" s="180"/>
      <c r="J405" s="144"/>
      <c r="K405" s="144"/>
      <c r="L405" s="144"/>
    </row>
    <row r="406" spans="3:12" x14ac:dyDescent="0.25">
      <c r="C406" s="180"/>
      <c r="D406" s="180"/>
      <c r="J406" s="144"/>
      <c r="K406" s="144"/>
      <c r="L406" s="144"/>
    </row>
    <row r="407" spans="3:12" x14ac:dyDescent="0.25">
      <c r="C407" s="180"/>
      <c r="D407" s="180"/>
      <c r="J407" s="144"/>
      <c r="K407" s="144"/>
      <c r="L407" s="144"/>
    </row>
    <row r="408" spans="3:12" x14ac:dyDescent="0.25">
      <c r="C408" s="180"/>
      <c r="D408" s="180"/>
      <c r="J408" s="144"/>
      <c r="K408" s="144"/>
      <c r="L408" s="144"/>
    </row>
    <row r="409" spans="3:12" x14ac:dyDescent="0.25">
      <c r="C409" s="180"/>
      <c r="D409" s="180"/>
      <c r="J409" s="144"/>
      <c r="K409" s="144"/>
      <c r="L409" s="144"/>
    </row>
    <row r="410" spans="3:12" x14ac:dyDescent="0.25">
      <c r="C410" s="180"/>
      <c r="D410" s="180"/>
      <c r="J410" s="144"/>
      <c r="K410" s="144"/>
      <c r="L410" s="144"/>
    </row>
    <row r="411" spans="3:12" x14ac:dyDescent="0.25">
      <c r="C411" s="180"/>
      <c r="D411" s="180"/>
      <c r="J411" s="144"/>
      <c r="K411" s="144"/>
      <c r="L411" s="144"/>
    </row>
    <row r="412" spans="3:12" x14ac:dyDescent="0.25">
      <c r="C412" s="180"/>
      <c r="D412" s="180"/>
      <c r="J412" s="144"/>
      <c r="K412" s="144"/>
      <c r="L412" s="144"/>
    </row>
    <row r="413" spans="3:12" x14ac:dyDescent="0.25">
      <c r="C413" s="180"/>
      <c r="D413" s="180"/>
      <c r="J413" s="144"/>
      <c r="K413" s="144"/>
      <c r="L413" s="144"/>
    </row>
    <row r="414" spans="3:12" x14ac:dyDescent="0.25">
      <c r="C414" s="180"/>
      <c r="D414" s="180"/>
      <c r="J414" s="144"/>
      <c r="K414" s="144"/>
      <c r="L414" s="144"/>
    </row>
    <row r="415" spans="3:12" x14ac:dyDescent="0.25">
      <c r="C415" s="180"/>
      <c r="D415" s="180"/>
      <c r="J415" s="144"/>
      <c r="K415" s="144"/>
      <c r="L415" s="144"/>
    </row>
    <row r="416" spans="3:12" x14ac:dyDescent="0.25">
      <c r="C416" s="180"/>
      <c r="D416" s="180"/>
      <c r="J416" s="144"/>
      <c r="K416" s="144"/>
      <c r="L416" s="144"/>
    </row>
    <row r="417" spans="3:12" x14ac:dyDescent="0.25">
      <c r="C417" s="180"/>
      <c r="D417" s="180"/>
      <c r="J417" s="144"/>
      <c r="K417" s="144"/>
      <c r="L417" s="144"/>
    </row>
    <row r="418" spans="3:12" x14ac:dyDescent="0.25">
      <c r="C418" s="180"/>
      <c r="D418" s="180"/>
      <c r="J418" s="144"/>
      <c r="K418" s="144"/>
      <c r="L418" s="144"/>
    </row>
    <row r="419" spans="3:12" x14ac:dyDescent="0.25">
      <c r="C419" s="180"/>
      <c r="D419" s="180"/>
      <c r="J419" s="144"/>
      <c r="K419" s="144"/>
      <c r="L419" s="144"/>
    </row>
    <row r="420" spans="3:12" x14ac:dyDescent="0.25">
      <c r="C420" s="180"/>
      <c r="D420" s="180"/>
      <c r="J420" s="144"/>
      <c r="K420" s="144"/>
      <c r="L420" s="144"/>
    </row>
    <row r="421" spans="3:12" x14ac:dyDescent="0.25">
      <c r="C421" s="180"/>
      <c r="D421" s="180"/>
      <c r="J421" s="144"/>
      <c r="K421" s="144"/>
      <c r="L421" s="144"/>
    </row>
    <row r="422" spans="3:12" x14ac:dyDescent="0.25">
      <c r="C422" s="180"/>
      <c r="D422" s="180"/>
      <c r="J422" s="144"/>
      <c r="K422" s="144"/>
      <c r="L422" s="144"/>
    </row>
    <row r="423" spans="3:12" x14ac:dyDescent="0.25">
      <c r="C423" s="180"/>
      <c r="D423" s="180"/>
      <c r="J423" s="144"/>
      <c r="K423" s="144"/>
      <c r="L423" s="144"/>
    </row>
    <row r="424" spans="3:12" x14ac:dyDescent="0.25">
      <c r="C424" s="180"/>
      <c r="D424" s="180"/>
      <c r="J424" s="144"/>
      <c r="K424" s="144"/>
      <c r="L424" s="144"/>
    </row>
    <row r="425" spans="3:12" x14ac:dyDescent="0.25">
      <c r="C425" s="180"/>
      <c r="D425" s="180"/>
      <c r="J425" s="144"/>
      <c r="K425" s="144"/>
      <c r="L425" s="144"/>
    </row>
    <row r="426" spans="3:12" x14ac:dyDescent="0.25">
      <c r="C426" s="180"/>
      <c r="D426" s="180"/>
      <c r="J426" s="144"/>
      <c r="K426" s="144"/>
      <c r="L426" s="144"/>
    </row>
    <row r="427" spans="3:12" x14ac:dyDescent="0.25">
      <c r="C427" s="180"/>
      <c r="D427" s="180"/>
      <c r="J427" s="144"/>
      <c r="K427" s="144"/>
      <c r="L427" s="144"/>
    </row>
    <row r="428" spans="3:12" x14ac:dyDescent="0.25">
      <c r="C428" s="180"/>
      <c r="D428" s="180"/>
      <c r="J428" s="144"/>
      <c r="K428" s="144"/>
      <c r="L428" s="144"/>
    </row>
    <row r="429" spans="3:12" x14ac:dyDescent="0.25">
      <c r="C429" s="180"/>
      <c r="D429" s="180"/>
      <c r="J429" s="144"/>
      <c r="K429" s="144"/>
      <c r="L429" s="144"/>
    </row>
    <row r="430" spans="3:12" x14ac:dyDescent="0.25">
      <c r="C430" s="180"/>
      <c r="D430" s="180"/>
      <c r="J430" s="144"/>
      <c r="K430" s="144"/>
      <c r="L430" s="144"/>
    </row>
    <row r="431" spans="3:12" x14ac:dyDescent="0.25">
      <c r="C431" s="180"/>
      <c r="D431" s="180"/>
      <c r="J431" s="144"/>
      <c r="K431" s="144"/>
      <c r="L431" s="144"/>
    </row>
    <row r="432" spans="3:12" x14ac:dyDescent="0.25">
      <c r="C432" s="180"/>
      <c r="D432" s="180"/>
      <c r="J432" s="144"/>
      <c r="K432" s="144"/>
      <c r="L432" s="144"/>
    </row>
    <row r="433" spans="3:12" x14ac:dyDescent="0.25">
      <c r="C433" s="180"/>
      <c r="D433" s="180"/>
      <c r="J433" s="144"/>
      <c r="K433" s="144"/>
      <c r="L433" s="144"/>
    </row>
    <row r="434" spans="3:12" x14ac:dyDescent="0.25">
      <c r="C434" s="180"/>
      <c r="D434" s="180"/>
      <c r="J434" s="144"/>
      <c r="K434" s="144"/>
      <c r="L434" s="144"/>
    </row>
    <row r="435" spans="3:12" x14ac:dyDescent="0.25">
      <c r="C435" s="180"/>
      <c r="D435" s="180"/>
      <c r="J435" s="144"/>
      <c r="K435" s="144"/>
      <c r="L435" s="144"/>
    </row>
    <row r="436" spans="3:12" x14ac:dyDescent="0.25">
      <c r="C436" s="180"/>
      <c r="D436" s="180"/>
      <c r="J436" s="144"/>
      <c r="K436" s="144"/>
      <c r="L436" s="144"/>
    </row>
    <row r="437" spans="3:12" x14ac:dyDescent="0.25">
      <c r="C437" s="180"/>
      <c r="D437" s="180"/>
      <c r="J437" s="144"/>
      <c r="K437" s="144"/>
      <c r="L437" s="144"/>
    </row>
    <row r="438" spans="3:12" x14ac:dyDescent="0.25">
      <c r="C438" s="180"/>
      <c r="D438" s="180"/>
      <c r="J438" s="144"/>
      <c r="K438" s="144"/>
      <c r="L438" s="144"/>
    </row>
    <row r="439" spans="3:12" x14ac:dyDescent="0.25">
      <c r="C439" s="180"/>
      <c r="D439" s="180"/>
      <c r="J439" s="144"/>
      <c r="K439" s="144"/>
      <c r="L439" s="144"/>
    </row>
    <row r="440" spans="3:12" x14ac:dyDescent="0.25">
      <c r="C440" s="180"/>
      <c r="D440" s="180"/>
      <c r="J440" s="144"/>
      <c r="K440" s="144"/>
      <c r="L440" s="144"/>
    </row>
    <row r="441" spans="3:12" x14ac:dyDescent="0.25">
      <c r="C441" s="180"/>
      <c r="D441" s="180"/>
      <c r="J441" s="144"/>
      <c r="K441" s="144"/>
      <c r="L441" s="144"/>
    </row>
    <row r="442" spans="3:12" x14ac:dyDescent="0.25">
      <c r="C442" s="180"/>
      <c r="D442" s="180"/>
      <c r="J442" s="144"/>
      <c r="K442" s="144"/>
      <c r="L442" s="144"/>
    </row>
    <row r="443" spans="3:12" x14ac:dyDescent="0.25">
      <c r="C443" s="180"/>
      <c r="D443" s="180"/>
      <c r="J443" s="144"/>
      <c r="K443" s="144"/>
      <c r="L443" s="144"/>
    </row>
    <row r="444" spans="3:12" x14ac:dyDescent="0.25">
      <c r="C444" s="180"/>
      <c r="D444" s="180"/>
      <c r="J444" s="144"/>
      <c r="K444" s="144"/>
      <c r="L444" s="144"/>
    </row>
    <row r="445" spans="3:12" x14ac:dyDescent="0.25">
      <c r="C445" s="180"/>
      <c r="D445" s="180"/>
      <c r="J445" s="144"/>
      <c r="K445" s="144"/>
      <c r="L445" s="144"/>
    </row>
    <row r="446" spans="3:12" x14ac:dyDescent="0.25">
      <c r="C446" s="180"/>
      <c r="D446" s="180"/>
      <c r="J446" s="144"/>
      <c r="K446" s="144"/>
      <c r="L446" s="144"/>
    </row>
    <row r="447" spans="3:12" x14ac:dyDescent="0.25">
      <c r="C447" s="180"/>
      <c r="D447" s="180"/>
      <c r="J447" s="144"/>
      <c r="K447" s="144"/>
      <c r="L447" s="144"/>
    </row>
    <row r="448" spans="3:12" x14ac:dyDescent="0.25">
      <c r="C448" s="180"/>
      <c r="D448" s="180"/>
      <c r="J448" s="144"/>
      <c r="K448" s="144"/>
      <c r="L448" s="144"/>
    </row>
    <row r="449" spans="3:12" x14ac:dyDescent="0.25">
      <c r="C449" s="180"/>
      <c r="D449" s="180"/>
      <c r="J449" s="144"/>
      <c r="K449" s="144"/>
      <c r="L449" s="144"/>
    </row>
    <row r="450" spans="3:12" x14ac:dyDescent="0.25">
      <c r="C450" s="180"/>
      <c r="D450" s="180"/>
      <c r="J450" s="144"/>
      <c r="K450" s="144"/>
      <c r="L450" s="144"/>
    </row>
    <row r="451" spans="3:12" x14ac:dyDescent="0.25">
      <c r="C451" s="180"/>
      <c r="D451" s="180"/>
      <c r="J451" s="144"/>
      <c r="K451" s="144"/>
      <c r="L451" s="144"/>
    </row>
    <row r="452" spans="3:12" x14ac:dyDescent="0.25">
      <c r="C452" s="180"/>
      <c r="D452" s="180"/>
      <c r="J452" s="144"/>
      <c r="K452" s="144"/>
      <c r="L452" s="144"/>
    </row>
    <row r="453" spans="3:12" x14ac:dyDescent="0.25">
      <c r="C453" s="180"/>
      <c r="D453" s="180"/>
      <c r="J453" s="144"/>
      <c r="K453" s="144"/>
      <c r="L453" s="144"/>
    </row>
    <row r="454" spans="3:12" x14ac:dyDescent="0.25">
      <c r="C454" s="180"/>
      <c r="D454" s="180"/>
      <c r="J454" s="144"/>
      <c r="K454" s="144"/>
      <c r="L454" s="144"/>
    </row>
    <row r="455" spans="3:12" x14ac:dyDescent="0.25">
      <c r="C455" s="180"/>
      <c r="D455" s="180"/>
      <c r="J455" s="144"/>
      <c r="K455" s="144"/>
      <c r="L455" s="144"/>
    </row>
    <row r="456" spans="3:12" x14ac:dyDescent="0.25">
      <c r="C456" s="180"/>
      <c r="D456" s="180"/>
      <c r="J456" s="144"/>
      <c r="K456" s="144"/>
      <c r="L456" s="144"/>
    </row>
    <row r="457" spans="3:12" x14ac:dyDescent="0.25">
      <c r="C457" s="180"/>
      <c r="D457" s="180"/>
      <c r="J457" s="144"/>
      <c r="K457" s="144"/>
      <c r="L457" s="144"/>
    </row>
    <row r="458" spans="3:12" x14ac:dyDescent="0.25">
      <c r="C458" s="180"/>
      <c r="D458" s="180"/>
      <c r="J458" s="144"/>
      <c r="K458" s="144"/>
      <c r="L458" s="144"/>
    </row>
    <row r="459" spans="3:12" x14ac:dyDescent="0.25">
      <c r="C459" s="180"/>
      <c r="D459" s="180"/>
      <c r="J459" s="144"/>
      <c r="K459" s="144"/>
      <c r="L459" s="144"/>
    </row>
    <row r="460" spans="3:12" x14ac:dyDescent="0.25">
      <c r="C460" s="180"/>
      <c r="D460" s="180"/>
      <c r="J460" s="144"/>
      <c r="K460" s="144"/>
      <c r="L460" s="144"/>
    </row>
    <row r="461" spans="3:12" x14ac:dyDescent="0.25">
      <c r="C461" s="180"/>
      <c r="D461" s="180"/>
      <c r="J461" s="144"/>
      <c r="K461" s="144"/>
      <c r="L461" s="144"/>
    </row>
    <row r="462" spans="3:12" x14ac:dyDescent="0.25">
      <c r="C462" s="180"/>
      <c r="D462" s="180"/>
      <c r="J462" s="144"/>
      <c r="K462" s="144"/>
      <c r="L462" s="144"/>
    </row>
    <row r="463" spans="3:12" x14ac:dyDescent="0.25">
      <c r="C463" s="180"/>
      <c r="D463" s="180"/>
      <c r="J463" s="144"/>
      <c r="K463" s="144"/>
      <c r="L463" s="144"/>
    </row>
    <row r="464" spans="3:12" x14ac:dyDescent="0.25">
      <c r="C464" s="180"/>
      <c r="D464" s="180"/>
      <c r="J464" s="144"/>
      <c r="K464" s="144"/>
      <c r="L464" s="144"/>
    </row>
    <row r="465" spans="3:12" x14ac:dyDescent="0.25">
      <c r="C465" s="180"/>
      <c r="D465" s="180"/>
      <c r="J465" s="144"/>
      <c r="K465" s="144"/>
      <c r="L465" s="144"/>
    </row>
    <row r="466" spans="3:12" x14ac:dyDescent="0.25">
      <c r="C466" s="180"/>
      <c r="D466" s="180"/>
      <c r="J466" s="144"/>
      <c r="K466" s="144"/>
      <c r="L466" s="144"/>
    </row>
    <row r="467" spans="3:12" x14ac:dyDescent="0.25">
      <c r="C467" s="180"/>
      <c r="D467" s="180"/>
      <c r="J467" s="144"/>
      <c r="K467" s="144"/>
      <c r="L467" s="144"/>
    </row>
    <row r="468" spans="3:12" x14ac:dyDescent="0.25">
      <c r="C468" s="180"/>
      <c r="D468" s="180"/>
      <c r="J468" s="144"/>
      <c r="K468" s="144"/>
      <c r="L468" s="144"/>
    </row>
    <row r="469" spans="3:12" x14ac:dyDescent="0.25">
      <c r="C469" s="180"/>
      <c r="D469" s="180"/>
      <c r="J469" s="144"/>
      <c r="K469" s="144"/>
      <c r="L469" s="144"/>
    </row>
    <row r="470" spans="3:12" x14ac:dyDescent="0.25">
      <c r="C470" s="180"/>
      <c r="D470" s="180"/>
      <c r="J470" s="144"/>
      <c r="K470" s="144"/>
      <c r="L470" s="144"/>
    </row>
    <row r="471" spans="3:12" x14ac:dyDescent="0.25">
      <c r="C471" s="180"/>
      <c r="D471" s="180"/>
      <c r="J471" s="144"/>
      <c r="K471" s="144"/>
      <c r="L471" s="144"/>
    </row>
    <row r="472" spans="3:12" x14ac:dyDescent="0.25">
      <c r="C472" s="180"/>
      <c r="D472" s="180"/>
      <c r="J472" s="144"/>
      <c r="K472" s="144"/>
      <c r="L472" s="144"/>
    </row>
    <row r="473" spans="3:12" x14ac:dyDescent="0.25">
      <c r="C473" s="180"/>
      <c r="D473" s="180"/>
      <c r="J473" s="144"/>
      <c r="K473" s="144"/>
      <c r="L473" s="144"/>
    </row>
    <row r="474" spans="3:12" x14ac:dyDescent="0.25">
      <c r="C474" s="180"/>
      <c r="D474" s="180"/>
      <c r="J474" s="144"/>
      <c r="K474" s="144"/>
      <c r="L474" s="144"/>
    </row>
    <row r="475" spans="3:12" x14ac:dyDescent="0.25">
      <c r="C475" s="180"/>
      <c r="D475" s="180"/>
      <c r="J475" s="144"/>
      <c r="K475" s="144"/>
      <c r="L475" s="144"/>
    </row>
    <row r="476" spans="3:12" x14ac:dyDescent="0.25">
      <c r="C476" s="180"/>
      <c r="D476" s="180"/>
      <c r="J476" s="144"/>
      <c r="K476" s="144"/>
      <c r="L476" s="144"/>
    </row>
    <row r="477" spans="3:12" x14ac:dyDescent="0.25">
      <c r="C477" s="180"/>
      <c r="D477" s="180"/>
      <c r="J477" s="144"/>
      <c r="K477" s="144"/>
      <c r="L477" s="144"/>
    </row>
    <row r="478" spans="3:12" x14ac:dyDescent="0.25">
      <c r="C478" s="180"/>
      <c r="D478" s="180"/>
      <c r="J478" s="144"/>
      <c r="K478" s="144"/>
      <c r="L478" s="144"/>
    </row>
    <row r="479" spans="3:12" x14ac:dyDescent="0.25">
      <c r="C479" s="180"/>
      <c r="D479" s="180"/>
      <c r="J479" s="144"/>
      <c r="K479" s="144"/>
      <c r="L479" s="144"/>
    </row>
    <row r="480" spans="3:12" x14ac:dyDescent="0.25">
      <c r="C480" s="180"/>
      <c r="D480" s="180"/>
      <c r="J480" s="144"/>
      <c r="K480" s="144"/>
      <c r="L480" s="144"/>
    </row>
    <row r="481" spans="3:12" x14ac:dyDescent="0.25">
      <c r="C481" s="180"/>
      <c r="D481" s="180"/>
      <c r="J481" s="144"/>
      <c r="K481" s="144"/>
      <c r="L481" s="144"/>
    </row>
    <row r="482" spans="3:12" x14ac:dyDescent="0.25">
      <c r="C482" s="180"/>
      <c r="D482" s="180"/>
      <c r="J482" s="144"/>
      <c r="K482" s="144"/>
      <c r="L482" s="144"/>
    </row>
    <row r="483" spans="3:12" x14ac:dyDescent="0.25">
      <c r="C483" s="180"/>
      <c r="D483" s="180"/>
      <c r="J483" s="144"/>
      <c r="K483" s="144"/>
      <c r="L483" s="144"/>
    </row>
    <row r="484" spans="3:12" x14ac:dyDescent="0.25">
      <c r="C484" s="180"/>
      <c r="D484" s="180"/>
      <c r="J484" s="144"/>
      <c r="K484" s="144"/>
      <c r="L484" s="144"/>
    </row>
    <row r="485" spans="3:12" x14ac:dyDescent="0.25">
      <c r="C485" s="180"/>
      <c r="D485" s="180"/>
      <c r="J485" s="144"/>
      <c r="K485" s="144"/>
      <c r="L485" s="144"/>
    </row>
    <row r="486" spans="3:12" x14ac:dyDescent="0.25">
      <c r="C486" s="180"/>
      <c r="D486" s="180"/>
      <c r="J486" s="144"/>
      <c r="K486" s="144"/>
      <c r="L486" s="144"/>
    </row>
    <row r="487" spans="3:12" x14ac:dyDescent="0.25">
      <c r="C487" s="180"/>
      <c r="D487" s="180"/>
      <c r="J487" s="144"/>
      <c r="K487" s="144"/>
      <c r="L487" s="144"/>
    </row>
    <row r="488" spans="3:12" x14ac:dyDescent="0.25">
      <c r="C488" s="180"/>
      <c r="D488" s="180"/>
      <c r="J488" s="144"/>
      <c r="K488" s="144"/>
      <c r="L488" s="144"/>
    </row>
    <row r="489" spans="3:12" x14ac:dyDescent="0.25">
      <c r="C489" s="180"/>
      <c r="D489" s="180"/>
      <c r="J489" s="144"/>
      <c r="K489" s="144"/>
      <c r="L489" s="144"/>
    </row>
    <row r="490" spans="3:12" x14ac:dyDescent="0.25">
      <c r="C490" s="180"/>
      <c r="D490" s="180"/>
      <c r="J490" s="144"/>
      <c r="K490" s="144"/>
      <c r="L490" s="144"/>
    </row>
    <row r="491" spans="3:12" x14ac:dyDescent="0.25">
      <c r="C491" s="180"/>
      <c r="D491" s="180"/>
      <c r="J491" s="144"/>
      <c r="K491" s="144"/>
      <c r="L491" s="144"/>
    </row>
    <row r="492" spans="3:12" x14ac:dyDescent="0.25">
      <c r="C492" s="180"/>
      <c r="D492" s="180"/>
      <c r="J492" s="144"/>
      <c r="K492" s="144"/>
      <c r="L492" s="144"/>
    </row>
    <row r="493" spans="3:12" x14ac:dyDescent="0.25">
      <c r="C493" s="180"/>
      <c r="D493" s="180"/>
      <c r="J493" s="144"/>
      <c r="K493" s="144"/>
      <c r="L493" s="144"/>
    </row>
    <row r="494" spans="3:12" x14ac:dyDescent="0.25">
      <c r="C494" s="180"/>
      <c r="D494" s="180"/>
      <c r="J494" s="144"/>
      <c r="K494" s="144"/>
      <c r="L494" s="144"/>
    </row>
    <row r="495" spans="3:12" x14ac:dyDescent="0.25">
      <c r="C495" s="180"/>
      <c r="D495" s="180"/>
      <c r="J495" s="144"/>
      <c r="K495" s="144"/>
      <c r="L495" s="144"/>
    </row>
    <row r="496" spans="3:12" x14ac:dyDescent="0.25">
      <c r="C496" s="180"/>
      <c r="D496" s="180"/>
      <c r="J496" s="144"/>
      <c r="K496" s="144"/>
      <c r="L496" s="144"/>
    </row>
    <row r="497" spans="3:12" x14ac:dyDescent="0.25">
      <c r="C497" s="180"/>
      <c r="D497" s="180"/>
      <c r="J497" s="144"/>
      <c r="K497" s="144"/>
      <c r="L497" s="144"/>
    </row>
    <row r="498" spans="3:12" x14ac:dyDescent="0.25">
      <c r="C498" s="180"/>
      <c r="D498" s="180"/>
      <c r="J498" s="144"/>
      <c r="K498" s="144"/>
      <c r="L498" s="144"/>
    </row>
    <row r="499" spans="3:12" x14ac:dyDescent="0.25">
      <c r="C499" s="180"/>
      <c r="D499" s="180"/>
      <c r="J499" s="144"/>
      <c r="K499" s="144"/>
      <c r="L499" s="144"/>
    </row>
    <row r="500" spans="3:12" x14ac:dyDescent="0.25">
      <c r="C500" s="180"/>
      <c r="D500" s="180"/>
      <c r="J500" s="144"/>
      <c r="K500" s="144"/>
      <c r="L500" s="144"/>
    </row>
    <row r="501" spans="3:12" x14ac:dyDescent="0.25">
      <c r="C501" s="180"/>
      <c r="D501" s="180"/>
      <c r="J501" s="144"/>
      <c r="K501" s="144"/>
      <c r="L501" s="144"/>
    </row>
    <row r="502" spans="3:12" x14ac:dyDescent="0.25">
      <c r="C502" s="180"/>
      <c r="D502" s="180"/>
      <c r="J502" s="144"/>
      <c r="K502" s="144"/>
      <c r="L502" s="144"/>
    </row>
    <row r="503" spans="3:12" x14ac:dyDescent="0.25">
      <c r="C503" s="180"/>
      <c r="D503" s="180"/>
      <c r="J503" s="144"/>
      <c r="K503" s="144"/>
      <c r="L503" s="144"/>
    </row>
    <row r="504" spans="3:12" x14ac:dyDescent="0.25">
      <c r="C504" s="180"/>
      <c r="D504" s="180"/>
      <c r="J504" s="144"/>
      <c r="K504" s="144"/>
      <c r="L504" s="144"/>
    </row>
    <row r="505" spans="3:12" x14ac:dyDescent="0.25">
      <c r="C505" s="180"/>
      <c r="D505" s="180"/>
      <c r="J505" s="144"/>
      <c r="K505" s="144"/>
      <c r="L505" s="144"/>
    </row>
    <row r="506" spans="3:12" x14ac:dyDescent="0.25">
      <c r="C506" s="180"/>
      <c r="D506" s="180"/>
      <c r="J506" s="144"/>
      <c r="K506" s="144"/>
      <c r="L506" s="144"/>
    </row>
    <row r="507" spans="3:12" x14ac:dyDescent="0.25">
      <c r="C507" s="180"/>
      <c r="D507" s="180"/>
      <c r="J507" s="144"/>
      <c r="K507" s="144"/>
      <c r="L507" s="144"/>
    </row>
    <row r="508" spans="3:12" x14ac:dyDescent="0.25">
      <c r="C508" s="180"/>
      <c r="D508" s="180"/>
      <c r="J508" s="144"/>
      <c r="K508" s="144"/>
      <c r="L508" s="144"/>
    </row>
    <row r="509" spans="3:12" x14ac:dyDescent="0.25">
      <c r="C509" s="180"/>
      <c r="D509" s="180"/>
      <c r="J509" s="144"/>
      <c r="K509" s="144"/>
      <c r="L509" s="144"/>
    </row>
    <row r="510" spans="3:12" x14ac:dyDescent="0.25">
      <c r="C510" s="180"/>
      <c r="D510" s="180"/>
      <c r="J510" s="144"/>
      <c r="K510" s="144"/>
      <c r="L510" s="144"/>
    </row>
    <row r="511" spans="3:12" x14ac:dyDescent="0.25">
      <c r="C511" s="180"/>
      <c r="D511" s="180"/>
      <c r="J511" s="144"/>
      <c r="K511" s="144"/>
      <c r="L511" s="144"/>
    </row>
    <row r="512" spans="3:12" x14ac:dyDescent="0.25">
      <c r="C512" s="180"/>
      <c r="D512" s="180"/>
      <c r="J512" s="144"/>
      <c r="K512" s="144"/>
      <c r="L512" s="144"/>
    </row>
    <row r="513" spans="3:12" x14ac:dyDescent="0.25">
      <c r="C513" s="180"/>
      <c r="D513" s="180"/>
      <c r="J513" s="144"/>
      <c r="K513" s="144"/>
      <c r="L513" s="144"/>
    </row>
    <row r="514" spans="3:12" x14ac:dyDescent="0.25">
      <c r="C514" s="180"/>
      <c r="D514" s="180"/>
      <c r="J514" s="144"/>
      <c r="K514" s="144"/>
      <c r="L514" s="144"/>
    </row>
    <row r="515" spans="3:12" x14ac:dyDescent="0.25">
      <c r="C515" s="180"/>
      <c r="D515" s="180"/>
      <c r="J515" s="144"/>
      <c r="K515" s="144"/>
      <c r="L515" s="144"/>
    </row>
    <row r="516" spans="3:12" x14ac:dyDescent="0.25">
      <c r="C516" s="180"/>
      <c r="D516" s="180"/>
      <c r="J516" s="144"/>
      <c r="K516" s="144"/>
      <c r="L516" s="144"/>
    </row>
    <row r="517" spans="3:12" x14ac:dyDescent="0.25">
      <c r="C517" s="180"/>
      <c r="D517" s="180"/>
      <c r="J517" s="144"/>
      <c r="K517" s="144"/>
      <c r="L517" s="144"/>
    </row>
    <row r="518" spans="3:12" x14ac:dyDescent="0.25">
      <c r="C518" s="180"/>
      <c r="D518" s="180"/>
      <c r="J518" s="144"/>
      <c r="K518" s="144"/>
      <c r="L518" s="144"/>
    </row>
    <row r="519" spans="3:12" x14ac:dyDescent="0.25">
      <c r="C519" s="180"/>
      <c r="D519" s="180"/>
      <c r="J519" s="144"/>
      <c r="K519" s="144"/>
      <c r="L519" s="144"/>
    </row>
    <row r="520" spans="3:12" x14ac:dyDescent="0.25">
      <c r="C520" s="180"/>
      <c r="D520" s="180"/>
      <c r="J520" s="144"/>
      <c r="K520" s="144"/>
      <c r="L520" s="144"/>
    </row>
    <row r="521" spans="3:12" x14ac:dyDescent="0.25">
      <c r="C521" s="180"/>
      <c r="D521" s="180"/>
      <c r="J521" s="144"/>
      <c r="K521" s="144"/>
      <c r="L521" s="144"/>
    </row>
    <row r="522" spans="3:12" x14ac:dyDescent="0.25">
      <c r="C522" s="180"/>
      <c r="D522" s="180"/>
      <c r="J522" s="144"/>
      <c r="K522" s="144"/>
      <c r="L522" s="144"/>
    </row>
    <row r="523" spans="3:12" x14ac:dyDescent="0.25">
      <c r="C523" s="180"/>
      <c r="D523" s="180"/>
      <c r="J523" s="144"/>
      <c r="K523" s="144"/>
      <c r="L523" s="144"/>
    </row>
    <row r="524" spans="3:12" x14ac:dyDescent="0.25">
      <c r="C524" s="180"/>
      <c r="D524" s="180"/>
      <c r="J524" s="144"/>
      <c r="K524" s="144"/>
      <c r="L524" s="144"/>
    </row>
    <row r="525" spans="3:12" x14ac:dyDescent="0.25">
      <c r="C525" s="180"/>
      <c r="D525" s="180"/>
      <c r="J525" s="144"/>
      <c r="K525" s="144"/>
      <c r="L525" s="144"/>
    </row>
    <row r="526" spans="3:12" x14ac:dyDescent="0.25">
      <c r="C526" s="180"/>
      <c r="D526" s="180"/>
      <c r="J526" s="144"/>
      <c r="K526" s="144"/>
      <c r="L526" s="144"/>
    </row>
    <row r="527" spans="3:12" x14ac:dyDescent="0.25">
      <c r="C527" s="180"/>
      <c r="D527" s="180"/>
      <c r="J527" s="144"/>
      <c r="K527" s="144"/>
      <c r="L527" s="144"/>
    </row>
    <row r="528" spans="3:12" x14ac:dyDescent="0.25">
      <c r="C528" s="180"/>
      <c r="D528" s="180"/>
      <c r="J528" s="144"/>
      <c r="K528" s="144"/>
      <c r="L528" s="144"/>
    </row>
    <row r="529" spans="3:12" x14ac:dyDescent="0.25">
      <c r="C529" s="180"/>
      <c r="D529" s="180"/>
      <c r="J529" s="144"/>
      <c r="K529" s="144"/>
      <c r="L529" s="144"/>
    </row>
    <row r="530" spans="3:12" x14ac:dyDescent="0.25">
      <c r="C530" s="180"/>
      <c r="D530" s="180"/>
      <c r="J530" s="144"/>
      <c r="K530" s="144"/>
      <c r="L530" s="144"/>
    </row>
    <row r="531" spans="3:12" x14ac:dyDescent="0.25">
      <c r="C531" s="180"/>
      <c r="D531" s="180"/>
      <c r="J531" s="144"/>
      <c r="K531" s="144"/>
      <c r="L531" s="144"/>
    </row>
    <row r="532" spans="3:12" x14ac:dyDescent="0.25">
      <c r="C532" s="180"/>
      <c r="D532" s="180"/>
      <c r="J532" s="144"/>
      <c r="K532" s="144"/>
      <c r="L532" s="144"/>
    </row>
    <row r="533" spans="3:12" x14ac:dyDescent="0.25">
      <c r="C533" s="180"/>
      <c r="D533" s="180"/>
      <c r="J533" s="144"/>
      <c r="K533" s="144"/>
      <c r="L533" s="144"/>
    </row>
    <row r="534" spans="3:12" x14ac:dyDescent="0.25">
      <c r="C534" s="180"/>
      <c r="D534" s="180"/>
      <c r="J534" s="144"/>
      <c r="K534" s="144"/>
      <c r="L534" s="144"/>
    </row>
    <row r="535" spans="3:12" x14ac:dyDescent="0.25">
      <c r="C535" s="180"/>
      <c r="D535" s="180"/>
      <c r="J535" s="144"/>
      <c r="K535" s="144"/>
      <c r="L535" s="144"/>
    </row>
    <row r="536" spans="3:12" x14ac:dyDescent="0.25">
      <c r="C536" s="180"/>
      <c r="D536" s="180"/>
      <c r="J536" s="144"/>
      <c r="K536" s="144"/>
      <c r="L536" s="144"/>
    </row>
    <row r="537" spans="3:12" x14ac:dyDescent="0.25">
      <c r="C537" s="180"/>
      <c r="D537" s="180"/>
      <c r="J537" s="144"/>
      <c r="K537" s="144"/>
      <c r="L537" s="144"/>
    </row>
    <row r="538" spans="3:12" x14ac:dyDescent="0.25">
      <c r="C538" s="180"/>
      <c r="D538" s="180"/>
      <c r="J538" s="144"/>
      <c r="K538" s="144"/>
      <c r="L538" s="144"/>
    </row>
    <row r="539" spans="3:12" x14ac:dyDescent="0.25">
      <c r="C539" s="180"/>
      <c r="D539" s="180"/>
      <c r="J539" s="144"/>
      <c r="K539" s="144"/>
      <c r="L539" s="144"/>
    </row>
    <row r="540" spans="3:12" x14ac:dyDescent="0.25">
      <c r="C540" s="180"/>
      <c r="D540" s="180"/>
      <c r="J540" s="144"/>
      <c r="K540" s="144"/>
      <c r="L540" s="144"/>
    </row>
    <row r="541" spans="3:12" x14ac:dyDescent="0.25">
      <c r="C541" s="180"/>
      <c r="D541" s="180"/>
      <c r="J541" s="144"/>
      <c r="K541" s="144"/>
      <c r="L541" s="144"/>
    </row>
    <row r="542" spans="3:12" x14ac:dyDescent="0.25">
      <c r="C542" s="180"/>
      <c r="D542" s="180"/>
      <c r="J542" s="144"/>
      <c r="K542" s="144"/>
      <c r="L542" s="144"/>
    </row>
    <row r="543" spans="3:12" x14ac:dyDescent="0.25">
      <c r="C543" s="180"/>
      <c r="D543" s="180"/>
      <c r="J543" s="144"/>
      <c r="K543" s="144"/>
      <c r="L543" s="144"/>
    </row>
    <row r="544" spans="3:12" x14ac:dyDescent="0.25">
      <c r="C544" s="180"/>
      <c r="D544" s="180"/>
      <c r="J544" s="144"/>
      <c r="K544" s="144"/>
      <c r="L544" s="144"/>
    </row>
    <row r="545" spans="3:12" x14ac:dyDescent="0.25">
      <c r="C545" s="180"/>
      <c r="D545" s="180"/>
      <c r="J545" s="144"/>
      <c r="K545" s="144"/>
      <c r="L545" s="144"/>
    </row>
    <row r="546" spans="3:12" x14ac:dyDescent="0.25">
      <c r="C546" s="180"/>
      <c r="D546" s="180"/>
      <c r="J546" s="144"/>
      <c r="K546" s="144"/>
      <c r="L546" s="144"/>
    </row>
    <row r="547" spans="3:12" x14ac:dyDescent="0.25">
      <c r="C547" s="180"/>
      <c r="D547" s="180"/>
      <c r="J547" s="144"/>
      <c r="K547" s="144"/>
      <c r="L547" s="144"/>
    </row>
    <row r="548" spans="3:12" x14ac:dyDescent="0.25">
      <c r="C548" s="180"/>
      <c r="D548" s="180"/>
      <c r="J548" s="144"/>
      <c r="K548" s="144"/>
      <c r="L548" s="144"/>
    </row>
    <row r="549" spans="3:12" x14ac:dyDescent="0.25">
      <c r="C549" s="180"/>
      <c r="D549" s="180"/>
      <c r="J549" s="144"/>
      <c r="K549" s="144"/>
      <c r="L549" s="144"/>
    </row>
    <row r="550" spans="3:12" x14ac:dyDescent="0.25">
      <c r="C550" s="180"/>
      <c r="D550" s="180"/>
      <c r="J550" s="144"/>
      <c r="K550" s="144"/>
      <c r="L550" s="144"/>
    </row>
    <row r="551" spans="3:12" x14ac:dyDescent="0.25">
      <c r="C551" s="180"/>
      <c r="D551" s="180"/>
      <c r="J551" s="144"/>
      <c r="K551" s="144"/>
      <c r="L551" s="144"/>
    </row>
    <row r="552" spans="3:12" x14ac:dyDescent="0.25">
      <c r="C552" s="180"/>
      <c r="D552" s="180"/>
      <c r="J552" s="144"/>
      <c r="K552" s="144"/>
      <c r="L552" s="144"/>
    </row>
    <row r="553" spans="3:12" x14ac:dyDescent="0.25">
      <c r="C553" s="180"/>
      <c r="D553" s="180"/>
      <c r="J553" s="144"/>
      <c r="K553" s="144"/>
      <c r="L553" s="144"/>
    </row>
    <row r="554" spans="3:12" x14ac:dyDescent="0.25">
      <c r="C554" s="180"/>
      <c r="D554" s="180"/>
      <c r="J554" s="144"/>
      <c r="K554" s="144"/>
      <c r="L554" s="144"/>
    </row>
    <row r="555" spans="3:12" x14ac:dyDescent="0.25">
      <c r="C555" s="180"/>
      <c r="D555" s="180"/>
      <c r="J555" s="144"/>
      <c r="K555" s="144"/>
      <c r="L555" s="144"/>
    </row>
    <row r="556" spans="3:12" x14ac:dyDescent="0.25">
      <c r="C556" s="180"/>
      <c r="D556" s="180"/>
      <c r="J556" s="144"/>
      <c r="K556" s="144"/>
      <c r="L556" s="144"/>
    </row>
    <row r="557" spans="3:12" x14ac:dyDescent="0.25">
      <c r="C557" s="180"/>
      <c r="D557" s="180"/>
      <c r="J557" s="144"/>
      <c r="K557" s="144"/>
      <c r="L557" s="144"/>
    </row>
    <row r="558" spans="3:12" x14ac:dyDescent="0.25">
      <c r="C558" s="180"/>
      <c r="D558" s="180"/>
      <c r="J558" s="144"/>
      <c r="K558" s="144"/>
      <c r="L558" s="144"/>
    </row>
    <row r="559" spans="3:12" x14ac:dyDescent="0.25">
      <c r="C559" s="180"/>
      <c r="D559" s="180"/>
      <c r="J559" s="144"/>
      <c r="K559" s="144"/>
      <c r="L559" s="144"/>
    </row>
    <row r="560" spans="3:12" x14ac:dyDescent="0.25">
      <c r="C560" s="180"/>
      <c r="D560" s="180"/>
      <c r="J560" s="144"/>
      <c r="K560" s="144"/>
      <c r="L560" s="144"/>
    </row>
    <row r="561" spans="3:12" x14ac:dyDescent="0.25">
      <c r="C561" s="180"/>
      <c r="D561" s="180"/>
      <c r="J561" s="144"/>
      <c r="K561" s="144"/>
      <c r="L561" s="144"/>
    </row>
    <row r="562" spans="3:12" x14ac:dyDescent="0.25">
      <c r="C562" s="180"/>
      <c r="D562" s="180"/>
      <c r="J562" s="144"/>
      <c r="K562" s="144"/>
      <c r="L562" s="144"/>
    </row>
    <row r="563" spans="3:12" x14ac:dyDescent="0.25">
      <c r="C563" s="180"/>
      <c r="D563" s="180"/>
      <c r="J563" s="144"/>
      <c r="K563" s="144"/>
      <c r="L563" s="144"/>
    </row>
    <row r="564" spans="3:12" x14ac:dyDescent="0.25">
      <c r="C564" s="180"/>
      <c r="D564" s="180"/>
      <c r="J564" s="144"/>
      <c r="K564" s="144"/>
      <c r="L564" s="144"/>
    </row>
    <row r="565" spans="3:12" x14ac:dyDescent="0.25">
      <c r="C565" s="180"/>
      <c r="D565" s="180"/>
      <c r="J565" s="144"/>
      <c r="K565" s="144"/>
      <c r="L565" s="144"/>
    </row>
    <row r="566" spans="3:12" x14ac:dyDescent="0.25">
      <c r="C566" s="180"/>
      <c r="D566" s="180"/>
      <c r="J566" s="144"/>
      <c r="K566" s="144"/>
      <c r="L566" s="144"/>
    </row>
    <row r="567" spans="3:12" x14ac:dyDescent="0.25">
      <c r="C567" s="180"/>
      <c r="D567" s="180"/>
      <c r="J567" s="144"/>
      <c r="K567" s="144"/>
      <c r="L567" s="144"/>
    </row>
    <row r="568" spans="3:12" x14ac:dyDescent="0.25">
      <c r="C568" s="180"/>
      <c r="D568" s="180"/>
      <c r="J568" s="144"/>
      <c r="K568" s="144"/>
      <c r="L568" s="144"/>
    </row>
    <row r="569" spans="3:12" x14ac:dyDescent="0.25">
      <c r="C569" s="180"/>
      <c r="D569" s="180"/>
      <c r="J569" s="144"/>
      <c r="K569" s="144"/>
      <c r="L569" s="144"/>
    </row>
    <row r="570" spans="3:12" x14ac:dyDescent="0.25">
      <c r="C570" s="180"/>
      <c r="D570" s="180"/>
      <c r="J570" s="144"/>
      <c r="K570" s="144"/>
      <c r="L570" s="144"/>
    </row>
    <row r="571" spans="3:12" x14ac:dyDescent="0.25">
      <c r="C571" s="180"/>
      <c r="D571" s="180"/>
      <c r="J571" s="144"/>
      <c r="K571" s="144"/>
      <c r="L571" s="144"/>
    </row>
    <row r="572" spans="3:12" x14ac:dyDescent="0.25">
      <c r="C572" s="180"/>
      <c r="D572" s="180"/>
      <c r="J572" s="144"/>
      <c r="K572" s="144"/>
      <c r="L572" s="144"/>
    </row>
    <row r="573" spans="3:12" x14ac:dyDescent="0.25">
      <c r="C573" s="180"/>
      <c r="D573" s="180"/>
      <c r="J573" s="144"/>
      <c r="K573" s="144"/>
      <c r="L573" s="144"/>
    </row>
    <row r="574" spans="3:12" x14ac:dyDescent="0.25">
      <c r="C574" s="180"/>
      <c r="D574" s="180"/>
      <c r="J574" s="144"/>
      <c r="K574" s="144"/>
      <c r="L574" s="144"/>
    </row>
    <row r="575" spans="3:12" x14ac:dyDescent="0.25">
      <c r="C575" s="180"/>
      <c r="D575" s="180"/>
      <c r="J575" s="144"/>
      <c r="K575" s="144"/>
      <c r="L575" s="144"/>
    </row>
    <row r="576" spans="3:12" x14ac:dyDescent="0.25">
      <c r="C576" s="180"/>
      <c r="D576" s="180"/>
      <c r="J576" s="144"/>
      <c r="K576" s="144"/>
      <c r="L576" s="144"/>
    </row>
    <row r="577" spans="3:12" x14ac:dyDescent="0.25">
      <c r="C577" s="180"/>
      <c r="D577" s="180"/>
      <c r="J577" s="144"/>
      <c r="K577" s="144"/>
      <c r="L577" s="144"/>
    </row>
    <row r="578" spans="3:12" x14ac:dyDescent="0.25">
      <c r="C578" s="180"/>
      <c r="D578" s="180"/>
      <c r="J578" s="144"/>
      <c r="K578" s="144"/>
      <c r="L578" s="144"/>
    </row>
    <row r="579" spans="3:12" x14ac:dyDescent="0.25">
      <c r="C579" s="180"/>
      <c r="D579" s="180"/>
      <c r="J579" s="144"/>
      <c r="K579" s="144"/>
      <c r="L579" s="144"/>
    </row>
    <row r="580" spans="3:12" x14ac:dyDescent="0.25">
      <c r="C580" s="180"/>
      <c r="D580" s="180"/>
      <c r="J580" s="144"/>
      <c r="K580" s="144"/>
      <c r="L580" s="144"/>
    </row>
    <row r="581" spans="3:12" x14ac:dyDescent="0.25">
      <c r="C581" s="180"/>
      <c r="D581" s="180"/>
      <c r="J581" s="144"/>
      <c r="K581" s="144"/>
      <c r="L581" s="144"/>
    </row>
    <row r="582" spans="3:12" x14ac:dyDescent="0.25">
      <c r="C582" s="180"/>
      <c r="D582" s="180"/>
      <c r="J582" s="144"/>
      <c r="K582" s="144"/>
      <c r="L582" s="144"/>
    </row>
    <row r="583" spans="3:12" x14ac:dyDescent="0.25">
      <c r="C583" s="180"/>
      <c r="D583" s="180"/>
      <c r="J583" s="144"/>
      <c r="K583" s="144"/>
      <c r="L583" s="144"/>
    </row>
    <row r="584" spans="3:12" x14ac:dyDescent="0.25">
      <c r="C584" s="180"/>
      <c r="D584" s="180"/>
      <c r="J584" s="144"/>
      <c r="K584" s="144"/>
      <c r="L584" s="144"/>
    </row>
    <row r="585" spans="3:12" x14ac:dyDescent="0.25">
      <c r="C585" s="180"/>
      <c r="D585" s="180"/>
      <c r="J585" s="144"/>
      <c r="K585" s="144"/>
      <c r="L585" s="144"/>
    </row>
    <row r="586" spans="3:12" x14ac:dyDescent="0.25">
      <c r="C586" s="180"/>
      <c r="D586" s="180"/>
      <c r="J586" s="144"/>
      <c r="K586" s="144"/>
      <c r="L586" s="144"/>
    </row>
    <row r="587" spans="3:12" x14ac:dyDescent="0.25">
      <c r="C587" s="180"/>
      <c r="D587" s="180"/>
      <c r="J587" s="144"/>
      <c r="K587" s="144"/>
      <c r="L587" s="144"/>
    </row>
    <row r="588" spans="3:12" x14ac:dyDescent="0.25">
      <c r="C588" s="180"/>
      <c r="D588" s="180"/>
      <c r="J588" s="144"/>
      <c r="K588" s="144"/>
      <c r="L588" s="144"/>
    </row>
    <row r="589" spans="3:12" x14ac:dyDescent="0.25">
      <c r="C589" s="180"/>
      <c r="D589" s="180"/>
      <c r="J589" s="144"/>
      <c r="K589" s="144"/>
      <c r="L589" s="144"/>
    </row>
    <row r="590" spans="3:12" x14ac:dyDescent="0.25">
      <c r="C590" s="180"/>
      <c r="D590" s="180"/>
      <c r="J590" s="144"/>
      <c r="K590" s="144"/>
      <c r="L590" s="144"/>
    </row>
    <row r="591" spans="3:12" x14ac:dyDescent="0.25">
      <c r="C591" s="180"/>
      <c r="D591" s="180"/>
      <c r="J591" s="144"/>
      <c r="K591" s="144"/>
      <c r="L591" s="144"/>
    </row>
    <row r="592" spans="3:12" x14ac:dyDescent="0.25">
      <c r="C592" s="180"/>
      <c r="D592" s="180"/>
      <c r="J592" s="144"/>
      <c r="K592" s="144"/>
      <c r="L592" s="144"/>
    </row>
    <row r="593" spans="3:12" x14ac:dyDescent="0.25">
      <c r="C593" s="180"/>
      <c r="D593" s="180"/>
      <c r="J593" s="144"/>
      <c r="K593" s="144"/>
      <c r="L593" s="144"/>
    </row>
    <row r="594" spans="3:12" x14ac:dyDescent="0.25">
      <c r="C594" s="180"/>
      <c r="D594" s="180"/>
      <c r="J594" s="144"/>
      <c r="K594" s="144"/>
      <c r="L594" s="144"/>
    </row>
    <row r="595" spans="3:12" x14ac:dyDescent="0.25">
      <c r="C595" s="180"/>
      <c r="D595" s="180"/>
      <c r="J595" s="144"/>
      <c r="K595" s="144"/>
      <c r="L595" s="144"/>
    </row>
    <row r="596" spans="3:12" x14ac:dyDescent="0.25">
      <c r="C596" s="180"/>
      <c r="D596" s="180"/>
      <c r="J596" s="144"/>
      <c r="K596" s="144"/>
      <c r="L596" s="144"/>
    </row>
    <row r="597" spans="3:12" x14ac:dyDescent="0.25">
      <c r="C597" s="180"/>
      <c r="D597" s="180"/>
      <c r="J597" s="144"/>
      <c r="K597" s="144"/>
      <c r="L597" s="144"/>
    </row>
    <row r="598" spans="3:12" x14ac:dyDescent="0.25">
      <c r="C598" s="180"/>
      <c r="D598" s="180"/>
      <c r="J598" s="144"/>
      <c r="K598" s="144"/>
      <c r="L598" s="144"/>
    </row>
    <row r="599" spans="3:12" x14ac:dyDescent="0.25">
      <c r="C599" s="180"/>
      <c r="D599" s="180"/>
      <c r="J599" s="144"/>
      <c r="K599" s="144"/>
      <c r="L599" s="144"/>
    </row>
    <row r="600" spans="3:12" x14ac:dyDescent="0.25">
      <c r="C600" s="180"/>
      <c r="D600" s="180"/>
      <c r="J600" s="144"/>
      <c r="K600" s="144"/>
      <c r="L600" s="144"/>
    </row>
    <row r="601" spans="3:12" x14ac:dyDescent="0.25">
      <c r="C601" s="180"/>
      <c r="D601" s="180"/>
      <c r="J601" s="144"/>
      <c r="K601" s="144"/>
      <c r="L601" s="144"/>
    </row>
    <row r="602" spans="3:12" x14ac:dyDescent="0.25">
      <c r="C602" s="180"/>
      <c r="D602" s="180"/>
      <c r="J602" s="144"/>
      <c r="K602" s="144"/>
      <c r="L602" s="144"/>
    </row>
    <row r="603" spans="3:12" x14ac:dyDescent="0.25">
      <c r="C603" s="180"/>
      <c r="D603" s="180"/>
      <c r="J603" s="144"/>
      <c r="K603" s="144"/>
      <c r="L603" s="144"/>
    </row>
    <row r="604" spans="3:12" x14ac:dyDescent="0.25">
      <c r="C604" s="180"/>
      <c r="D604" s="180"/>
      <c r="J604" s="144"/>
      <c r="K604" s="144"/>
      <c r="L604" s="144"/>
    </row>
    <row r="605" spans="3:12" x14ac:dyDescent="0.25">
      <c r="C605" s="180"/>
      <c r="D605" s="180"/>
      <c r="J605" s="144"/>
      <c r="K605" s="144"/>
      <c r="L605" s="144"/>
    </row>
    <row r="606" spans="3:12" x14ac:dyDescent="0.25">
      <c r="C606" s="180"/>
      <c r="D606" s="180"/>
      <c r="J606" s="144"/>
      <c r="K606" s="144"/>
      <c r="L606" s="144"/>
    </row>
    <row r="607" spans="3:12" x14ac:dyDescent="0.25">
      <c r="C607" s="180"/>
      <c r="D607" s="180"/>
      <c r="J607" s="144"/>
      <c r="K607" s="144"/>
      <c r="L607" s="144"/>
    </row>
    <row r="608" spans="3:12" x14ac:dyDescent="0.25">
      <c r="C608" s="180"/>
      <c r="D608" s="180"/>
      <c r="J608" s="144"/>
      <c r="K608" s="144"/>
      <c r="L608" s="144"/>
    </row>
    <row r="609" spans="3:12" x14ac:dyDescent="0.25">
      <c r="C609" s="180"/>
      <c r="D609" s="180"/>
      <c r="J609" s="144"/>
      <c r="K609" s="144"/>
      <c r="L609" s="144"/>
    </row>
    <row r="610" spans="3:12" x14ac:dyDescent="0.25">
      <c r="C610" s="180"/>
      <c r="D610" s="180"/>
      <c r="J610" s="144"/>
      <c r="K610" s="144"/>
      <c r="L610" s="144"/>
    </row>
    <row r="611" spans="3:12" x14ac:dyDescent="0.25">
      <c r="C611" s="180"/>
      <c r="D611" s="180"/>
      <c r="J611" s="144"/>
      <c r="K611" s="144"/>
      <c r="L611" s="144"/>
    </row>
    <row r="612" spans="3:12" x14ac:dyDescent="0.25">
      <c r="C612" s="180"/>
      <c r="D612" s="180"/>
      <c r="J612" s="144"/>
      <c r="K612" s="144"/>
      <c r="L612" s="144"/>
    </row>
    <row r="613" spans="3:12" x14ac:dyDescent="0.25">
      <c r="C613" s="180"/>
      <c r="D613" s="180"/>
      <c r="J613" s="144"/>
      <c r="K613" s="144"/>
      <c r="L613" s="144"/>
    </row>
    <row r="614" spans="3:12" x14ac:dyDescent="0.25">
      <c r="C614" s="180"/>
      <c r="D614" s="180"/>
      <c r="J614" s="144"/>
      <c r="K614" s="144"/>
      <c r="L614" s="144"/>
    </row>
    <row r="615" spans="3:12" x14ac:dyDescent="0.25">
      <c r="C615" s="180"/>
      <c r="D615" s="180"/>
      <c r="J615" s="144"/>
      <c r="K615" s="144"/>
      <c r="L615" s="144"/>
    </row>
    <row r="616" spans="3:12" x14ac:dyDescent="0.25">
      <c r="C616" s="180"/>
      <c r="D616" s="180"/>
      <c r="J616" s="144"/>
      <c r="K616" s="144"/>
      <c r="L616" s="144"/>
    </row>
    <row r="617" spans="3:12" x14ac:dyDescent="0.25">
      <c r="C617" s="180"/>
      <c r="D617" s="180"/>
      <c r="J617" s="144"/>
      <c r="K617" s="144"/>
      <c r="L617" s="144"/>
    </row>
    <row r="618" spans="3:12" x14ac:dyDescent="0.25">
      <c r="C618" s="180"/>
      <c r="D618" s="180"/>
      <c r="J618" s="144"/>
      <c r="K618" s="144"/>
      <c r="L618" s="144"/>
    </row>
    <row r="619" spans="3:12" x14ac:dyDescent="0.25">
      <c r="C619" s="180"/>
      <c r="D619" s="180"/>
      <c r="J619" s="144"/>
      <c r="K619" s="144"/>
      <c r="L619" s="144"/>
    </row>
    <row r="620" spans="3:12" x14ac:dyDescent="0.25">
      <c r="C620" s="180"/>
      <c r="D620" s="180"/>
      <c r="J620" s="144"/>
      <c r="K620" s="144"/>
      <c r="L620" s="144"/>
    </row>
    <row r="621" spans="3:12" x14ac:dyDescent="0.25">
      <c r="C621" s="180"/>
      <c r="D621" s="180"/>
      <c r="J621" s="144"/>
      <c r="K621" s="144"/>
      <c r="L621" s="144"/>
    </row>
    <row r="622" spans="3:12" x14ac:dyDescent="0.25">
      <c r="C622" s="180"/>
      <c r="D622" s="180"/>
      <c r="J622" s="144"/>
      <c r="K622" s="144"/>
      <c r="L622" s="144"/>
    </row>
    <row r="623" spans="3:12" x14ac:dyDescent="0.25">
      <c r="C623" s="180"/>
      <c r="D623" s="180"/>
      <c r="J623" s="144"/>
      <c r="K623" s="144"/>
      <c r="L623" s="144"/>
    </row>
    <row r="624" spans="3:12" x14ac:dyDescent="0.25">
      <c r="C624" s="180"/>
      <c r="D624" s="180"/>
      <c r="J624" s="144"/>
      <c r="K624" s="144"/>
      <c r="L624" s="144"/>
    </row>
    <row r="625" spans="3:12" x14ac:dyDescent="0.25">
      <c r="C625" s="180"/>
      <c r="D625" s="180"/>
      <c r="J625" s="144"/>
      <c r="K625" s="144"/>
      <c r="L625" s="144"/>
    </row>
    <row r="626" spans="3:12" x14ac:dyDescent="0.25">
      <c r="C626" s="180"/>
      <c r="D626" s="180"/>
      <c r="J626" s="144"/>
      <c r="K626" s="144"/>
      <c r="L626" s="144"/>
    </row>
    <row r="627" spans="3:12" x14ac:dyDescent="0.25">
      <c r="C627" s="180"/>
      <c r="D627" s="180"/>
      <c r="J627" s="144"/>
      <c r="K627" s="144"/>
      <c r="L627" s="144"/>
    </row>
    <row r="628" spans="3:12" x14ac:dyDescent="0.25">
      <c r="C628" s="180"/>
      <c r="D628" s="180"/>
      <c r="J628" s="144"/>
      <c r="K628" s="144"/>
      <c r="L628" s="144"/>
    </row>
    <row r="629" spans="3:12" x14ac:dyDescent="0.25">
      <c r="C629" s="180"/>
      <c r="D629" s="180"/>
      <c r="J629" s="144"/>
      <c r="K629" s="144"/>
      <c r="L629" s="144"/>
    </row>
    <row r="630" spans="3:12" x14ac:dyDescent="0.25">
      <c r="C630" s="180"/>
      <c r="D630" s="180"/>
      <c r="J630" s="144"/>
      <c r="K630" s="144"/>
      <c r="L630" s="144"/>
    </row>
    <row r="631" spans="3:12" x14ac:dyDescent="0.25">
      <c r="C631" s="180"/>
      <c r="D631" s="180"/>
      <c r="J631" s="144"/>
      <c r="K631" s="144"/>
      <c r="L631" s="144"/>
    </row>
    <row r="632" spans="3:12" x14ac:dyDescent="0.25">
      <c r="C632" s="180"/>
      <c r="D632" s="180"/>
      <c r="J632" s="144"/>
      <c r="K632" s="144"/>
      <c r="L632" s="144"/>
    </row>
    <row r="633" spans="3:12" x14ac:dyDescent="0.25">
      <c r="C633" s="180"/>
      <c r="D633" s="180"/>
      <c r="J633" s="144"/>
      <c r="K633" s="144"/>
      <c r="L633" s="144"/>
    </row>
    <row r="634" spans="3:12" x14ac:dyDescent="0.25">
      <c r="C634" s="180"/>
      <c r="D634" s="180"/>
      <c r="J634" s="144"/>
      <c r="K634" s="144"/>
      <c r="L634" s="144"/>
    </row>
    <row r="635" spans="3:12" x14ac:dyDescent="0.25">
      <c r="C635" s="180"/>
      <c r="D635" s="180"/>
      <c r="J635" s="144"/>
      <c r="K635" s="144"/>
      <c r="L635" s="144"/>
    </row>
    <row r="636" spans="3:12" x14ac:dyDescent="0.25">
      <c r="C636" s="180"/>
      <c r="D636" s="180"/>
      <c r="J636" s="144"/>
      <c r="K636" s="144"/>
      <c r="L636" s="144"/>
    </row>
    <row r="637" spans="3:12" x14ac:dyDescent="0.25">
      <c r="C637" s="180"/>
      <c r="D637" s="180"/>
      <c r="J637" s="144"/>
      <c r="K637" s="144"/>
      <c r="L637" s="144"/>
    </row>
    <row r="638" spans="3:12" x14ac:dyDescent="0.25">
      <c r="C638" s="180"/>
      <c r="D638" s="180"/>
      <c r="J638" s="144"/>
      <c r="K638" s="144"/>
      <c r="L638" s="144"/>
    </row>
    <row r="639" spans="3:12" x14ac:dyDescent="0.25">
      <c r="C639" s="180"/>
      <c r="D639" s="180"/>
      <c r="J639" s="144"/>
      <c r="K639" s="144"/>
      <c r="L639" s="144"/>
    </row>
    <row r="640" spans="3:12" x14ac:dyDescent="0.25">
      <c r="C640" s="180"/>
      <c r="D640" s="180"/>
      <c r="J640" s="144"/>
      <c r="K640" s="144"/>
      <c r="L640" s="144"/>
    </row>
    <row r="641" spans="3:12" x14ac:dyDescent="0.25">
      <c r="C641" s="180"/>
      <c r="D641" s="180"/>
      <c r="J641" s="144"/>
      <c r="K641" s="144"/>
      <c r="L641" s="144"/>
    </row>
    <row r="642" spans="3:12" x14ac:dyDescent="0.25">
      <c r="C642" s="180"/>
      <c r="D642" s="180"/>
      <c r="J642" s="144"/>
      <c r="K642" s="144"/>
      <c r="L642" s="144"/>
    </row>
    <row r="643" spans="3:12" x14ac:dyDescent="0.25">
      <c r="C643" s="180"/>
      <c r="D643" s="180"/>
      <c r="J643" s="144"/>
      <c r="K643" s="144"/>
      <c r="L643" s="144"/>
    </row>
    <row r="644" spans="3:12" x14ac:dyDescent="0.25">
      <c r="C644" s="180"/>
      <c r="D644" s="180"/>
      <c r="J644" s="144"/>
      <c r="K644" s="144"/>
      <c r="L644" s="144"/>
    </row>
    <row r="645" spans="3:12" x14ac:dyDescent="0.25">
      <c r="C645" s="180"/>
      <c r="D645" s="180"/>
      <c r="J645" s="144"/>
      <c r="K645" s="144"/>
      <c r="L645" s="144"/>
    </row>
    <row r="646" spans="3:12" x14ac:dyDescent="0.25">
      <c r="C646" s="180"/>
      <c r="D646" s="180"/>
      <c r="J646" s="144"/>
      <c r="K646" s="144"/>
      <c r="L646" s="144"/>
    </row>
    <row r="647" spans="3:12" x14ac:dyDescent="0.25">
      <c r="C647" s="180"/>
      <c r="D647" s="180"/>
      <c r="J647" s="144"/>
      <c r="K647" s="144"/>
      <c r="L647" s="144"/>
    </row>
    <row r="648" spans="3:12" x14ac:dyDescent="0.25">
      <c r="C648" s="180"/>
      <c r="D648" s="180"/>
      <c r="J648" s="144"/>
      <c r="K648" s="144"/>
      <c r="L648" s="144"/>
    </row>
    <row r="649" spans="3:12" x14ac:dyDescent="0.25">
      <c r="C649" s="180"/>
      <c r="D649" s="180"/>
      <c r="J649" s="144"/>
      <c r="K649" s="144"/>
      <c r="L649" s="144"/>
    </row>
    <row r="650" spans="3:12" x14ac:dyDescent="0.25">
      <c r="C650" s="180"/>
      <c r="D650" s="180"/>
      <c r="J650" s="144"/>
      <c r="K650" s="144"/>
      <c r="L650" s="144"/>
    </row>
    <row r="651" spans="3:12" x14ac:dyDescent="0.25">
      <c r="C651" s="180"/>
      <c r="D651" s="180"/>
      <c r="J651" s="144"/>
      <c r="K651" s="144"/>
      <c r="L651" s="144"/>
    </row>
    <row r="652" spans="3:12" x14ac:dyDescent="0.25">
      <c r="C652" s="180"/>
      <c r="D652" s="180"/>
      <c r="J652" s="144"/>
      <c r="K652" s="144"/>
      <c r="L652" s="144"/>
    </row>
    <row r="653" spans="3:12" x14ac:dyDescent="0.25">
      <c r="C653" s="180"/>
      <c r="D653" s="180"/>
      <c r="J653" s="144"/>
      <c r="K653" s="144"/>
      <c r="L653" s="144"/>
    </row>
    <row r="654" spans="3:12" x14ac:dyDescent="0.25">
      <c r="C654" s="180"/>
      <c r="D654" s="180"/>
      <c r="J654" s="144"/>
      <c r="K654" s="144"/>
      <c r="L654" s="144"/>
    </row>
    <row r="655" spans="3:12" x14ac:dyDescent="0.25">
      <c r="C655" s="180"/>
      <c r="D655" s="180"/>
      <c r="J655" s="144"/>
      <c r="K655" s="144"/>
      <c r="L655" s="144"/>
    </row>
    <row r="656" spans="3:12" x14ac:dyDescent="0.25">
      <c r="C656" s="180"/>
      <c r="D656" s="180"/>
      <c r="J656" s="144"/>
      <c r="K656" s="144"/>
      <c r="L656" s="144"/>
    </row>
    <row r="657" spans="3:12" x14ac:dyDescent="0.25">
      <c r="C657" s="180"/>
      <c r="D657" s="180"/>
      <c r="J657" s="144"/>
      <c r="K657" s="144"/>
      <c r="L657" s="144"/>
    </row>
    <row r="658" spans="3:12" x14ac:dyDescent="0.25">
      <c r="C658" s="180"/>
      <c r="D658" s="180"/>
      <c r="J658" s="144"/>
      <c r="K658" s="144"/>
      <c r="L658" s="144"/>
    </row>
    <row r="659" spans="3:12" x14ac:dyDescent="0.25">
      <c r="C659" s="180"/>
      <c r="D659" s="180"/>
      <c r="J659" s="144"/>
      <c r="K659" s="144"/>
      <c r="L659" s="144"/>
    </row>
    <row r="660" spans="3:12" x14ac:dyDescent="0.25">
      <c r="C660" s="180"/>
      <c r="D660" s="180"/>
      <c r="J660" s="144"/>
      <c r="K660" s="144"/>
      <c r="L660" s="144"/>
    </row>
    <row r="661" spans="3:12" x14ac:dyDescent="0.25">
      <c r="C661" s="180"/>
      <c r="D661" s="180"/>
      <c r="J661" s="144"/>
      <c r="K661" s="144"/>
      <c r="L661" s="144"/>
    </row>
    <row r="662" spans="3:12" x14ac:dyDescent="0.25">
      <c r="C662" s="180"/>
      <c r="D662" s="180"/>
      <c r="J662" s="144"/>
      <c r="K662" s="144"/>
      <c r="L662" s="144"/>
    </row>
    <row r="663" spans="3:12" x14ac:dyDescent="0.25">
      <c r="C663" s="180"/>
      <c r="D663" s="180"/>
      <c r="J663" s="144"/>
      <c r="K663" s="144"/>
      <c r="L663" s="144"/>
    </row>
    <row r="664" spans="3:12" x14ac:dyDescent="0.25">
      <c r="C664" s="180"/>
      <c r="D664" s="180"/>
      <c r="J664" s="144"/>
      <c r="K664" s="144"/>
      <c r="L664" s="144"/>
    </row>
    <row r="665" spans="3:12" x14ac:dyDescent="0.25">
      <c r="C665" s="180"/>
      <c r="D665" s="180"/>
      <c r="J665" s="144"/>
      <c r="K665" s="144"/>
      <c r="L665" s="144"/>
    </row>
    <row r="666" spans="3:12" x14ac:dyDescent="0.25">
      <c r="C666" s="180"/>
      <c r="D666" s="180"/>
      <c r="J666" s="144"/>
      <c r="K666" s="144"/>
      <c r="L666" s="144"/>
    </row>
    <row r="667" spans="3:12" x14ac:dyDescent="0.25">
      <c r="C667" s="180"/>
      <c r="D667" s="180"/>
      <c r="J667" s="144"/>
      <c r="K667" s="144"/>
      <c r="L667" s="144"/>
    </row>
    <row r="668" spans="3:12" x14ac:dyDescent="0.25">
      <c r="C668" s="180"/>
      <c r="D668" s="180"/>
      <c r="J668" s="144"/>
      <c r="K668" s="144"/>
      <c r="L668" s="144"/>
    </row>
    <row r="669" spans="3:12" x14ac:dyDescent="0.25">
      <c r="C669" s="180"/>
      <c r="D669" s="180"/>
      <c r="J669" s="144"/>
      <c r="K669" s="144"/>
      <c r="L669" s="144"/>
    </row>
    <row r="670" spans="3:12" x14ac:dyDescent="0.25">
      <c r="C670" s="180"/>
      <c r="D670" s="180"/>
      <c r="J670" s="144"/>
      <c r="K670" s="144"/>
      <c r="L670" s="144"/>
    </row>
    <row r="671" spans="3:12" x14ac:dyDescent="0.25">
      <c r="C671" s="180"/>
      <c r="D671" s="180"/>
      <c r="J671" s="144"/>
      <c r="K671" s="144"/>
      <c r="L671" s="144"/>
    </row>
    <row r="672" spans="3:12" x14ac:dyDescent="0.25">
      <c r="C672" s="180"/>
      <c r="D672" s="180"/>
      <c r="J672" s="144"/>
      <c r="K672" s="144"/>
      <c r="L672" s="144"/>
    </row>
    <row r="673" spans="3:12" x14ac:dyDescent="0.25">
      <c r="C673" s="180"/>
      <c r="D673" s="180"/>
      <c r="J673" s="144"/>
      <c r="K673" s="144"/>
      <c r="L673" s="144"/>
    </row>
    <row r="674" spans="3:12" x14ac:dyDescent="0.25">
      <c r="C674" s="180"/>
      <c r="D674" s="180"/>
      <c r="J674" s="144"/>
      <c r="K674" s="144"/>
      <c r="L674" s="144"/>
    </row>
    <row r="675" spans="3:12" x14ac:dyDescent="0.25">
      <c r="C675" s="180"/>
      <c r="D675" s="180"/>
      <c r="J675" s="144"/>
      <c r="K675" s="144"/>
      <c r="L675" s="144"/>
    </row>
    <row r="676" spans="3:12" x14ac:dyDescent="0.25">
      <c r="C676" s="180"/>
      <c r="D676" s="180"/>
      <c r="J676" s="144"/>
      <c r="K676" s="144"/>
      <c r="L676" s="144"/>
    </row>
    <row r="677" spans="3:12" x14ac:dyDescent="0.25">
      <c r="C677" s="180"/>
      <c r="D677" s="180"/>
      <c r="J677" s="144"/>
      <c r="K677" s="144"/>
      <c r="L677" s="144"/>
    </row>
    <row r="678" spans="3:12" x14ac:dyDescent="0.25">
      <c r="C678" s="180"/>
      <c r="D678" s="180"/>
      <c r="J678" s="144"/>
      <c r="K678" s="144"/>
      <c r="L678" s="144"/>
    </row>
    <row r="679" spans="3:12" x14ac:dyDescent="0.25">
      <c r="C679" s="180"/>
      <c r="D679" s="180"/>
      <c r="J679" s="144"/>
      <c r="K679" s="144"/>
      <c r="L679" s="144"/>
    </row>
    <row r="680" spans="3:12" x14ac:dyDescent="0.25">
      <c r="C680" s="180"/>
      <c r="D680" s="180"/>
      <c r="J680" s="144"/>
      <c r="K680" s="144"/>
      <c r="L680" s="144"/>
    </row>
    <row r="681" spans="3:12" x14ac:dyDescent="0.25">
      <c r="C681" s="180"/>
      <c r="D681" s="180"/>
      <c r="J681" s="144"/>
      <c r="K681" s="144"/>
      <c r="L681" s="144"/>
    </row>
    <row r="682" spans="3:12" x14ac:dyDescent="0.25">
      <c r="C682" s="180"/>
      <c r="D682" s="180"/>
      <c r="J682" s="144"/>
      <c r="K682" s="144"/>
      <c r="L682" s="144"/>
    </row>
    <row r="683" spans="3:12" x14ac:dyDescent="0.25">
      <c r="C683" s="180"/>
      <c r="D683" s="180"/>
      <c r="J683" s="144"/>
      <c r="K683" s="144"/>
      <c r="L683" s="144"/>
    </row>
    <row r="684" spans="3:12" x14ac:dyDescent="0.25">
      <c r="C684" s="180"/>
      <c r="D684" s="180"/>
      <c r="J684" s="144"/>
      <c r="K684" s="144"/>
      <c r="L684" s="144"/>
    </row>
    <row r="685" spans="3:12" x14ac:dyDescent="0.25">
      <c r="C685" s="180"/>
      <c r="D685" s="180"/>
      <c r="J685" s="144"/>
      <c r="K685" s="144"/>
      <c r="L685" s="144"/>
    </row>
    <row r="686" spans="3:12" x14ac:dyDescent="0.25">
      <c r="C686" s="180"/>
      <c r="D686" s="180"/>
      <c r="J686" s="144"/>
      <c r="K686" s="144"/>
      <c r="L686" s="144"/>
    </row>
    <row r="687" spans="3:12" x14ac:dyDescent="0.25">
      <c r="C687" s="180"/>
      <c r="D687" s="180"/>
      <c r="J687" s="144"/>
      <c r="K687" s="144"/>
      <c r="L687" s="144"/>
    </row>
    <row r="688" spans="3:12" x14ac:dyDescent="0.25">
      <c r="C688" s="180"/>
      <c r="D688" s="180"/>
      <c r="J688" s="144"/>
      <c r="K688" s="144"/>
      <c r="L688" s="144"/>
    </row>
    <row r="689" spans="3:12" x14ac:dyDescent="0.25">
      <c r="C689" s="180"/>
      <c r="D689" s="180"/>
      <c r="J689" s="144"/>
      <c r="K689" s="144"/>
      <c r="L689" s="144"/>
    </row>
    <row r="690" spans="3:12" x14ac:dyDescent="0.25">
      <c r="C690" s="180"/>
      <c r="D690" s="180"/>
      <c r="J690" s="144"/>
      <c r="K690" s="144"/>
      <c r="L690" s="144"/>
    </row>
    <row r="691" spans="3:12" x14ac:dyDescent="0.25">
      <c r="C691" s="180"/>
      <c r="D691" s="180"/>
      <c r="J691" s="144"/>
      <c r="K691" s="144"/>
      <c r="L691" s="144"/>
    </row>
    <row r="692" spans="3:12" x14ac:dyDescent="0.25">
      <c r="C692" s="180"/>
      <c r="D692" s="180"/>
      <c r="J692" s="144"/>
      <c r="K692" s="144"/>
      <c r="L692" s="144"/>
    </row>
    <row r="693" spans="3:12" x14ac:dyDescent="0.25">
      <c r="C693" s="180"/>
      <c r="D693" s="180"/>
      <c r="J693" s="144"/>
      <c r="K693" s="144"/>
      <c r="L693" s="144"/>
    </row>
    <row r="694" spans="3:12" x14ac:dyDescent="0.25">
      <c r="C694" s="180"/>
      <c r="D694" s="180"/>
      <c r="J694" s="144"/>
      <c r="K694" s="144"/>
      <c r="L694" s="144"/>
    </row>
    <row r="695" spans="3:12" x14ac:dyDescent="0.25">
      <c r="C695" s="180"/>
      <c r="D695" s="180"/>
      <c r="J695" s="144"/>
      <c r="K695" s="144"/>
      <c r="L695" s="144"/>
    </row>
    <row r="696" spans="3:12" x14ac:dyDescent="0.25">
      <c r="C696" s="180"/>
      <c r="D696" s="180"/>
      <c r="J696" s="144"/>
      <c r="K696" s="144"/>
      <c r="L696" s="144"/>
    </row>
    <row r="697" spans="3:12" x14ac:dyDescent="0.25">
      <c r="C697" s="180"/>
      <c r="D697" s="180"/>
      <c r="J697" s="144"/>
      <c r="K697" s="144"/>
      <c r="L697" s="144"/>
    </row>
    <row r="698" spans="3:12" x14ac:dyDescent="0.25">
      <c r="C698" s="180"/>
      <c r="D698" s="180"/>
      <c r="J698" s="144"/>
      <c r="K698" s="144"/>
      <c r="L698" s="144"/>
    </row>
    <row r="699" spans="3:12" x14ac:dyDescent="0.25">
      <c r="C699" s="180"/>
      <c r="D699" s="180"/>
      <c r="J699" s="144"/>
      <c r="K699" s="144"/>
      <c r="L699" s="144"/>
    </row>
    <row r="700" spans="3:12" x14ac:dyDescent="0.25">
      <c r="C700" s="180"/>
      <c r="D700" s="180"/>
      <c r="J700" s="144"/>
      <c r="K700" s="144"/>
      <c r="L700" s="144"/>
    </row>
    <row r="701" spans="3:12" x14ac:dyDescent="0.25">
      <c r="C701" s="180"/>
      <c r="D701" s="180"/>
      <c r="J701" s="144"/>
      <c r="K701" s="144"/>
      <c r="L701" s="144"/>
    </row>
    <row r="702" spans="3:12" x14ac:dyDescent="0.25">
      <c r="C702" s="180"/>
      <c r="D702" s="180"/>
      <c r="J702" s="144"/>
      <c r="K702" s="144"/>
      <c r="L702" s="144"/>
    </row>
    <row r="703" spans="3:12" x14ac:dyDescent="0.25">
      <c r="C703" s="180"/>
      <c r="D703" s="180"/>
      <c r="J703" s="144"/>
      <c r="K703" s="144"/>
      <c r="L703" s="144"/>
    </row>
    <row r="704" spans="3:12" x14ac:dyDescent="0.25">
      <c r="C704" s="180"/>
      <c r="D704" s="180"/>
      <c r="J704" s="144"/>
      <c r="K704" s="144"/>
      <c r="L704" s="144"/>
    </row>
    <row r="705" spans="3:12" x14ac:dyDescent="0.25">
      <c r="C705" s="180"/>
      <c r="D705" s="180"/>
      <c r="J705" s="144"/>
      <c r="K705" s="144"/>
      <c r="L705" s="144"/>
    </row>
    <row r="706" spans="3:12" x14ac:dyDescent="0.25">
      <c r="C706" s="180"/>
      <c r="D706" s="180"/>
      <c r="J706" s="144"/>
      <c r="K706" s="144"/>
      <c r="L706" s="144"/>
    </row>
    <row r="707" spans="3:12" x14ac:dyDescent="0.25">
      <c r="C707" s="180"/>
      <c r="D707" s="180"/>
      <c r="J707" s="144"/>
      <c r="K707" s="144"/>
      <c r="L707" s="144"/>
    </row>
    <row r="708" spans="3:12" x14ac:dyDescent="0.25">
      <c r="C708" s="180"/>
      <c r="D708" s="180"/>
      <c r="J708" s="144"/>
      <c r="K708" s="144"/>
      <c r="L708" s="144"/>
    </row>
    <row r="709" spans="3:12" x14ac:dyDescent="0.25">
      <c r="C709" s="180"/>
      <c r="D709" s="180"/>
      <c r="J709" s="144"/>
      <c r="K709" s="144"/>
      <c r="L709" s="144"/>
    </row>
    <row r="710" spans="3:12" x14ac:dyDescent="0.25">
      <c r="C710" s="180"/>
      <c r="D710" s="180"/>
      <c r="J710" s="144"/>
      <c r="K710" s="144"/>
      <c r="L710" s="144"/>
    </row>
    <row r="711" spans="3:12" x14ac:dyDescent="0.25">
      <c r="C711" s="180"/>
      <c r="D711" s="180"/>
      <c r="J711" s="144"/>
      <c r="K711" s="144"/>
      <c r="L711" s="144"/>
    </row>
    <row r="712" spans="3:12" x14ac:dyDescent="0.25">
      <c r="C712" s="180"/>
      <c r="D712" s="180"/>
      <c r="J712" s="144"/>
      <c r="K712" s="144"/>
      <c r="L712" s="144"/>
    </row>
    <row r="713" spans="3:12" x14ac:dyDescent="0.25">
      <c r="C713" s="180"/>
      <c r="D713" s="180"/>
      <c r="J713" s="144"/>
      <c r="K713" s="144"/>
      <c r="L713" s="144"/>
    </row>
    <row r="714" spans="3:12" x14ac:dyDescent="0.25">
      <c r="C714" s="180"/>
      <c r="D714" s="180"/>
      <c r="J714" s="144"/>
      <c r="K714" s="144"/>
      <c r="L714" s="144"/>
    </row>
    <row r="715" spans="3:12" x14ac:dyDescent="0.25">
      <c r="C715" s="180"/>
      <c r="D715" s="180"/>
      <c r="J715" s="144"/>
      <c r="K715" s="144"/>
      <c r="L715" s="144"/>
    </row>
    <row r="716" spans="3:12" x14ac:dyDescent="0.25">
      <c r="C716" s="180"/>
      <c r="D716" s="180"/>
      <c r="J716" s="144"/>
      <c r="K716" s="144"/>
      <c r="L716" s="144"/>
    </row>
    <row r="717" spans="3:12" x14ac:dyDescent="0.25">
      <c r="C717" s="180"/>
      <c r="D717" s="180"/>
      <c r="J717" s="144"/>
      <c r="K717" s="144"/>
      <c r="L717" s="144"/>
    </row>
    <row r="718" spans="3:12" x14ac:dyDescent="0.25">
      <c r="C718" s="180"/>
      <c r="D718" s="180"/>
      <c r="J718" s="144"/>
      <c r="K718" s="144"/>
      <c r="L718" s="144"/>
    </row>
    <row r="719" spans="3:12" x14ac:dyDescent="0.25">
      <c r="C719" s="180"/>
      <c r="D719" s="180"/>
      <c r="J719" s="144"/>
      <c r="K719" s="144"/>
      <c r="L719" s="144"/>
    </row>
    <row r="720" spans="3:12" x14ac:dyDescent="0.25">
      <c r="C720" s="180"/>
      <c r="D720" s="180"/>
      <c r="J720" s="144"/>
      <c r="K720" s="144"/>
      <c r="L720" s="144"/>
    </row>
    <row r="721" spans="3:12" x14ac:dyDescent="0.25">
      <c r="C721" s="180"/>
      <c r="D721" s="180"/>
      <c r="J721" s="144"/>
      <c r="K721" s="144"/>
      <c r="L721" s="144"/>
    </row>
    <row r="722" spans="3:12" x14ac:dyDescent="0.25">
      <c r="C722" s="180"/>
      <c r="D722" s="180"/>
      <c r="J722" s="144"/>
      <c r="K722" s="144"/>
      <c r="L722" s="144"/>
    </row>
    <row r="723" spans="3:12" x14ac:dyDescent="0.25">
      <c r="C723" s="180"/>
      <c r="D723" s="180"/>
      <c r="J723" s="144"/>
      <c r="K723" s="144"/>
      <c r="L723" s="144"/>
    </row>
    <row r="724" spans="3:12" x14ac:dyDescent="0.25">
      <c r="C724" s="180"/>
      <c r="D724" s="180"/>
      <c r="J724" s="144"/>
      <c r="K724" s="144"/>
      <c r="L724" s="144"/>
    </row>
    <row r="725" spans="3:12" x14ac:dyDescent="0.25">
      <c r="C725" s="180"/>
      <c r="D725" s="180"/>
      <c r="J725" s="144"/>
      <c r="K725" s="144"/>
      <c r="L725" s="144"/>
    </row>
    <row r="726" spans="3:12" x14ac:dyDescent="0.25">
      <c r="C726" s="180"/>
      <c r="D726" s="180"/>
      <c r="J726" s="144"/>
      <c r="K726" s="144"/>
      <c r="L726" s="144"/>
    </row>
    <row r="727" spans="3:12" x14ac:dyDescent="0.25">
      <c r="C727" s="180"/>
      <c r="D727" s="180"/>
      <c r="J727" s="144"/>
      <c r="K727" s="144"/>
      <c r="L727" s="144"/>
    </row>
    <row r="728" spans="3:12" x14ac:dyDescent="0.25">
      <c r="C728" s="180"/>
      <c r="D728" s="180"/>
      <c r="J728" s="144"/>
      <c r="K728" s="144"/>
      <c r="L728" s="144"/>
    </row>
    <row r="729" spans="3:12" x14ac:dyDescent="0.25">
      <c r="C729" s="180"/>
      <c r="D729" s="180"/>
      <c r="J729" s="144"/>
      <c r="K729" s="144"/>
      <c r="L729" s="144"/>
    </row>
    <row r="730" spans="3:12" x14ac:dyDescent="0.25">
      <c r="C730" s="180"/>
      <c r="D730" s="180"/>
      <c r="J730" s="144"/>
      <c r="K730" s="144"/>
      <c r="L730" s="144"/>
    </row>
    <row r="731" spans="3:12" x14ac:dyDescent="0.25">
      <c r="C731" s="180"/>
      <c r="D731" s="180"/>
      <c r="J731" s="144"/>
      <c r="K731" s="144"/>
      <c r="L731" s="144"/>
    </row>
    <row r="732" spans="3:12" x14ac:dyDescent="0.25">
      <c r="C732" s="180"/>
      <c r="D732" s="180"/>
      <c r="J732" s="144"/>
      <c r="K732" s="144"/>
      <c r="L732" s="144"/>
    </row>
    <row r="733" spans="3:12" x14ac:dyDescent="0.25">
      <c r="C733" s="180"/>
      <c r="D733" s="180"/>
      <c r="J733" s="144"/>
      <c r="K733" s="144"/>
      <c r="L733" s="144"/>
    </row>
    <row r="734" spans="3:12" x14ac:dyDescent="0.25">
      <c r="C734" s="180"/>
      <c r="D734" s="180"/>
      <c r="J734" s="144"/>
      <c r="K734" s="144"/>
      <c r="L734" s="144"/>
    </row>
    <row r="735" spans="3:12" x14ac:dyDescent="0.25">
      <c r="C735" s="180"/>
      <c r="D735" s="180"/>
      <c r="J735" s="144"/>
      <c r="K735" s="144"/>
      <c r="L735" s="144"/>
    </row>
    <row r="736" spans="3:12" x14ac:dyDescent="0.25">
      <c r="C736" s="180"/>
      <c r="D736" s="180"/>
      <c r="J736" s="144"/>
      <c r="K736" s="144"/>
      <c r="L736" s="144"/>
    </row>
    <row r="737" spans="3:12" x14ac:dyDescent="0.25">
      <c r="C737" s="180"/>
      <c r="D737" s="180"/>
      <c r="J737" s="144"/>
      <c r="K737" s="144"/>
      <c r="L737" s="144"/>
    </row>
    <row r="738" spans="3:12" x14ac:dyDescent="0.25">
      <c r="C738" s="180"/>
      <c r="D738" s="180"/>
      <c r="J738" s="144"/>
      <c r="K738" s="144"/>
      <c r="L738" s="144"/>
    </row>
    <row r="739" spans="3:12" x14ac:dyDescent="0.25">
      <c r="C739" s="180"/>
      <c r="D739" s="180"/>
      <c r="J739" s="144"/>
      <c r="K739" s="144"/>
      <c r="L739" s="144"/>
    </row>
    <row r="740" spans="3:12" x14ac:dyDescent="0.25">
      <c r="C740" s="180"/>
      <c r="D740" s="180"/>
      <c r="J740" s="144"/>
      <c r="K740" s="144"/>
      <c r="L740" s="144"/>
    </row>
    <row r="741" spans="3:12" x14ac:dyDescent="0.25">
      <c r="C741" s="180"/>
      <c r="D741" s="180"/>
      <c r="J741" s="144"/>
      <c r="K741" s="144"/>
      <c r="L741" s="144"/>
    </row>
    <row r="742" spans="3:12" x14ac:dyDescent="0.25">
      <c r="C742" s="180"/>
      <c r="D742" s="180"/>
      <c r="J742" s="144"/>
      <c r="K742" s="144"/>
      <c r="L742" s="144"/>
    </row>
    <row r="743" spans="3:12" x14ac:dyDescent="0.25">
      <c r="C743" s="180"/>
      <c r="D743" s="180"/>
      <c r="J743" s="144"/>
      <c r="K743" s="144"/>
      <c r="L743" s="144"/>
    </row>
    <row r="744" spans="3:12" x14ac:dyDescent="0.25">
      <c r="C744" s="180"/>
      <c r="D744" s="180"/>
      <c r="J744" s="144"/>
      <c r="K744" s="144"/>
      <c r="L744" s="144"/>
    </row>
    <row r="745" spans="3:12" x14ac:dyDescent="0.25">
      <c r="C745" s="180"/>
      <c r="D745" s="180"/>
      <c r="J745" s="144"/>
      <c r="K745" s="144"/>
      <c r="L745" s="144"/>
    </row>
    <row r="746" spans="3:12" x14ac:dyDescent="0.25">
      <c r="C746" s="180"/>
      <c r="D746" s="180"/>
      <c r="J746" s="144"/>
      <c r="K746" s="144"/>
      <c r="L746" s="144"/>
    </row>
    <row r="747" spans="3:12" x14ac:dyDescent="0.25">
      <c r="C747" s="180"/>
      <c r="D747" s="180"/>
      <c r="J747" s="144"/>
      <c r="K747" s="144"/>
      <c r="L747" s="144"/>
    </row>
    <row r="748" spans="3:12" x14ac:dyDescent="0.25">
      <c r="C748" s="180"/>
      <c r="D748" s="180"/>
      <c r="J748" s="144"/>
      <c r="K748" s="144"/>
      <c r="L748" s="144"/>
    </row>
    <row r="749" spans="3:12" x14ac:dyDescent="0.25">
      <c r="C749" s="180"/>
      <c r="D749" s="180"/>
      <c r="J749" s="144"/>
      <c r="K749" s="144"/>
      <c r="L749" s="144"/>
    </row>
    <row r="750" spans="3:12" x14ac:dyDescent="0.25">
      <c r="C750" s="180"/>
      <c r="D750" s="180"/>
      <c r="J750" s="144"/>
      <c r="K750" s="144"/>
      <c r="L750" s="144"/>
    </row>
    <row r="751" spans="3:12" x14ac:dyDescent="0.25">
      <c r="C751" s="180"/>
      <c r="D751" s="180"/>
      <c r="J751" s="144"/>
      <c r="K751" s="144"/>
      <c r="L751" s="144"/>
    </row>
    <row r="752" spans="3:12" x14ac:dyDescent="0.25">
      <c r="C752" s="180"/>
      <c r="D752" s="180"/>
      <c r="J752" s="144"/>
      <c r="K752" s="144"/>
      <c r="L752" s="144"/>
    </row>
    <row r="753" spans="3:12" x14ac:dyDescent="0.25">
      <c r="C753" s="180"/>
      <c r="D753" s="180"/>
      <c r="J753" s="144"/>
      <c r="K753" s="144"/>
      <c r="L753" s="144"/>
    </row>
    <row r="754" spans="3:12" x14ac:dyDescent="0.25">
      <c r="C754" s="180"/>
      <c r="D754" s="180"/>
      <c r="J754" s="144"/>
      <c r="K754" s="144"/>
      <c r="L754" s="144"/>
    </row>
    <row r="755" spans="3:12" x14ac:dyDescent="0.25">
      <c r="C755" s="180"/>
      <c r="D755" s="180"/>
      <c r="J755" s="144"/>
      <c r="K755" s="144"/>
      <c r="L755" s="144"/>
    </row>
    <row r="756" spans="3:12" x14ac:dyDescent="0.25">
      <c r="C756" s="180"/>
      <c r="D756" s="180"/>
      <c r="J756" s="144"/>
      <c r="K756" s="144"/>
      <c r="L756" s="144"/>
    </row>
    <row r="757" spans="3:12" x14ac:dyDescent="0.25">
      <c r="C757" s="180"/>
      <c r="D757" s="180"/>
      <c r="J757" s="144"/>
      <c r="K757" s="144"/>
      <c r="L757" s="144"/>
    </row>
    <row r="758" spans="3:12" x14ac:dyDescent="0.25">
      <c r="C758" s="180"/>
      <c r="D758" s="180"/>
      <c r="J758" s="144"/>
      <c r="K758" s="144"/>
      <c r="L758" s="144"/>
    </row>
    <row r="759" spans="3:12" x14ac:dyDescent="0.25">
      <c r="C759" s="180"/>
      <c r="D759" s="180"/>
      <c r="J759" s="144"/>
      <c r="K759" s="144"/>
      <c r="L759" s="144"/>
    </row>
    <row r="760" spans="3:12" x14ac:dyDescent="0.25">
      <c r="C760" s="180"/>
      <c r="D760" s="180"/>
      <c r="J760" s="144"/>
      <c r="K760" s="144"/>
      <c r="L760" s="144"/>
    </row>
    <row r="761" spans="3:12" x14ac:dyDescent="0.25">
      <c r="C761" s="180"/>
      <c r="D761" s="180"/>
      <c r="J761" s="144"/>
      <c r="K761" s="144"/>
      <c r="L761" s="144"/>
    </row>
    <row r="762" spans="3:12" x14ac:dyDescent="0.25">
      <c r="C762" s="180"/>
      <c r="D762" s="180"/>
      <c r="J762" s="144"/>
      <c r="K762" s="144"/>
      <c r="L762" s="144"/>
    </row>
    <row r="763" spans="3:12" x14ac:dyDescent="0.25">
      <c r="C763" s="180"/>
      <c r="D763" s="180"/>
      <c r="J763" s="144"/>
      <c r="K763" s="144"/>
      <c r="L763" s="144"/>
    </row>
    <row r="764" spans="3:12" x14ac:dyDescent="0.25">
      <c r="C764" s="180"/>
      <c r="D764" s="180"/>
      <c r="J764" s="144"/>
      <c r="K764" s="144"/>
      <c r="L764" s="144"/>
    </row>
    <row r="765" spans="3:12" x14ac:dyDescent="0.25">
      <c r="C765" s="180"/>
      <c r="D765" s="180"/>
      <c r="J765" s="144"/>
      <c r="K765" s="144"/>
      <c r="L765" s="144"/>
    </row>
    <row r="766" spans="3:12" x14ac:dyDescent="0.25">
      <c r="C766" s="180"/>
      <c r="D766" s="180"/>
      <c r="J766" s="144"/>
      <c r="K766" s="144"/>
      <c r="L766" s="144"/>
    </row>
    <row r="767" spans="3:12" x14ac:dyDescent="0.25">
      <c r="C767" s="180"/>
      <c r="D767" s="180"/>
      <c r="J767" s="144"/>
      <c r="K767" s="144"/>
      <c r="L767" s="144"/>
    </row>
    <row r="768" spans="3:12" x14ac:dyDescent="0.25">
      <c r="C768" s="180"/>
      <c r="D768" s="180"/>
      <c r="J768" s="144"/>
      <c r="K768" s="144"/>
      <c r="L768" s="144"/>
    </row>
    <row r="769" spans="3:12" x14ac:dyDescent="0.25">
      <c r="C769" s="180"/>
      <c r="D769" s="180"/>
      <c r="J769" s="144"/>
      <c r="K769" s="144"/>
      <c r="L769" s="144"/>
    </row>
    <row r="770" spans="3:12" x14ac:dyDescent="0.25">
      <c r="C770" s="180"/>
      <c r="D770" s="180"/>
      <c r="J770" s="144"/>
      <c r="K770" s="144"/>
      <c r="L770" s="144"/>
    </row>
    <row r="771" spans="3:12" x14ac:dyDescent="0.25">
      <c r="C771" s="180"/>
      <c r="D771" s="180"/>
      <c r="J771" s="144"/>
      <c r="K771" s="144"/>
      <c r="L771" s="144"/>
    </row>
    <row r="772" spans="3:12" x14ac:dyDescent="0.25">
      <c r="C772" s="180"/>
      <c r="D772" s="180"/>
      <c r="J772" s="144"/>
      <c r="K772" s="144"/>
      <c r="L772" s="144"/>
    </row>
    <row r="773" spans="3:12" x14ac:dyDescent="0.25">
      <c r="C773" s="180"/>
      <c r="D773" s="180"/>
      <c r="J773" s="144"/>
      <c r="K773" s="144"/>
      <c r="L773" s="144"/>
    </row>
    <row r="774" spans="3:12" x14ac:dyDescent="0.25">
      <c r="C774" s="180"/>
      <c r="D774" s="180"/>
      <c r="J774" s="144"/>
      <c r="K774" s="144"/>
      <c r="L774" s="144"/>
    </row>
    <row r="775" spans="3:12" x14ac:dyDescent="0.25">
      <c r="C775" s="180"/>
      <c r="D775" s="180"/>
      <c r="J775" s="144"/>
      <c r="K775" s="144"/>
      <c r="L775" s="144"/>
    </row>
    <row r="776" spans="3:12" x14ac:dyDescent="0.25">
      <c r="C776" s="180"/>
      <c r="D776" s="180"/>
      <c r="J776" s="144"/>
      <c r="K776" s="144"/>
      <c r="L776" s="144"/>
    </row>
    <row r="777" spans="3:12" x14ac:dyDescent="0.25">
      <c r="C777" s="180"/>
      <c r="D777" s="180"/>
      <c r="J777" s="144"/>
      <c r="K777" s="144"/>
      <c r="L777" s="144"/>
    </row>
    <row r="778" spans="3:12" x14ac:dyDescent="0.25">
      <c r="C778" s="180"/>
      <c r="D778" s="180"/>
      <c r="J778" s="144"/>
      <c r="K778" s="144"/>
      <c r="L778" s="144"/>
    </row>
    <row r="779" spans="3:12" x14ac:dyDescent="0.25">
      <c r="C779" s="180"/>
      <c r="D779" s="180"/>
      <c r="J779" s="144"/>
      <c r="K779" s="144"/>
      <c r="L779" s="144"/>
    </row>
    <row r="780" spans="3:12" x14ac:dyDescent="0.25">
      <c r="C780" s="180"/>
      <c r="D780" s="180"/>
      <c r="J780" s="144"/>
      <c r="K780" s="144"/>
      <c r="L780" s="144"/>
    </row>
    <row r="781" spans="3:12" x14ac:dyDescent="0.25">
      <c r="C781" s="180"/>
      <c r="D781" s="180"/>
      <c r="J781" s="144"/>
      <c r="K781" s="144"/>
      <c r="L781" s="144"/>
    </row>
    <row r="782" spans="3:12" x14ac:dyDescent="0.25">
      <c r="C782" s="180"/>
      <c r="D782" s="180"/>
      <c r="J782" s="144"/>
      <c r="K782" s="144"/>
      <c r="L782" s="144"/>
    </row>
    <row r="783" spans="3:12" x14ac:dyDescent="0.25">
      <c r="C783" s="180"/>
      <c r="D783" s="180"/>
      <c r="J783" s="144"/>
      <c r="K783" s="144"/>
      <c r="L783" s="144"/>
    </row>
    <row r="784" spans="3:12" x14ac:dyDescent="0.25">
      <c r="C784" s="180"/>
      <c r="D784" s="180"/>
      <c r="J784" s="144"/>
      <c r="K784" s="144"/>
      <c r="L784" s="144"/>
    </row>
    <row r="785" spans="3:12" x14ac:dyDescent="0.25">
      <c r="C785" s="180"/>
      <c r="D785" s="180"/>
      <c r="J785" s="144"/>
      <c r="K785" s="144"/>
      <c r="L785" s="144"/>
    </row>
    <row r="786" spans="3:12" x14ac:dyDescent="0.25">
      <c r="C786" s="180"/>
      <c r="D786" s="180"/>
      <c r="J786" s="144"/>
      <c r="K786" s="144"/>
      <c r="L786" s="144"/>
    </row>
    <row r="787" spans="3:12" x14ac:dyDescent="0.25">
      <c r="C787" s="180"/>
      <c r="D787" s="180"/>
      <c r="J787" s="144"/>
      <c r="K787" s="144"/>
      <c r="L787" s="144"/>
    </row>
    <row r="788" spans="3:12" x14ac:dyDescent="0.25">
      <c r="C788" s="180"/>
      <c r="D788" s="180"/>
      <c r="J788" s="144"/>
      <c r="K788" s="144"/>
      <c r="L788" s="144"/>
    </row>
    <row r="789" spans="3:12" x14ac:dyDescent="0.25">
      <c r="C789" s="180"/>
      <c r="D789" s="180"/>
      <c r="J789" s="144"/>
      <c r="K789" s="144"/>
      <c r="L789" s="144"/>
    </row>
    <row r="790" spans="3:12" x14ac:dyDescent="0.25">
      <c r="C790" s="180"/>
      <c r="D790" s="180"/>
      <c r="J790" s="144"/>
      <c r="K790" s="144"/>
      <c r="L790" s="144"/>
    </row>
    <row r="791" spans="3:12" x14ac:dyDescent="0.25">
      <c r="C791" s="180"/>
      <c r="D791" s="180"/>
      <c r="J791" s="144"/>
      <c r="K791" s="144"/>
      <c r="L791" s="144"/>
    </row>
    <row r="792" spans="3:12" x14ac:dyDescent="0.25">
      <c r="C792" s="180"/>
      <c r="D792" s="180"/>
      <c r="J792" s="144"/>
      <c r="K792" s="144"/>
      <c r="L792" s="144"/>
    </row>
    <row r="793" spans="3:12" x14ac:dyDescent="0.25">
      <c r="C793" s="180"/>
      <c r="D793" s="180"/>
      <c r="J793" s="144"/>
      <c r="K793" s="144"/>
      <c r="L793" s="144"/>
    </row>
    <row r="794" spans="3:12" x14ac:dyDescent="0.25">
      <c r="C794" s="180"/>
      <c r="D794" s="180"/>
      <c r="J794" s="144"/>
      <c r="K794" s="144"/>
      <c r="L794" s="144"/>
    </row>
    <row r="795" spans="3:12" x14ac:dyDescent="0.25">
      <c r="C795" s="180"/>
      <c r="D795" s="180"/>
      <c r="J795" s="144"/>
      <c r="K795" s="144"/>
      <c r="L795" s="144"/>
    </row>
    <row r="796" spans="3:12" x14ac:dyDescent="0.25">
      <c r="C796" s="180"/>
      <c r="D796" s="180"/>
      <c r="J796" s="144"/>
      <c r="K796" s="144"/>
      <c r="L796" s="144"/>
    </row>
    <row r="797" spans="3:12" x14ac:dyDescent="0.25">
      <c r="C797" s="180"/>
      <c r="D797" s="180"/>
      <c r="J797" s="144"/>
      <c r="K797" s="144"/>
      <c r="L797" s="144"/>
    </row>
    <row r="798" spans="3:12" x14ac:dyDescent="0.25">
      <c r="C798" s="180"/>
      <c r="D798" s="180"/>
      <c r="J798" s="144"/>
      <c r="K798" s="144"/>
      <c r="L798" s="144"/>
    </row>
    <row r="799" spans="3:12" x14ac:dyDescent="0.25">
      <c r="C799" s="180"/>
      <c r="D799" s="180"/>
      <c r="J799" s="144"/>
      <c r="K799" s="144"/>
      <c r="L799" s="144"/>
    </row>
    <row r="800" spans="3:12" x14ac:dyDescent="0.25">
      <c r="C800" s="180"/>
      <c r="D800" s="180"/>
      <c r="J800" s="144"/>
      <c r="K800" s="144"/>
      <c r="L800" s="144"/>
    </row>
    <row r="801" spans="3:12" x14ac:dyDescent="0.25">
      <c r="C801" s="180"/>
      <c r="D801" s="180"/>
      <c r="J801" s="144"/>
      <c r="K801" s="144"/>
      <c r="L801" s="144"/>
    </row>
    <row r="802" spans="3:12" x14ac:dyDescent="0.25">
      <c r="C802" s="180"/>
      <c r="D802" s="180"/>
      <c r="J802" s="144"/>
      <c r="K802" s="144"/>
      <c r="L802" s="144"/>
    </row>
    <row r="803" spans="3:12" x14ac:dyDescent="0.25">
      <c r="C803" s="180"/>
      <c r="D803" s="180"/>
      <c r="J803" s="144"/>
      <c r="K803" s="144"/>
      <c r="L803" s="144"/>
    </row>
    <row r="804" spans="3:12" x14ac:dyDescent="0.25">
      <c r="C804" s="180"/>
      <c r="D804" s="180"/>
      <c r="J804" s="144"/>
      <c r="K804" s="144"/>
      <c r="L804" s="144"/>
    </row>
    <row r="805" spans="3:12" x14ac:dyDescent="0.25">
      <c r="C805" s="180"/>
      <c r="D805" s="180"/>
      <c r="J805" s="144"/>
      <c r="K805" s="144"/>
      <c r="L805" s="144"/>
    </row>
    <row r="806" spans="3:12" x14ac:dyDescent="0.25">
      <c r="C806" s="180"/>
      <c r="D806" s="180"/>
      <c r="J806" s="144"/>
      <c r="K806" s="144"/>
      <c r="L806" s="144"/>
    </row>
    <row r="807" spans="3:12" x14ac:dyDescent="0.25">
      <c r="C807" s="180"/>
      <c r="D807" s="180"/>
      <c r="J807" s="144"/>
      <c r="K807" s="144"/>
      <c r="L807" s="144"/>
    </row>
    <row r="808" spans="3:12" x14ac:dyDescent="0.25">
      <c r="C808" s="180"/>
      <c r="D808" s="180"/>
      <c r="J808" s="144"/>
      <c r="K808" s="144"/>
      <c r="L808" s="144"/>
    </row>
    <row r="809" spans="3:12" x14ac:dyDescent="0.25">
      <c r="C809" s="180"/>
      <c r="D809" s="180"/>
      <c r="J809" s="144"/>
      <c r="K809" s="144"/>
      <c r="L809" s="144"/>
    </row>
    <row r="810" spans="3:12" x14ac:dyDescent="0.25">
      <c r="C810" s="180"/>
      <c r="D810" s="180"/>
      <c r="J810" s="144"/>
      <c r="K810" s="144"/>
      <c r="L810" s="144"/>
    </row>
    <row r="811" spans="3:12" x14ac:dyDescent="0.25">
      <c r="C811" s="180"/>
      <c r="D811" s="180"/>
      <c r="J811" s="144"/>
      <c r="K811" s="144"/>
      <c r="L811" s="144"/>
    </row>
    <row r="812" spans="3:12" x14ac:dyDescent="0.25">
      <c r="C812" s="180"/>
      <c r="D812" s="180"/>
      <c r="J812" s="144"/>
      <c r="K812" s="144"/>
      <c r="L812" s="144"/>
    </row>
    <row r="813" spans="3:12" x14ac:dyDescent="0.25">
      <c r="C813" s="180"/>
      <c r="D813" s="180"/>
      <c r="J813" s="144"/>
      <c r="K813" s="144"/>
      <c r="L813" s="144"/>
    </row>
    <row r="814" spans="3:12" x14ac:dyDescent="0.25">
      <c r="C814" s="180"/>
      <c r="D814" s="180"/>
      <c r="J814" s="144"/>
      <c r="K814" s="144"/>
      <c r="L814" s="144"/>
    </row>
    <row r="815" spans="3:12" x14ac:dyDescent="0.25">
      <c r="C815" s="180"/>
      <c r="D815" s="180"/>
      <c r="J815" s="144"/>
      <c r="K815" s="144"/>
      <c r="L815" s="144"/>
    </row>
    <row r="816" spans="3:12" x14ac:dyDescent="0.25">
      <c r="C816" s="180"/>
      <c r="D816" s="180"/>
      <c r="J816" s="144"/>
      <c r="K816" s="144"/>
      <c r="L816" s="144"/>
    </row>
    <row r="817" spans="3:12" x14ac:dyDescent="0.25">
      <c r="C817" s="180"/>
      <c r="D817" s="180"/>
      <c r="J817" s="144"/>
      <c r="K817" s="144"/>
      <c r="L817" s="144"/>
    </row>
    <row r="818" spans="3:12" x14ac:dyDescent="0.25">
      <c r="C818" s="180"/>
      <c r="D818" s="180"/>
      <c r="J818" s="144"/>
      <c r="K818" s="144"/>
      <c r="L818" s="144"/>
    </row>
    <row r="819" spans="3:12" x14ac:dyDescent="0.25">
      <c r="C819" s="180"/>
      <c r="D819" s="180"/>
      <c r="J819" s="144"/>
      <c r="K819" s="144"/>
      <c r="L819" s="144"/>
    </row>
    <row r="820" spans="3:12" x14ac:dyDescent="0.25">
      <c r="C820" s="180"/>
      <c r="D820" s="180"/>
      <c r="J820" s="144"/>
      <c r="K820" s="144"/>
      <c r="L820" s="144"/>
    </row>
    <row r="821" spans="3:12" x14ac:dyDescent="0.25">
      <c r="C821" s="180"/>
      <c r="D821" s="180"/>
      <c r="J821" s="144"/>
      <c r="K821" s="144"/>
      <c r="L821" s="144"/>
    </row>
    <row r="822" spans="3:12" x14ac:dyDescent="0.25">
      <c r="C822" s="180"/>
      <c r="D822" s="180"/>
      <c r="J822" s="144"/>
      <c r="K822" s="144"/>
      <c r="L822" s="144"/>
    </row>
    <row r="823" spans="3:12" x14ac:dyDescent="0.25">
      <c r="C823" s="180"/>
      <c r="D823" s="180"/>
      <c r="J823" s="144"/>
      <c r="K823" s="144"/>
      <c r="L823" s="144"/>
    </row>
    <row r="824" spans="3:12" x14ac:dyDescent="0.25">
      <c r="C824" s="180"/>
      <c r="D824" s="180"/>
      <c r="J824" s="144"/>
      <c r="K824" s="144"/>
      <c r="L824" s="144"/>
    </row>
    <row r="825" spans="3:12" x14ac:dyDescent="0.25">
      <c r="C825" s="180"/>
      <c r="D825" s="180"/>
      <c r="J825" s="144"/>
      <c r="K825" s="144"/>
      <c r="L825" s="144"/>
    </row>
    <row r="826" spans="3:12" x14ac:dyDescent="0.25">
      <c r="C826" s="180"/>
      <c r="D826" s="180"/>
      <c r="J826" s="144"/>
      <c r="K826" s="144"/>
      <c r="L826" s="144"/>
    </row>
    <row r="827" spans="3:12" x14ac:dyDescent="0.25">
      <c r="C827" s="180"/>
      <c r="D827" s="180"/>
      <c r="J827" s="144"/>
      <c r="K827" s="144"/>
      <c r="L827" s="144"/>
    </row>
    <row r="828" spans="3:12" x14ac:dyDescent="0.25">
      <c r="C828" s="180"/>
      <c r="D828" s="180"/>
      <c r="J828" s="144"/>
      <c r="K828" s="144"/>
      <c r="L828" s="144"/>
    </row>
    <row r="829" spans="3:12" x14ac:dyDescent="0.25">
      <c r="C829" s="180"/>
      <c r="D829" s="180"/>
      <c r="J829" s="144"/>
      <c r="K829" s="144"/>
      <c r="L829" s="144"/>
    </row>
    <row r="830" spans="3:12" x14ac:dyDescent="0.25">
      <c r="C830" s="180"/>
      <c r="D830" s="180"/>
      <c r="J830" s="144"/>
      <c r="K830" s="144"/>
      <c r="L830" s="144"/>
    </row>
    <row r="831" spans="3:12" x14ac:dyDescent="0.25">
      <c r="C831" s="180"/>
      <c r="D831" s="180"/>
      <c r="J831" s="144"/>
      <c r="K831" s="144"/>
      <c r="L831" s="144"/>
    </row>
    <row r="832" spans="3:12" x14ac:dyDescent="0.25">
      <c r="C832" s="180"/>
      <c r="D832" s="180"/>
      <c r="J832" s="144"/>
      <c r="K832" s="144"/>
      <c r="L832" s="144"/>
    </row>
    <row r="833" spans="3:12" x14ac:dyDescent="0.25">
      <c r="C833" s="180"/>
      <c r="D833" s="180"/>
      <c r="J833" s="144"/>
      <c r="K833" s="144"/>
      <c r="L833" s="144"/>
    </row>
    <row r="834" spans="3:12" x14ac:dyDescent="0.25">
      <c r="C834" s="180"/>
      <c r="D834" s="180"/>
      <c r="J834" s="144"/>
      <c r="K834" s="144"/>
      <c r="L834" s="144"/>
    </row>
    <row r="835" spans="3:12" x14ac:dyDescent="0.25">
      <c r="C835" s="180"/>
      <c r="D835" s="180"/>
      <c r="J835" s="144"/>
      <c r="K835" s="144"/>
      <c r="L835" s="144"/>
    </row>
    <row r="836" spans="3:12" x14ac:dyDescent="0.25">
      <c r="C836" s="180"/>
      <c r="D836" s="180"/>
      <c r="J836" s="144"/>
      <c r="K836" s="144"/>
      <c r="L836" s="144"/>
    </row>
    <row r="837" spans="3:12" x14ac:dyDescent="0.25">
      <c r="C837" s="180"/>
      <c r="D837" s="180"/>
      <c r="J837" s="144"/>
      <c r="K837" s="144"/>
      <c r="L837" s="144"/>
    </row>
    <row r="838" spans="3:12" x14ac:dyDescent="0.25">
      <c r="C838" s="180"/>
      <c r="D838" s="180"/>
      <c r="J838" s="144"/>
      <c r="K838" s="144"/>
      <c r="L838" s="144"/>
    </row>
    <row r="839" spans="3:12" x14ac:dyDescent="0.25">
      <c r="C839" s="180"/>
      <c r="D839" s="180"/>
      <c r="J839" s="144"/>
      <c r="K839" s="144"/>
      <c r="L839" s="144"/>
    </row>
    <row r="840" spans="3:12" x14ac:dyDescent="0.25">
      <c r="C840" s="180"/>
      <c r="D840" s="180"/>
      <c r="J840" s="144"/>
      <c r="K840" s="144"/>
      <c r="L840" s="144"/>
    </row>
    <row r="841" spans="3:12" x14ac:dyDescent="0.25">
      <c r="C841" s="180"/>
      <c r="D841" s="180"/>
      <c r="J841" s="144"/>
      <c r="K841" s="144"/>
      <c r="L841" s="144"/>
    </row>
    <row r="842" spans="3:12" x14ac:dyDescent="0.25">
      <c r="C842" s="180"/>
      <c r="D842" s="180"/>
      <c r="J842" s="144"/>
      <c r="K842" s="144"/>
      <c r="L842" s="144"/>
    </row>
    <row r="843" spans="3:12" x14ac:dyDescent="0.25">
      <c r="C843" s="180"/>
      <c r="D843" s="180"/>
      <c r="J843" s="144"/>
      <c r="K843" s="144"/>
      <c r="L843" s="144"/>
    </row>
    <row r="844" spans="3:12" x14ac:dyDescent="0.25">
      <c r="C844" s="180"/>
      <c r="D844" s="180"/>
      <c r="J844" s="144"/>
      <c r="K844" s="144"/>
      <c r="L844" s="144"/>
    </row>
    <row r="845" spans="3:12" x14ac:dyDescent="0.25">
      <c r="C845" s="180"/>
      <c r="D845" s="180"/>
      <c r="J845" s="144"/>
      <c r="K845" s="144"/>
      <c r="L845" s="144"/>
    </row>
    <row r="846" spans="3:12" x14ac:dyDescent="0.25">
      <c r="C846" s="180"/>
      <c r="D846" s="180"/>
      <c r="J846" s="144"/>
      <c r="K846" s="144"/>
      <c r="L846" s="144"/>
    </row>
    <row r="847" spans="3:12" x14ac:dyDescent="0.25">
      <c r="C847" s="180"/>
      <c r="D847" s="180"/>
      <c r="J847" s="144"/>
      <c r="K847" s="144"/>
      <c r="L847" s="144"/>
    </row>
    <row r="848" spans="3:12" x14ac:dyDescent="0.25">
      <c r="C848" s="180"/>
      <c r="D848" s="180"/>
      <c r="J848" s="144"/>
      <c r="K848" s="144"/>
      <c r="L848" s="144"/>
    </row>
    <row r="849" spans="3:12" x14ac:dyDescent="0.25">
      <c r="C849" s="180"/>
      <c r="D849" s="180"/>
      <c r="J849" s="144"/>
      <c r="K849" s="144"/>
      <c r="L849" s="144"/>
    </row>
    <row r="850" spans="3:12" x14ac:dyDescent="0.25">
      <c r="C850" s="180"/>
      <c r="D850" s="180"/>
      <c r="J850" s="144"/>
      <c r="K850" s="144"/>
      <c r="L850" s="144"/>
    </row>
    <row r="851" spans="3:12" x14ac:dyDescent="0.25">
      <c r="C851" s="180"/>
      <c r="D851" s="180"/>
      <c r="J851" s="144"/>
      <c r="K851" s="144"/>
      <c r="L851" s="144"/>
    </row>
    <row r="852" spans="3:12" x14ac:dyDescent="0.25">
      <c r="C852" s="180"/>
      <c r="D852" s="180"/>
      <c r="J852" s="144"/>
      <c r="K852" s="144"/>
      <c r="L852" s="144"/>
    </row>
    <row r="853" spans="3:12" x14ac:dyDescent="0.25">
      <c r="C853" s="180"/>
      <c r="D853" s="180"/>
      <c r="J853" s="144"/>
      <c r="K853" s="144"/>
      <c r="L853" s="144"/>
    </row>
    <row r="854" spans="3:12" x14ac:dyDescent="0.25">
      <c r="C854" s="180"/>
      <c r="D854" s="180"/>
      <c r="J854" s="144"/>
      <c r="K854" s="144"/>
      <c r="L854" s="144"/>
    </row>
    <row r="855" spans="3:12" x14ac:dyDescent="0.25">
      <c r="C855" s="180"/>
      <c r="D855" s="180"/>
      <c r="J855" s="144"/>
      <c r="K855" s="144"/>
      <c r="L855" s="144"/>
    </row>
    <row r="856" spans="3:12" x14ac:dyDescent="0.25">
      <c r="C856" s="180"/>
      <c r="D856" s="180"/>
      <c r="J856" s="144"/>
      <c r="K856" s="144"/>
      <c r="L856" s="144"/>
    </row>
    <row r="857" spans="3:12" x14ac:dyDescent="0.25">
      <c r="C857" s="180"/>
      <c r="D857" s="180"/>
      <c r="J857" s="144"/>
      <c r="K857" s="144"/>
      <c r="L857" s="144"/>
    </row>
    <row r="858" spans="3:12" x14ac:dyDescent="0.25">
      <c r="C858" s="180"/>
      <c r="D858" s="180"/>
      <c r="J858" s="144"/>
      <c r="K858" s="144"/>
      <c r="L858" s="144"/>
    </row>
    <row r="859" spans="3:12" x14ac:dyDescent="0.25">
      <c r="C859" s="180"/>
      <c r="D859" s="180"/>
      <c r="J859" s="144"/>
      <c r="K859" s="144"/>
      <c r="L859" s="144"/>
    </row>
    <row r="860" spans="3:12" x14ac:dyDescent="0.25">
      <c r="C860" s="180"/>
      <c r="D860" s="180"/>
      <c r="J860" s="144"/>
      <c r="K860" s="144"/>
      <c r="L860" s="144"/>
    </row>
    <row r="861" spans="3:12" x14ac:dyDescent="0.25">
      <c r="C861" s="180"/>
      <c r="D861" s="180"/>
      <c r="J861" s="144"/>
      <c r="K861" s="144"/>
      <c r="L861" s="144"/>
    </row>
    <row r="862" spans="3:12" x14ac:dyDescent="0.25">
      <c r="C862" s="180"/>
      <c r="D862" s="180"/>
      <c r="J862" s="144"/>
      <c r="K862" s="144"/>
      <c r="L862" s="144"/>
    </row>
    <row r="863" spans="3:12" x14ac:dyDescent="0.25">
      <c r="C863" s="180"/>
      <c r="D863" s="180"/>
      <c r="J863" s="144"/>
      <c r="K863" s="144"/>
      <c r="L863" s="144"/>
    </row>
    <row r="864" spans="3:12" x14ac:dyDescent="0.25">
      <c r="C864" s="180"/>
      <c r="D864" s="180"/>
      <c r="J864" s="144"/>
      <c r="K864" s="144"/>
      <c r="L864" s="144"/>
    </row>
    <row r="865" spans="3:12" x14ac:dyDescent="0.25">
      <c r="C865" s="180"/>
      <c r="D865" s="180"/>
      <c r="J865" s="144"/>
      <c r="K865" s="144"/>
      <c r="L865" s="144"/>
    </row>
    <row r="866" spans="3:12" x14ac:dyDescent="0.25">
      <c r="C866" s="180"/>
      <c r="D866" s="180"/>
      <c r="J866" s="144"/>
      <c r="K866" s="144"/>
      <c r="L866" s="144"/>
    </row>
    <row r="867" spans="3:12" x14ac:dyDescent="0.25">
      <c r="C867" s="180"/>
      <c r="D867" s="180"/>
      <c r="J867" s="144"/>
      <c r="K867" s="144"/>
      <c r="L867" s="144"/>
    </row>
    <row r="868" spans="3:12" x14ac:dyDescent="0.25">
      <c r="C868" s="180"/>
      <c r="D868" s="180"/>
      <c r="J868" s="144"/>
      <c r="K868" s="144"/>
      <c r="L868" s="144"/>
    </row>
    <row r="869" spans="3:12" x14ac:dyDescent="0.25">
      <c r="C869" s="180"/>
      <c r="D869" s="180"/>
      <c r="J869" s="144"/>
      <c r="K869" s="144"/>
      <c r="L869" s="144"/>
    </row>
    <row r="870" spans="3:12" x14ac:dyDescent="0.25">
      <c r="C870" s="180"/>
      <c r="D870" s="180"/>
      <c r="J870" s="144"/>
      <c r="K870" s="144"/>
      <c r="L870" s="144"/>
    </row>
    <row r="871" spans="3:12" x14ac:dyDescent="0.25">
      <c r="C871" s="180"/>
      <c r="D871" s="180"/>
      <c r="J871" s="144"/>
      <c r="K871" s="144"/>
      <c r="L871" s="144"/>
    </row>
    <row r="872" spans="3:12" x14ac:dyDescent="0.25">
      <c r="C872" s="180"/>
      <c r="D872" s="180"/>
      <c r="J872" s="144"/>
      <c r="K872" s="144"/>
      <c r="L872" s="144"/>
    </row>
    <row r="873" spans="3:12" x14ac:dyDescent="0.25">
      <c r="C873" s="180"/>
      <c r="D873" s="180"/>
      <c r="J873" s="144"/>
      <c r="K873" s="144"/>
      <c r="L873" s="144"/>
    </row>
    <row r="874" spans="3:12" x14ac:dyDescent="0.25">
      <c r="C874" s="180"/>
      <c r="D874" s="180"/>
      <c r="J874" s="144"/>
      <c r="K874" s="144"/>
      <c r="L874" s="144"/>
    </row>
    <row r="875" spans="3:12" x14ac:dyDescent="0.25">
      <c r="C875" s="180"/>
      <c r="D875" s="180"/>
      <c r="J875" s="144"/>
      <c r="K875" s="144"/>
      <c r="L875" s="144"/>
    </row>
    <row r="876" spans="3:12" x14ac:dyDescent="0.25">
      <c r="C876" s="180"/>
      <c r="D876" s="180"/>
      <c r="J876" s="144"/>
      <c r="K876" s="144"/>
      <c r="L876" s="144"/>
    </row>
    <row r="877" spans="3:12" x14ac:dyDescent="0.25">
      <c r="C877" s="180"/>
      <c r="D877" s="180"/>
      <c r="J877" s="144"/>
      <c r="K877" s="144"/>
      <c r="L877" s="144"/>
    </row>
    <row r="878" spans="3:12" x14ac:dyDescent="0.25">
      <c r="C878" s="180"/>
      <c r="D878" s="180"/>
      <c r="J878" s="144"/>
      <c r="K878" s="144"/>
      <c r="L878" s="144"/>
    </row>
    <row r="879" spans="3:12" x14ac:dyDescent="0.25">
      <c r="C879" s="180"/>
      <c r="D879" s="180"/>
      <c r="J879" s="144"/>
      <c r="K879" s="144"/>
      <c r="L879" s="144"/>
    </row>
    <row r="880" spans="3:12" x14ac:dyDescent="0.25">
      <c r="C880" s="180"/>
      <c r="D880" s="180"/>
      <c r="J880" s="144"/>
      <c r="K880" s="144"/>
      <c r="L880" s="144"/>
    </row>
    <row r="881" spans="3:12" x14ac:dyDescent="0.25">
      <c r="C881" s="180"/>
      <c r="D881" s="180"/>
      <c r="J881" s="144"/>
      <c r="K881" s="144"/>
      <c r="L881" s="144"/>
    </row>
    <row r="882" spans="3:12" x14ac:dyDescent="0.25">
      <c r="C882" s="180"/>
      <c r="D882" s="180"/>
      <c r="J882" s="144"/>
      <c r="K882" s="144"/>
      <c r="L882" s="144"/>
    </row>
    <row r="883" spans="3:12" x14ac:dyDescent="0.25">
      <c r="C883" s="180"/>
      <c r="D883" s="180"/>
      <c r="J883" s="144"/>
      <c r="K883" s="144"/>
      <c r="L883" s="144"/>
    </row>
    <row r="884" spans="3:12" x14ac:dyDescent="0.25">
      <c r="C884" s="180"/>
      <c r="D884" s="180"/>
      <c r="J884" s="144"/>
      <c r="K884" s="144"/>
      <c r="L884" s="144"/>
    </row>
    <row r="885" spans="3:12" x14ac:dyDescent="0.25">
      <c r="C885" s="180"/>
      <c r="D885" s="180"/>
      <c r="J885" s="144"/>
      <c r="K885" s="144"/>
      <c r="L885" s="144"/>
    </row>
    <row r="886" spans="3:12" x14ac:dyDescent="0.25">
      <c r="C886" s="180"/>
      <c r="D886" s="180"/>
      <c r="J886" s="144"/>
      <c r="K886" s="144"/>
      <c r="L886" s="144"/>
    </row>
    <row r="887" spans="3:12" x14ac:dyDescent="0.25">
      <c r="C887" s="180"/>
      <c r="D887" s="180"/>
      <c r="J887" s="144"/>
      <c r="K887" s="144"/>
      <c r="L887" s="144"/>
    </row>
    <row r="888" spans="3:12" x14ac:dyDescent="0.25">
      <c r="C888" s="180"/>
      <c r="D888" s="180"/>
      <c r="J888" s="144"/>
      <c r="K888" s="144"/>
      <c r="L888" s="144"/>
    </row>
    <row r="889" spans="3:12" x14ac:dyDescent="0.25">
      <c r="C889" s="180"/>
      <c r="D889" s="180"/>
      <c r="J889" s="144"/>
      <c r="K889" s="144"/>
      <c r="L889" s="144"/>
    </row>
    <row r="890" spans="3:12" x14ac:dyDescent="0.25">
      <c r="C890" s="180"/>
      <c r="D890" s="180"/>
      <c r="J890" s="144"/>
      <c r="K890" s="144"/>
      <c r="L890" s="144"/>
    </row>
    <row r="891" spans="3:12" x14ac:dyDescent="0.25">
      <c r="C891" s="180"/>
      <c r="D891" s="180"/>
      <c r="J891" s="144"/>
      <c r="K891" s="144"/>
      <c r="L891" s="144"/>
    </row>
    <row r="892" spans="3:12" x14ac:dyDescent="0.25">
      <c r="C892" s="180"/>
      <c r="D892" s="180"/>
      <c r="J892" s="144"/>
      <c r="K892" s="144"/>
      <c r="L892" s="144"/>
    </row>
    <row r="893" spans="3:12" x14ac:dyDescent="0.25">
      <c r="C893" s="180"/>
      <c r="D893" s="180"/>
      <c r="J893" s="144"/>
      <c r="K893" s="144"/>
      <c r="L893" s="144"/>
    </row>
    <row r="894" spans="3:12" x14ac:dyDescent="0.25">
      <c r="C894" s="180"/>
      <c r="D894" s="180"/>
      <c r="J894" s="144"/>
      <c r="K894" s="144"/>
      <c r="L894" s="144"/>
    </row>
    <row r="895" spans="3:12" x14ac:dyDescent="0.25">
      <c r="C895" s="180"/>
      <c r="D895" s="180"/>
      <c r="J895" s="144"/>
      <c r="K895" s="144"/>
      <c r="L895" s="144"/>
    </row>
    <row r="896" spans="3:12" x14ac:dyDescent="0.25">
      <c r="C896" s="180"/>
      <c r="D896" s="180"/>
      <c r="J896" s="144"/>
      <c r="K896" s="144"/>
      <c r="L896" s="144"/>
    </row>
    <row r="897" spans="3:12" x14ac:dyDescent="0.25">
      <c r="C897" s="180"/>
      <c r="D897" s="180"/>
      <c r="J897" s="144"/>
      <c r="K897" s="144"/>
      <c r="L897" s="144"/>
    </row>
    <row r="898" spans="3:12" x14ac:dyDescent="0.25">
      <c r="C898" s="180"/>
      <c r="D898" s="180"/>
      <c r="J898" s="144"/>
      <c r="K898" s="144"/>
      <c r="L898" s="144"/>
    </row>
    <row r="899" spans="3:12" x14ac:dyDescent="0.25">
      <c r="C899" s="180"/>
      <c r="D899" s="180"/>
      <c r="J899" s="144"/>
      <c r="K899" s="144"/>
      <c r="L899" s="144"/>
    </row>
    <row r="900" spans="3:12" x14ac:dyDescent="0.25">
      <c r="C900" s="180"/>
      <c r="D900" s="180"/>
      <c r="J900" s="144"/>
      <c r="K900" s="144"/>
      <c r="L900" s="144"/>
    </row>
    <row r="901" spans="3:12" x14ac:dyDescent="0.25">
      <c r="C901" s="180"/>
      <c r="D901" s="180"/>
      <c r="J901" s="144"/>
      <c r="K901" s="144"/>
      <c r="L901" s="144"/>
    </row>
    <row r="902" spans="3:12" x14ac:dyDescent="0.25">
      <c r="C902" s="180"/>
      <c r="D902" s="180"/>
      <c r="J902" s="144"/>
      <c r="K902" s="144"/>
      <c r="L902" s="144"/>
    </row>
    <row r="903" spans="3:12" x14ac:dyDescent="0.25">
      <c r="C903" s="180"/>
      <c r="D903" s="180"/>
      <c r="J903" s="144"/>
      <c r="K903" s="144"/>
      <c r="L903" s="144"/>
    </row>
    <row r="904" spans="3:12" x14ac:dyDescent="0.25">
      <c r="C904" s="180"/>
      <c r="D904" s="180"/>
      <c r="J904" s="144"/>
      <c r="K904" s="144"/>
      <c r="L904" s="144"/>
    </row>
    <row r="905" spans="3:12" x14ac:dyDescent="0.25">
      <c r="C905" s="180"/>
      <c r="D905" s="180"/>
      <c r="J905" s="144"/>
      <c r="K905" s="144"/>
      <c r="L905" s="144"/>
    </row>
    <row r="906" spans="3:12" x14ac:dyDescent="0.25">
      <c r="C906" s="180"/>
      <c r="D906" s="180"/>
      <c r="J906" s="144"/>
      <c r="K906" s="144"/>
      <c r="L906" s="144"/>
    </row>
    <row r="907" spans="3:12" x14ac:dyDescent="0.25">
      <c r="C907" s="180"/>
      <c r="D907" s="180"/>
      <c r="J907" s="144"/>
      <c r="K907" s="144"/>
      <c r="L907" s="144"/>
    </row>
    <row r="908" spans="3:12" x14ac:dyDescent="0.25">
      <c r="C908" s="180"/>
      <c r="D908" s="180"/>
      <c r="J908" s="144"/>
      <c r="K908" s="144"/>
      <c r="L908" s="144"/>
    </row>
    <row r="909" spans="3:12" x14ac:dyDescent="0.25">
      <c r="C909" s="180"/>
      <c r="D909" s="180"/>
      <c r="J909" s="144"/>
      <c r="K909" s="144"/>
      <c r="L909" s="144"/>
    </row>
    <row r="910" spans="3:12" x14ac:dyDescent="0.25">
      <c r="C910" s="180"/>
      <c r="D910" s="180"/>
      <c r="J910" s="144"/>
      <c r="K910" s="144"/>
      <c r="L910" s="144"/>
    </row>
    <row r="911" spans="3:12" x14ac:dyDescent="0.25">
      <c r="C911" s="180"/>
      <c r="D911" s="180"/>
      <c r="J911" s="144"/>
      <c r="K911" s="144"/>
      <c r="L911" s="144"/>
    </row>
    <row r="912" spans="3:12" x14ac:dyDescent="0.25">
      <c r="C912" s="180"/>
      <c r="D912" s="180"/>
      <c r="J912" s="144"/>
      <c r="K912" s="144"/>
      <c r="L912" s="144"/>
    </row>
    <row r="913" spans="3:12" x14ac:dyDescent="0.25">
      <c r="C913" s="180"/>
      <c r="D913" s="180"/>
      <c r="J913" s="144"/>
      <c r="K913" s="144"/>
      <c r="L913" s="144"/>
    </row>
    <row r="914" spans="3:12" x14ac:dyDescent="0.25">
      <c r="C914" s="180"/>
      <c r="D914" s="180"/>
      <c r="J914" s="144"/>
      <c r="K914" s="144"/>
      <c r="L914" s="144"/>
    </row>
    <row r="915" spans="3:12" x14ac:dyDescent="0.25">
      <c r="C915" s="180"/>
      <c r="D915" s="180"/>
      <c r="J915" s="144"/>
      <c r="K915" s="144"/>
      <c r="L915" s="144"/>
    </row>
    <row r="916" spans="3:12" x14ac:dyDescent="0.25">
      <c r="C916" s="180"/>
      <c r="D916" s="180"/>
      <c r="J916" s="144"/>
      <c r="K916" s="144"/>
      <c r="L916" s="144"/>
    </row>
    <row r="917" spans="3:12" x14ac:dyDescent="0.25">
      <c r="C917" s="180"/>
      <c r="D917" s="180"/>
      <c r="J917" s="144"/>
      <c r="K917" s="144"/>
      <c r="L917" s="144"/>
    </row>
    <row r="918" spans="3:12" x14ac:dyDescent="0.25">
      <c r="C918" s="180"/>
      <c r="D918" s="180"/>
      <c r="J918" s="144"/>
      <c r="K918" s="144"/>
      <c r="L918" s="144"/>
    </row>
    <row r="919" spans="3:12" x14ac:dyDescent="0.25">
      <c r="C919" s="180"/>
      <c r="D919" s="180"/>
      <c r="J919" s="144"/>
      <c r="K919" s="144"/>
      <c r="L919" s="144"/>
    </row>
    <row r="920" spans="3:12" x14ac:dyDescent="0.25">
      <c r="C920" s="180"/>
      <c r="D920" s="180"/>
      <c r="J920" s="144"/>
      <c r="K920" s="144"/>
      <c r="L920" s="144"/>
    </row>
    <row r="921" spans="3:12" x14ac:dyDescent="0.25">
      <c r="C921" s="180"/>
      <c r="D921" s="180"/>
      <c r="J921" s="144"/>
      <c r="K921" s="144"/>
      <c r="L921" s="144"/>
    </row>
    <row r="922" spans="3:12" x14ac:dyDescent="0.25">
      <c r="C922" s="180"/>
      <c r="D922" s="180"/>
      <c r="J922" s="144"/>
      <c r="K922" s="144"/>
      <c r="L922" s="144"/>
    </row>
    <row r="923" spans="3:12" x14ac:dyDescent="0.25">
      <c r="C923" s="180"/>
      <c r="D923" s="180"/>
      <c r="J923" s="144"/>
      <c r="K923" s="144"/>
      <c r="L923" s="144"/>
    </row>
    <row r="924" spans="3:12" x14ac:dyDescent="0.25">
      <c r="C924" s="180"/>
      <c r="D924" s="180"/>
      <c r="J924" s="144"/>
      <c r="K924" s="144"/>
      <c r="L924" s="144"/>
    </row>
    <row r="925" spans="3:12" x14ac:dyDescent="0.25">
      <c r="C925" s="180"/>
      <c r="D925" s="180"/>
      <c r="J925" s="144"/>
      <c r="K925" s="144"/>
      <c r="L925" s="144"/>
    </row>
    <row r="926" spans="3:12" x14ac:dyDescent="0.25">
      <c r="C926" s="180"/>
      <c r="D926" s="180"/>
      <c r="J926" s="144"/>
      <c r="K926" s="144"/>
      <c r="L926" s="144"/>
    </row>
    <row r="927" spans="3:12" x14ac:dyDescent="0.25">
      <c r="C927" s="180"/>
      <c r="D927" s="180"/>
      <c r="J927" s="144"/>
      <c r="K927" s="144"/>
      <c r="L927" s="144"/>
    </row>
    <row r="928" spans="3:12" x14ac:dyDescent="0.25">
      <c r="C928" s="180"/>
      <c r="D928" s="180"/>
      <c r="J928" s="144"/>
      <c r="K928" s="144"/>
      <c r="L928" s="144"/>
    </row>
    <row r="929" spans="3:12" x14ac:dyDescent="0.25">
      <c r="C929" s="180"/>
      <c r="D929" s="180"/>
      <c r="J929" s="144"/>
      <c r="K929" s="144"/>
      <c r="L929" s="144"/>
    </row>
    <row r="930" spans="3:12" x14ac:dyDescent="0.25">
      <c r="C930" s="180"/>
      <c r="D930" s="180"/>
      <c r="J930" s="144"/>
      <c r="K930" s="144"/>
      <c r="L930" s="144"/>
    </row>
    <row r="931" spans="3:12" x14ac:dyDescent="0.25">
      <c r="C931" s="180"/>
      <c r="D931" s="180"/>
      <c r="J931" s="144"/>
      <c r="K931" s="144"/>
      <c r="L931" s="144"/>
    </row>
    <row r="932" spans="3:12" x14ac:dyDescent="0.25">
      <c r="C932" s="180"/>
      <c r="D932" s="180"/>
      <c r="J932" s="144"/>
      <c r="K932" s="144"/>
      <c r="L932" s="144"/>
    </row>
    <row r="933" spans="3:12" x14ac:dyDescent="0.25">
      <c r="C933" s="180"/>
      <c r="D933" s="180"/>
      <c r="J933" s="144"/>
      <c r="K933" s="144"/>
      <c r="L933" s="144"/>
    </row>
    <row r="934" spans="3:12" x14ac:dyDescent="0.25">
      <c r="C934" s="180"/>
      <c r="D934" s="180"/>
      <c r="J934" s="144"/>
      <c r="K934" s="144"/>
      <c r="L934" s="144"/>
    </row>
    <row r="935" spans="3:12" x14ac:dyDescent="0.25">
      <c r="C935" s="180"/>
      <c r="D935" s="180"/>
      <c r="J935" s="144"/>
      <c r="K935" s="144"/>
      <c r="L935" s="144"/>
    </row>
    <row r="936" spans="3:12" x14ac:dyDescent="0.25">
      <c r="C936" s="180"/>
      <c r="D936" s="180"/>
      <c r="J936" s="144"/>
      <c r="K936" s="144"/>
      <c r="L936" s="144"/>
    </row>
    <row r="937" spans="3:12" x14ac:dyDescent="0.25">
      <c r="C937" s="180"/>
      <c r="D937" s="180"/>
      <c r="J937" s="144"/>
      <c r="K937" s="144"/>
      <c r="L937" s="144"/>
    </row>
    <row r="938" spans="3:12" x14ac:dyDescent="0.25">
      <c r="C938" s="180"/>
      <c r="D938" s="180"/>
      <c r="J938" s="144"/>
      <c r="K938" s="144"/>
      <c r="L938" s="144"/>
    </row>
    <row r="939" spans="3:12" x14ac:dyDescent="0.25">
      <c r="C939" s="180"/>
      <c r="D939" s="180"/>
      <c r="J939" s="144"/>
      <c r="K939" s="144"/>
      <c r="L939" s="144"/>
    </row>
    <row r="940" spans="3:12" x14ac:dyDescent="0.25">
      <c r="C940" s="180"/>
      <c r="D940" s="180"/>
      <c r="J940" s="144"/>
      <c r="K940" s="144"/>
      <c r="L940" s="144"/>
    </row>
    <row r="941" spans="3:12" x14ac:dyDescent="0.25">
      <c r="C941" s="180"/>
      <c r="D941" s="180"/>
      <c r="J941" s="144"/>
      <c r="K941" s="144"/>
      <c r="L941" s="144"/>
    </row>
    <row r="942" spans="3:12" x14ac:dyDescent="0.25">
      <c r="C942" s="180"/>
      <c r="D942" s="180"/>
      <c r="J942" s="144"/>
      <c r="K942" s="144"/>
      <c r="L942" s="144"/>
    </row>
    <row r="943" spans="3:12" x14ac:dyDescent="0.25">
      <c r="C943" s="180"/>
      <c r="D943" s="180"/>
      <c r="J943" s="144"/>
      <c r="K943" s="144"/>
      <c r="L943" s="144"/>
    </row>
    <row r="944" spans="3:12" x14ac:dyDescent="0.25">
      <c r="C944" s="180"/>
      <c r="D944" s="180"/>
      <c r="J944" s="144"/>
      <c r="K944" s="144"/>
      <c r="L944" s="144"/>
    </row>
    <row r="945" spans="3:12" x14ac:dyDescent="0.25">
      <c r="C945" s="180"/>
      <c r="D945" s="180"/>
      <c r="J945" s="144"/>
      <c r="K945" s="144"/>
      <c r="L945" s="144"/>
    </row>
    <row r="946" spans="3:12" x14ac:dyDescent="0.25">
      <c r="C946" s="180"/>
      <c r="D946" s="180"/>
      <c r="J946" s="144"/>
      <c r="K946" s="144"/>
      <c r="L946" s="144"/>
    </row>
    <row r="947" spans="3:12" x14ac:dyDescent="0.25">
      <c r="C947" s="180"/>
      <c r="D947" s="180"/>
      <c r="J947" s="144"/>
      <c r="K947" s="144"/>
      <c r="L947" s="144"/>
    </row>
    <row r="948" spans="3:12" x14ac:dyDescent="0.25">
      <c r="C948" s="180"/>
      <c r="D948" s="180"/>
      <c r="J948" s="144"/>
      <c r="K948" s="144"/>
      <c r="L948" s="144"/>
    </row>
    <row r="949" spans="3:12" x14ac:dyDescent="0.25">
      <c r="C949" s="180"/>
      <c r="D949" s="180"/>
      <c r="J949" s="144"/>
      <c r="K949" s="144"/>
      <c r="L949" s="144"/>
    </row>
    <row r="950" spans="3:12" x14ac:dyDescent="0.25">
      <c r="C950" s="180"/>
      <c r="D950" s="180"/>
      <c r="J950" s="144"/>
      <c r="K950" s="144"/>
      <c r="L950" s="144"/>
    </row>
    <row r="951" spans="3:12" x14ac:dyDescent="0.25">
      <c r="C951" s="180"/>
      <c r="D951" s="180"/>
      <c r="J951" s="144"/>
      <c r="K951" s="144"/>
      <c r="L951" s="144"/>
    </row>
    <row r="952" spans="3:12" x14ac:dyDescent="0.25">
      <c r="C952" s="180"/>
      <c r="D952" s="180"/>
      <c r="J952" s="144"/>
      <c r="K952" s="144"/>
      <c r="L952" s="144"/>
    </row>
    <row r="953" spans="3:12" x14ac:dyDescent="0.25">
      <c r="C953" s="180"/>
      <c r="D953" s="180"/>
      <c r="J953" s="144"/>
      <c r="K953" s="144"/>
      <c r="L953" s="144"/>
    </row>
    <row r="954" spans="3:12" x14ac:dyDescent="0.25">
      <c r="C954" s="180"/>
      <c r="D954" s="180"/>
      <c r="J954" s="144"/>
      <c r="K954" s="144"/>
      <c r="L954" s="144"/>
    </row>
    <row r="955" spans="3:12" x14ac:dyDescent="0.25">
      <c r="C955" s="180"/>
      <c r="D955" s="180"/>
      <c r="J955" s="144"/>
      <c r="K955" s="144"/>
      <c r="L955" s="144"/>
    </row>
    <row r="956" spans="3:12" x14ac:dyDescent="0.25">
      <c r="C956" s="180"/>
      <c r="D956" s="180"/>
      <c r="J956" s="144"/>
      <c r="K956" s="144"/>
      <c r="L956" s="144"/>
    </row>
    <row r="957" spans="3:12" x14ac:dyDescent="0.25">
      <c r="C957" s="180"/>
      <c r="D957" s="180"/>
      <c r="J957" s="144"/>
      <c r="K957" s="144"/>
      <c r="L957" s="144"/>
    </row>
    <row r="958" spans="3:12" x14ac:dyDescent="0.25">
      <c r="C958" s="180"/>
      <c r="D958" s="180"/>
      <c r="J958" s="144"/>
      <c r="K958" s="144"/>
      <c r="L958" s="144"/>
    </row>
    <row r="959" spans="3:12" x14ac:dyDescent="0.25">
      <c r="C959" s="180"/>
      <c r="D959" s="180"/>
      <c r="J959" s="144"/>
      <c r="K959" s="144"/>
      <c r="L959" s="144"/>
    </row>
    <row r="960" spans="3:12" x14ac:dyDescent="0.25">
      <c r="C960" s="180"/>
      <c r="D960" s="180"/>
      <c r="J960" s="144"/>
      <c r="K960" s="144"/>
      <c r="L960" s="144"/>
    </row>
    <row r="961" spans="3:12" x14ac:dyDescent="0.25">
      <c r="C961" s="180"/>
      <c r="D961" s="180"/>
      <c r="J961" s="144"/>
      <c r="K961" s="144"/>
      <c r="L961" s="144"/>
    </row>
    <row r="962" spans="3:12" x14ac:dyDescent="0.25">
      <c r="C962" s="180"/>
      <c r="D962" s="180"/>
      <c r="J962" s="144"/>
      <c r="K962" s="144"/>
      <c r="L962" s="144"/>
    </row>
    <row r="963" spans="3:12" x14ac:dyDescent="0.25">
      <c r="C963" s="180"/>
      <c r="D963" s="180"/>
      <c r="J963" s="144"/>
      <c r="K963" s="144"/>
      <c r="L963" s="144"/>
    </row>
    <row r="964" spans="3:12" x14ac:dyDescent="0.25">
      <c r="C964" s="180"/>
      <c r="D964" s="180"/>
      <c r="J964" s="144"/>
      <c r="K964" s="144"/>
      <c r="L964" s="144"/>
    </row>
    <row r="965" spans="3:12" x14ac:dyDescent="0.25">
      <c r="C965" s="180"/>
      <c r="D965" s="180"/>
      <c r="J965" s="144"/>
      <c r="K965" s="144"/>
      <c r="L965" s="144"/>
    </row>
    <row r="966" spans="3:12" x14ac:dyDescent="0.25">
      <c r="C966" s="180"/>
      <c r="D966" s="180"/>
      <c r="J966" s="144"/>
      <c r="K966" s="144"/>
      <c r="L966" s="144"/>
    </row>
    <row r="967" spans="3:12" x14ac:dyDescent="0.25">
      <c r="C967" s="180"/>
      <c r="D967" s="180"/>
      <c r="J967" s="144"/>
      <c r="K967" s="144"/>
      <c r="L967" s="144"/>
    </row>
    <row r="968" spans="3:12" x14ac:dyDescent="0.25">
      <c r="C968" s="180"/>
      <c r="D968" s="180"/>
      <c r="J968" s="144"/>
      <c r="K968" s="144"/>
      <c r="L968" s="144"/>
    </row>
    <row r="969" spans="3:12" x14ac:dyDescent="0.25">
      <c r="C969" s="180"/>
      <c r="D969" s="180"/>
      <c r="J969" s="144"/>
      <c r="K969" s="144"/>
      <c r="L969" s="144"/>
    </row>
    <row r="970" spans="3:12" x14ac:dyDescent="0.25">
      <c r="C970" s="180"/>
      <c r="D970" s="180"/>
      <c r="J970" s="144"/>
      <c r="K970" s="144"/>
      <c r="L970" s="144"/>
    </row>
    <row r="971" spans="3:12" x14ac:dyDescent="0.25">
      <c r="C971" s="180"/>
      <c r="D971" s="180"/>
      <c r="J971" s="144"/>
      <c r="K971" s="144"/>
      <c r="L971" s="144"/>
    </row>
    <row r="972" spans="3:12" x14ac:dyDescent="0.25">
      <c r="C972" s="180"/>
      <c r="D972" s="180"/>
      <c r="J972" s="144"/>
      <c r="K972" s="144"/>
      <c r="L972" s="144"/>
    </row>
    <row r="973" spans="3:12" x14ac:dyDescent="0.25">
      <c r="C973" s="180"/>
      <c r="D973" s="180"/>
      <c r="J973" s="144"/>
      <c r="K973" s="144"/>
      <c r="L973" s="144"/>
    </row>
    <row r="974" spans="3:12" x14ac:dyDescent="0.25">
      <c r="C974" s="180"/>
      <c r="D974" s="180"/>
      <c r="J974" s="144"/>
      <c r="K974" s="144"/>
      <c r="L974" s="144"/>
    </row>
    <row r="975" spans="3:12" x14ac:dyDescent="0.25">
      <c r="C975" s="180"/>
      <c r="D975" s="180"/>
      <c r="J975" s="144"/>
      <c r="K975" s="144"/>
      <c r="L975" s="144"/>
    </row>
    <row r="976" spans="3:12" x14ac:dyDescent="0.25">
      <c r="C976" s="180"/>
      <c r="D976" s="180"/>
      <c r="J976" s="144"/>
      <c r="K976" s="144"/>
      <c r="L976" s="144"/>
    </row>
    <row r="977" spans="3:12" x14ac:dyDescent="0.25">
      <c r="C977" s="180"/>
      <c r="D977" s="180"/>
      <c r="J977" s="144"/>
      <c r="K977" s="144"/>
      <c r="L977" s="144"/>
    </row>
    <row r="978" spans="3:12" x14ac:dyDescent="0.25">
      <c r="C978" s="180"/>
      <c r="D978" s="180"/>
      <c r="J978" s="144"/>
      <c r="K978" s="144"/>
      <c r="L978" s="144"/>
    </row>
    <row r="979" spans="3:12" x14ac:dyDescent="0.25">
      <c r="C979" s="180"/>
      <c r="D979" s="180"/>
      <c r="J979" s="144"/>
      <c r="K979" s="144"/>
      <c r="L979" s="144"/>
    </row>
    <row r="980" spans="3:12" x14ac:dyDescent="0.25">
      <c r="C980" s="180"/>
      <c r="D980" s="180"/>
      <c r="J980" s="144"/>
      <c r="K980" s="144"/>
      <c r="L980" s="144"/>
    </row>
    <row r="981" spans="3:12" x14ac:dyDescent="0.25">
      <c r="C981" s="180"/>
      <c r="D981" s="180"/>
      <c r="J981" s="144"/>
      <c r="K981" s="144"/>
      <c r="L981" s="144"/>
    </row>
    <row r="982" spans="3:12" x14ac:dyDescent="0.25">
      <c r="C982" s="180"/>
      <c r="D982" s="180"/>
      <c r="J982" s="144"/>
      <c r="K982" s="144"/>
      <c r="L982" s="144"/>
    </row>
    <row r="983" spans="3:12" x14ac:dyDescent="0.25">
      <c r="C983" s="180"/>
      <c r="D983" s="180"/>
      <c r="J983" s="144"/>
      <c r="K983" s="144"/>
      <c r="L983" s="144"/>
    </row>
    <row r="984" spans="3:12" x14ac:dyDescent="0.25">
      <c r="C984" s="180"/>
      <c r="D984" s="180"/>
      <c r="J984" s="144"/>
      <c r="K984" s="144"/>
      <c r="L984" s="144"/>
    </row>
    <row r="985" spans="3:12" x14ac:dyDescent="0.25">
      <c r="C985" s="180"/>
      <c r="D985" s="180"/>
      <c r="J985" s="144"/>
      <c r="K985" s="144"/>
      <c r="L985" s="144"/>
    </row>
    <row r="986" spans="3:12" x14ac:dyDescent="0.25">
      <c r="C986" s="180"/>
      <c r="D986" s="180"/>
      <c r="J986" s="144"/>
      <c r="K986" s="144"/>
      <c r="L986" s="144"/>
    </row>
    <row r="987" spans="3:12" x14ac:dyDescent="0.25">
      <c r="C987" s="180"/>
      <c r="D987" s="180"/>
      <c r="J987" s="144"/>
      <c r="K987" s="144"/>
      <c r="L987" s="144"/>
    </row>
    <row r="988" spans="3:12" x14ac:dyDescent="0.25">
      <c r="C988" s="180"/>
      <c r="D988" s="180"/>
      <c r="J988" s="144"/>
      <c r="K988" s="144"/>
      <c r="L988" s="144"/>
    </row>
    <row r="989" spans="3:12" x14ac:dyDescent="0.25">
      <c r="C989" s="180"/>
      <c r="D989" s="180"/>
      <c r="J989" s="144"/>
      <c r="K989" s="144"/>
      <c r="L989" s="144"/>
    </row>
    <row r="990" spans="3:12" x14ac:dyDescent="0.25">
      <c r="C990" s="180"/>
      <c r="D990" s="180"/>
      <c r="J990" s="144"/>
      <c r="K990" s="144"/>
      <c r="L990" s="144"/>
    </row>
    <row r="991" spans="3:12" x14ac:dyDescent="0.25">
      <c r="C991" s="180"/>
      <c r="D991" s="180"/>
      <c r="J991" s="144"/>
      <c r="K991" s="144"/>
      <c r="L991" s="144"/>
    </row>
    <row r="992" spans="3:12" x14ac:dyDescent="0.25">
      <c r="C992" s="180"/>
      <c r="D992" s="180"/>
      <c r="J992" s="144"/>
      <c r="K992" s="144"/>
      <c r="L992" s="144"/>
    </row>
    <row r="993" spans="3:12" x14ac:dyDescent="0.25">
      <c r="C993" s="180"/>
      <c r="D993" s="180"/>
      <c r="J993" s="144"/>
      <c r="K993" s="144"/>
      <c r="L993" s="144"/>
    </row>
    <row r="994" spans="3:12" x14ac:dyDescent="0.25">
      <c r="C994" s="180"/>
      <c r="D994" s="180"/>
      <c r="J994" s="144"/>
      <c r="K994" s="144"/>
      <c r="L994" s="144"/>
    </row>
    <row r="995" spans="3:12" x14ac:dyDescent="0.25">
      <c r="C995" s="180"/>
      <c r="D995" s="180"/>
      <c r="J995" s="144"/>
      <c r="K995" s="144"/>
      <c r="L995" s="144"/>
    </row>
    <row r="996" spans="3:12" x14ac:dyDescent="0.25">
      <c r="C996" s="180"/>
      <c r="D996" s="180"/>
      <c r="J996" s="144"/>
      <c r="K996" s="144"/>
      <c r="L996" s="144"/>
    </row>
    <row r="997" spans="3:12" x14ac:dyDescent="0.25">
      <c r="C997" s="180"/>
      <c r="D997" s="180"/>
      <c r="J997" s="144"/>
      <c r="K997" s="144"/>
      <c r="L997" s="144"/>
    </row>
    <row r="998" spans="3:12" x14ac:dyDescent="0.25">
      <c r="C998" s="180"/>
      <c r="D998" s="180"/>
      <c r="J998" s="144"/>
      <c r="K998" s="144"/>
      <c r="L998" s="144"/>
    </row>
    <row r="999" spans="3:12" x14ac:dyDescent="0.25">
      <c r="C999" s="180"/>
      <c r="D999" s="180"/>
      <c r="J999" s="144"/>
      <c r="K999" s="144"/>
      <c r="L999" s="144"/>
    </row>
    <row r="1000" spans="3:12" x14ac:dyDescent="0.25">
      <c r="C1000" s="180"/>
      <c r="D1000" s="180"/>
      <c r="J1000" s="144"/>
      <c r="K1000" s="144"/>
      <c r="L1000" s="144"/>
    </row>
    <row r="1001" spans="3:12" x14ac:dyDescent="0.25">
      <c r="C1001" s="180"/>
      <c r="D1001" s="180"/>
      <c r="J1001" s="144"/>
      <c r="K1001" s="144"/>
      <c r="L1001" s="144"/>
    </row>
    <row r="1002" spans="3:12" x14ac:dyDescent="0.25">
      <c r="C1002" s="180"/>
      <c r="D1002" s="180"/>
      <c r="J1002" s="144"/>
      <c r="K1002" s="144"/>
      <c r="L1002" s="144"/>
    </row>
    <row r="1003" spans="3:12" x14ac:dyDescent="0.25">
      <c r="C1003" s="180"/>
      <c r="D1003" s="180"/>
      <c r="J1003" s="144"/>
      <c r="K1003" s="144"/>
      <c r="L1003" s="144"/>
    </row>
    <row r="1004" spans="3:12" x14ac:dyDescent="0.25">
      <c r="C1004" s="180"/>
      <c r="D1004" s="180"/>
      <c r="J1004" s="144"/>
      <c r="K1004" s="144"/>
      <c r="L1004" s="144"/>
    </row>
    <row r="1005" spans="3:12" x14ac:dyDescent="0.25">
      <c r="C1005" s="180"/>
      <c r="D1005" s="180"/>
      <c r="J1005" s="144"/>
      <c r="K1005" s="144"/>
      <c r="L1005" s="144"/>
    </row>
    <row r="1006" spans="3:12" x14ac:dyDescent="0.25">
      <c r="C1006" s="180"/>
      <c r="D1006" s="180"/>
      <c r="J1006" s="144"/>
      <c r="K1006" s="144"/>
      <c r="L1006" s="144"/>
    </row>
    <row r="1007" spans="3:12" x14ac:dyDescent="0.25">
      <c r="C1007" s="180"/>
      <c r="D1007" s="180"/>
      <c r="J1007" s="144"/>
      <c r="K1007" s="144"/>
      <c r="L1007" s="144"/>
    </row>
    <row r="1008" spans="3:12" x14ac:dyDescent="0.25">
      <c r="C1008" s="180"/>
      <c r="D1008" s="180"/>
      <c r="J1008" s="144"/>
      <c r="K1008" s="144"/>
      <c r="L1008" s="144"/>
    </row>
    <row r="1009" spans="3:12" x14ac:dyDescent="0.25">
      <c r="C1009" s="180"/>
      <c r="D1009" s="180"/>
      <c r="J1009" s="144"/>
      <c r="K1009" s="144"/>
      <c r="L1009" s="144"/>
    </row>
    <row r="1010" spans="3:12" x14ac:dyDescent="0.25">
      <c r="C1010" s="180"/>
      <c r="D1010" s="180"/>
      <c r="J1010" s="144"/>
      <c r="K1010" s="144"/>
      <c r="L1010" s="144"/>
    </row>
    <row r="1011" spans="3:12" x14ac:dyDescent="0.25">
      <c r="C1011" s="180"/>
      <c r="D1011" s="180"/>
      <c r="J1011" s="144"/>
      <c r="K1011" s="144"/>
      <c r="L1011" s="144"/>
    </row>
    <row r="1012" spans="3:12" x14ac:dyDescent="0.25">
      <c r="C1012" s="180"/>
      <c r="D1012" s="180"/>
      <c r="J1012" s="144"/>
      <c r="K1012" s="144"/>
      <c r="L1012" s="144"/>
    </row>
    <row r="1013" spans="3:12" x14ac:dyDescent="0.25">
      <c r="C1013" s="180"/>
      <c r="D1013" s="180"/>
      <c r="J1013" s="144"/>
      <c r="K1013" s="144"/>
      <c r="L1013" s="144"/>
    </row>
    <row r="1014" spans="3:12" x14ac:dyDescent="0.25">
      <c r="C1014" s="180"/>
      <c r="D1014" s="180"/>
      <c r="J1014" s="144"/>
      <c r="K1014" s="144"/>
      <c r="L1014" s="144"/>
    </row>
    <row r="1015" spans="3:12" x14ac:dyDescent="0.25">
      <c r="C1015" s="180"/>
      <c r="D1015" s="180"/>
      <c r="J1015" s="144"/>
      <c r="K1015" s="144"/>
      <c r="L1015" s="144"/>
    </row>
    <row r="1016" spans="3:12" x14ac:dyDescent="0.25">
      <c r="C1016" s="180"/>
      <c r="D1016" s="180"/>
      <c r="J1016" s="144"/>
      <c r="K1016" s="144"/>
      <c r="L1016" s="144"/>
    </row>
    <row r="1017" spans="3:12" x14ac:dyDescent="0.25">
      <c r="C1017" s="180"/>
      <c r="D1017" s="180"/>
      <c r="J1017" s="144"/>
      <c r="K1017" s="144"/>
      <c r="L1017" s="144"/>
    </row>
    <row r="1018" spans="3:12" x14ac:dyDescent="0.25">
      <c r="C1018" s="180"/>
      <c r="D1018" s="180"/>
      <c r="J1018" s="144"/>
      <c r="K1018" s="144"/>
      <c r="L1018" s="144"/>
    </row>
    <row r="1019" spans="3:12" x14ac:dyDescent="0.25">
      <c r="C1019" s="180"/>
      <c r="D1019" s="180"/>
      <c r="J1019" s="144"/>
      <c r="K1019" s="144"/>
      <c r="L1019" s="144"/>
    </row>
    <row r="1020" spans="3:12" x14ac:dyDescent="0.25">
      <c r="C1020" s="180"/>
      <c r="D1020" s="180"/>
      <c r="J1020" s="144"/>
      <c r="K1020" s="144"/>
      <c r="L1020" s="144"/>
    </row>
    <row r="1021" spans="3:12" x14ac:dyDescent="0.25">
      <c r="C1021" s="180"/>
      <c r="D1021" s="180"/>
      <c r="J1021" s="144"/>
      <c r="K1021" s="144"/>
      <c r="L1021" s="144"/>
    </row>
    <row r="1022" spans="3:12" x14ac:dyDescent="0.25">
      <c r="C1022" s="180"/>
      <c r="D1022" s="180"/>
      <c r="J1022" s="144"/>
      <c r="K1022" s="144"/>
      <c r="L1022" s="144"/>
    </row>
    <row r="1023" spans="3:12" x14ac:dyDescent="0.25">
      <c r="C1023" s="180"/>
      <c r="D1023" s="180"/>
      <c r="J1023" s="144"/>
      <c r="K1023" s="144"/>
      <c r="L1023" s="144"/>
    </row>
    <row r="1024" spans="3:12" x14ac:dyDescent="0.25">
      <c r="C1024" s="180"/>
      <c r="D1024" s="180"/>
      <c r="J1024" s="144"/>
      <c r="K1024" s="144"/>
      <c r="L1024" s="144"/>
    </row>
    <row r="1025" spans="3:12" x14ac:dyDescent="0.25">
      <c r="C1025" s="180"/>
      <c r="D1025" s="180"/>
      <c r="J1025" s="144"/>
      <c r="K1025" s="144"/>
      <c r="L1025" s="144"/>
    </row>
    <row r="1026" spans="3:12" x14ac:dyDescent="0.25">
      <c r="C1026" s="180"/>
      <c r="D1026" s="180"/>
      <c r="J1026" s="144"/>
      <c r="K1026" s="144"/>
      <c r="L1026" s="144"/>
    </row>
    <row r="1027" spans="3:12" x14ac:dyDescent="0.25">
      <c r="C1027" s="180"/>
      <c r="D1027" s="180"/>
      <c r="J1027" s="144"/>
      <c r="K1027" s="144"/>
      <c r="L1027" s="144"/>
    </row>
    <row r="1028" spans="3:12" x14ac:dyDescent="0.25">
      <c r="C1028" s="180"/>
      <c r="D1028" s="180"/>
      <c r="J1028" s="144"/>
      <c r="K1028" s="144"/>
      <c r="L1028" s="144"/>
    </row>
    <row r="1029" spans="3:12" x14ac:dyDescent="0.25">
      <c r="C1029" s="180"/>
      <c r="D1029" s="180"/>
      <c r="J1029" s="144"/>
      <c r="K1029" s="144"/>
      <c r="L1029" s="144"/>
    </row>
    <row r="1030" spans="3:12" x14ac:dyDescent="0.25">
      <c r="C1030" s="180"/>
      <c r="D1030" s="180"/>
      <c r="J1030" s="144"/>
      <c r="K1030" s="144"/>
      <c r="L1030" s="144"/>
    </row>
    <row r="1031" spans="3:12" x14ac:dyDescent="0.25">
      <c r="C1031" s="180"/>
      <c r="D1031" s="180"/>
      <c r="J1031" s="144"/>
      <c r="K1031" s="144"/>
      <c r="L1031" s="144"/>
    </row>
    <row r="1032" spans="3:12" x14ac:dyDescent="0.25">
      <c r="C1032" s="180"/>
      <c r="D1032" s="180"/>
      <c r="J1032" s="144"/>
      <c r="K1032" s="144"/>
      <c r="L1032" s="144"/>
    </row>
    <row r="1033" spans="3:12" x14ac:dyDescent="0.25">
      <c r="C1033" s="180"/>
      <c r="D1033" s="180"/>
      <c r="J1033" s="144"/>
      <c r="K1033" s="144"/>
      <c r="L1033" s="144"/>
    </row>
    <row r="1034" spans="3:12" x14ac:dyDescent="0.25">
      <c r="C1034" s="180"/>
      <c r="D1034" s="180"/>
      <c r="J1034" s="144"/>
      <c r="K1034" s="144"/>
      <c r="L1034" s="144"/>
    </row>
    <row r="1035" spans="3:12" x14ac:dyDescent="0.25">
      <c r="C1035" s="180"/>
      <c r="D1035" s="180"/>
      <c r="J1035" s="144"/>
      <c r="K1035" s="144"/>
      <c r="L1035" s="144"/>
    </row>
    <row r="1036" spans="3:12" x14ac:dyDescent="0.25">
      <c r="C1036" s="180"/>
      <c r="D1036" s="180"/>
      <c r="J1036" s="144"/>
      <c r="K1036" s="144"/>
      <c r="L1036" s="144"/>
    </row>
    <row r="1037" spans="3:12" x14ac:dyDescent="0.25">
      <c r="C1037" s="180"/>
      <c r="D1037" s="180"/>
      <c r="J1037" s="144"/>
      <c r="K1037" s="144"/>
      <c r="L1037" s="144"/>
    </row>
    <row r="1038" spans="3:12" x14ac:dyDescent="0.25">
      <c r="C1038" s="180"/>
      <c r="D1038" s="180"/>
      <c r="J1038" s="144"/>
      <c r="K1038" s="144"/>
      <c r="L1038" s="144"/>
    </row>
    <row r="1039" spans="3:12" x14ac:dyDescent="0.25">
      <c r="C1039" s="180"/>
      <c r="D1039" s="180"/>
      <c r="J1039" s="144"/>
      <c r="K1039" s="144"/>
      <c r="L1039" s="144"/>
    </row>
    <row r="1040" spans="3:12" x14ac:dyDescent="0.25">
      <c r="C1040" s="180"/>
      <c r="D1040" s="180"/>
      <c r="J1040" s="144"/>
      <c r="K1040" s="144"/>
      <c r="L1040" s="144"/>
    </row>
    <row r="1041" spans="3:12" x14ac:dyDescent="0.25">
      <c r="C1041" s="180"/>
      <c r="D1041" s="180"/>
      <c r="J1041" s="144"/>
      <c r="K1041" s="144"/>
      <c r="L1041" s="144"/>
    </row>
    <row r="1042" spans="3:12" x14ac:dyDescent="0.25">
      <c r="C1042" s="180"/>
      <c r="D1042" s="180"/>
      <c r="J1042" s="144"/>
      <c r="K1042" s="144"/>
      <c r="L1042" s="144"/>
    </row>
    <row r="1043" spans="3:12" x14ac:dyDescent="0.25">
      <c r="C1043" s="180"/>
      <c r="D1043" s="180"/>
      <c r="J1043" s="144"/>
      <c r="K1043" s="144"/>
      <c r="L1043" s="144"/>
    </row>
    <row r="1044" spans="3:12" x14ac:dyDescent="0.25">
      <c r="C1044" s="180"/>
      <c r="D1044" s="180"/>
      <c r="J1044" s="144"/>
      <c r="K1044" s="144"/>
      <c r="L1044" s="144"/>
    </row>
    <row r="1045" spans="3:12" x14ac:dyDescent="0.25">
      <c r="C1045" s="180"/>
      <c r="D1045" s="180"/>
      <c r="J1045" s="144"/>
      <c r="K1045" s="144"/>
      <c r="L1045" s="144"/>
    </row>
    <row r="1046" spans="3:12" x14ac:dyDescent="0.25">
      <c r="C1046" s="180"/>
      <c r="D1046" s="180"/>
      <c r="J1046" s="144"/>
      <c r="K1046" s="144"/>
      <c r="L1046" s="144"/>
    </row>
    <row r="1047" spans="3:12" x14ac:dyDescent="0.25">
      <c r="C1047" s="180"/>
      <c r="D1047" s="180"/>
      <c r="J1047" s="144"/>
      <c r="K1047" s="144"/>
      <c r="L1047" s="144"/>
    </row>
    <row r="1048" spans="3:12" x14ac:dyDescent="0.25">
      <c r="C1048" s="180"/>
      <c r="D1048" s="180"/>
      <c r="J1048" s="144"/>
      <c r="K1048" s="144"/>
      <c r="L1048" s="144"/>
    </row>
    <row r="1049" spans="3:12" x14ac:dyDescent="0.25">
      <c r="C1049" s="180"/>
      <c r="D1049" s="180"/>
      <c r="J1049" s="144"/>
      <c r="K1049" s="144"/>
      <c r="L1049" s="144"/>
    </row>
    <row r="1050" spans="3:12" x14ac:dyDescent="0.25">
      <c r="C1050" s="180"/>
      <c r="D1050" s="180"/>
      <c r="J1050" s="144"/>
      <c r="K1050" s="144"/>
      <c r="L1050" s="144"/>
    </row>
    <row r="1051" spans="3:12" x14ac:dyDescent="0.25">
      <c r="C1051" s="180"/>
      <c r="D1051" s="180"/>
      <c r="J1051" s="144"/>
      <c r="K1051" s="144"/>
      <c r="L1051" s="144"/>
    </row>
    <row r="1052" spans="3:12" x14ac:dyDescent="0.25">
      <c r="C1052" s="180"/>
      <c r="D1052" s="180"/>
      <c r="J1052" s="144"/>
      <c r="K1052" s="144"/>
      <c r="L1052" s="144"/>
    </row>
    <row r="1053" spans="3:12" x14ac:dyDescent="0.25">
      <c r="C1053" s="180"/>
      <c r="D1053" s="180"/>
      <c r="J1053" s="144"/>
      <c r="K1053" s="144"/>
      <c r="L1053" s="144"/>
    </row>
    <row r="1054" spans="3:12" x14ac:dyDescent="0.25">
      <c r="C1054" s="180"/>
      <c r="D1054" s="180"/>
      <c r="J1054" s="144"/>
      <c r="K1054" s="144"/>
      <c r="L1054" s="144"/>
    </row>
    <row r="1055" spans="3:12" x14ac:dyDescent="0.25">
      <c r="C1055" s="180"/>
      <c r="D1055" s="180"/>
      <c r="J1055" s="144"/>
      <c r="K1055" s="144"/>
      <c r="L1055" s="144"/>
    </row>
    <row r="1056" spans="3:12" x14ac:dyDescent="0.25">
      <c r="C1056" s="180"/>
      <c r="D1056" s="180"/>
      <c r="J1056" s="144"/>
      <c r="K1056" s="144"/>
      <c r="L1056" s="144"/>
    </row>
    <row r="1057" spans="3:12" x14ac:dyDescent="0.25">
      <c r="C1057" s="180"/>
      <c r="D1057" s="180"/>
      <c r="J1057" s="144"/>
      <c r="K1057" s="144"/>
      <c r="L1057" s="144"/>
    </row>
    <row r="1058" spans="3:12" x14ac:dyDescent="0.25">
      <c r="C1058" s="180"/>
      <c r="D1058" s="180"/>
      <c r="J1058" s="144"/>
      <c r="K1058" s="144"/>
      <c r="L1058" s="144"/>
    </row>
    <row r="1059" spans="3:12" x14ac:dyDescent="0.25">
      <c r="C1059" s="180"/>
      <c r="D1059" s="180"/>
      <c r="J1059" s="144"/>
      <c r="K1059" s="144"/>
      <c r="L1059" s="144"/>
    </row>
    <row r="1060" spans="3:12" x14ac:dyDescent="0.25">
      <c r="C1060" s="180"/>
      <c r="D1060" s="180"/>
      <c r="J1060" s="144"/>
      <c r="K1060" s="144"/>
      <c r="L1060" s="144"/>
    </row>
    <row r="1061" spans="3:12" x14ac:dyDescent="0.25">
      <c r="C1061" s="180"/>
      <c r="D1061" s="180"/>
      <c r="J1061" s="144"/>
      <c r="K1061" s="144"/>
      <c r="L1061" s="144"/>
    </row>
    <row r="1062" spans="3:12" x14ac:dyDescent="0.25">
      <c r="C1062" s="180"/>
      <c r="D1062" s="180"/>
      <c r="J1062" s="144"/>
      <c r="K1062" s="144"/>
      <c r="L1062" s="144"/>
    </row>
    <row r="1063" spans="3:12" x14ac:dyDescent="0.25">
      <c r="C1063" s="180"/>
      <c r="D1063" s="180"/>
      <c r="J1063" s="144"/>
      <c r="K1063" s="144"/>
      <c r="L1063" s="144"/>
    </row>
    <row r="1064" spans="3:12" x14ac:dyDescent="0.25">
      <c r="C1064" s="180"/>
      <c r="D1064" s="180"/>
      <c r="J1064" s="144"/>
      <c r="K1064" s="144"/>
      <c r="L1064" s="144"/>
    </row>
    <row r="1065" spans="3:12" x14ac:dyDescent="0.25">
      <c r="C1065" s="180"/>
      <c r="D1065" s="180"/>
      <c r="J1065" s="144"/>
      <c r="K1065" s="144"/>
      <c r="L1065" s="144"/>
    </row>
    <row r="1066" spans="3:12" x14ac:dyDescent="0.25">
      <c r="C1066" s="180"/>
      <c r="D1066" s="180"/>
      <c r="J1066" s="144"/>
      <c r="K1066" s="144"/>
      <c r="L1066" s="144"/>
    </row>
    <row r="1067" spans="3:12" x14ac:dyDescent="0.25">
      <c r="C1067" s="180"/>
      <c r="D1067" s="180"/>
      <c r="J1067" s="144"/>
      <c r="K1067" s="144"/>
      <c r="L1067" s="144"/>
    </row>
    <row r="1068" spans="3:12" x14ac:dyDescent="0.25">
      <c r="C1068" s="180"/>
      <c r="D1068" s="180"/>
      <c r="J1068" s="144"/>
      <c r="K1068" s="144"/>
      <c r="L1068" s="144"/>
    </row>
    <row r="1069" spans="3:12" x14ac:dyDescent="0.25">
      <c r="C1069" s="180"/>
      <c r="D1069" s="180"/>
      <c r="J1069" s="144"/>
      <c r="K1069" s="144"/>
      <c r="L1069" s="144"/>
    </row>
    <row r="1070" spans="3:12" x14ac:dyDescent="0.25">
      <c r="C1070" s="180"/>
      <c r="D1070" s="180"/>
      <c r="J1070" s="144"/>
      <c r="K1070" s="144"/>
      <c r="L1070" s="144"/>
    </row>
    <row r="1071" spans="3:12" x14ac:dyDescent="0.25">
      <c r="C1071" s="180"/>
      <c r="D1071" s="180"/>
      <c r="J1071" s="144"/>
      <c r="K1071" s="144"/>
      <c r="L1071" s="144"/>
    </row>
    <row r="1072" spans="3:12" x14ac:dyDescent="0.25">
      <c r="C1072" s="180"/>
      <c r="D1072" s="180"/>
      <c r="J1072" s="144"/>
      <c r="K1072" s="144"/>
      <c r="L1072" s="144"/>
    </row>
    <row r="1073" spans="3:12" x14ac:dyDescent="0.25">
      <c r="C1073" s="180"/>
      <c r="D1073" s="180"/>
      <c r="J1073" s="144"/>
      <c r="K1073" s="144"/>
      <c r="L1073" s="144"/>
    </row>
    <row r="1074" spans="3:12" x14ac:dyDescent="0.25">
      <c r="C1074" s="180"/>
      <c r="D1074" s="180"/>
      <c r="J1074" s="144"/>
      <c r="K1074" s="144"/>
      <c r="L1074" s="144"/>
    </row>
    <row r="1075" spans="3:12" x14ac:dyDescent="0.25">
      <c r="C1075" s="180"/>
      <c r="D1075" s="180"/>
      <c r="J1075" s="144"/>
      <c r="K1075" s="144"/>
      <c r="L1075" s="144"/>
    </row>
    <row r="1076" spans="3:12" x14ac:dyDescent="0.25">
      <c r="C1076" s="180"/>
      <c r="D1076" s="180"/>
      <c r="J1076" s="144"/>
      <c r="K1076" s="144"/>
      <c r="L1076" s="144"/>
    </row>
    <row r="1077" spans="3:12" x14ac:dyDescent="0.25">
      <c r="C1077" s="180"/>
      <c r="D1077" s="180"/>
      <c r="J1077" s="144"/>
      <c r="K1077" s="144"/>
      <c r="L1077" s="144"/>
    </row>
    <row r="1078" spans="3:12" x14ac:dyDescent="0.25">
      <c r="C1078" s="180"/>
      <c r="D1078" s="180"/>
      <c r="J1078" s="144"/>
      <c r="K1078" s="144"/>
      <c r="L1078" s="144"/>
    </row>
    <row r="1079" spans="3:12" x14ac:dyDescent="0.25">
      <c r="C1079" s="180"/>
      <c r="D1079" s="180"/>
      <c r="J1079" s="144"/>
      <c r="K1079" s="144"/>
      <c r="L1079" s="144"/>
    </row>
    <row r="1080" spans="3:12" x14ac:dyDescent="0.25">
      <c r="C1080" s="180"/>
      <c r="D1080" s="180"/>
      <c r="J1080" s="144"/>
      <c r="K1080" s="144"/>
      <c r="L1080" s="144"/>
    </row>
    <row r="1081" spans="3:12" x14ac:dyDescent="0.25">
      <c r="C1081" s="180"/>
      <c r="D1081" s="180"/>
      <c r="J1081" s="144"/>
      <c r="K1081" s="144"/>
      <c r="L1081" s="144"/>
    </row>
    <row r="1082" spans="3:12" x14ac:dyDescent="0.25">
      <c r="C1082" s="180"/>
      <c r="D1082" s="180"/>
      <c r="J1082" s="144"/>
      <c r="K1082" s="144"/>
      <c r="L1082" s="144"/>
    </row>
    <row r="1083" spans="3:12" x14ac:dyDescent="0.25">
      <c r="C1083" s="180"/>
      <c r="D1083" s="180"/>
      <c r="J1083" s="144"/>
      <c r="K1083" s="144"/>
      <c r="L1083" s="144"/>
    </row>
    <row r="1084" spans="3:12" x14ac:dyDescent="0.25">
      <c r="J1084" s="144"/>
      <c r="K1084" s="144"/>
      <c r="L1084" s="144"/>
    </row>
    <row r="1085" spans="3:12" x14ac:dyDescent="0.25">
      <c r="J1085" s="144"/>
      <c r="K1085" s="144"/>
      <c r="L1085" s="144"/>
    </row>
    <row r="1086" spans="3:12" x14ac:dyDescent="0.25">
      <c r="J1086" s="144"/>
      <c r="K1086" s="144"/>
      <c r="L1086" s="144"/>
    </row>
    <row r="1087" spans="3:12" x14ac:dyDescent="0.25">
      <c r="J1087" s="144"/>
      <c r="K1087" s="144"/>
      <c r="L1087" s="144"/>
    </row>
    <row r="1088" spans="3:12" x14ac:dyDescent="0.25">
      <c r="J1088" s="144"/>
      <c r="K1088" s="144"/>
      <c r="L1088" s="144"/>
    </row>
    <row r="1089" spans="10:12" x14ac:dyDescent="0.25">
      <c r="J1089" s="144"/>
      <c r="K1089" s="144"/>
      <c r="L1089" s="144"/>
    </row>
    <row r="1090" spans="10:12" x14ac:dyDescent="0.25">
      <c r="J1090" s="144"/>
      <c r="K1090" s="144"/>
      <c r="L1090" s="144"/>
    </row>
    <row r="1091" spans="10:12" x14ac:dyDescent="0.25">
      <c r="J1091" s="144"/>
      <c r="K1091" s="144"/>
      <c r="L1091" s="144"/>
    </row>
    <row r="1092" spans="10:12" x14ac:dyDescent="0.25">
      <c r="J1092" s="144"/>
      <c r="K1092" s="144"/>
      <c r="L1092" s="144"/>
    </row>
    <row r="1093" spans="10:12" x14ac:dyDescent="0.25">
      <c r="J1093" s="144"/>
      <c r="K1093" s="144"/>
      <c r="L1093" s="144"/>
    </row>
    <row r="1094" spans="10:12" x14ac:dyDescent="0.25">
      <c r="J1094" s="144"/>
      <c r="K1094" s="144"/>
      <c r="L1094" s="144"/>
    </row>
    <row r="1095" spans="10:12" x14ac:dyDescent="0.25">
      <c r="J1095" s="144"/>
      <c r="K1095" s="144"/>
      <c r="L1095" s="144"/>
    </row>
    <row r="1096" spans="10:12" x14ac:dyDescent="0.25">
      <c r="J1096" s="144"/>
      <c r="K1096" s="144"/>
      <c r="L1096" s="144"/>
    </row>
    <row r="1097" spans="10:12" x14ac:dyDescent="0.25">
      <c r="J1097" s="144"/>
      <c r="K1097" s="144"/>
      <c r="L1097" s="144"/>
    </row>
    <row r="1098" spans="10:12" x14ac:dyDescent="0.25">
      <c r="J1098" s="144"/>
      <c r="K1098" s="144"/>
      <c r="L1098" s="144"/>
    </row>
    <row r="1099" spans="10:12" x14ac:dyDescent="0.25">
      <c r="J1099" s="144"/>
      <c r="K1099" s="144"/>
      <c r="L1099" s="144"/>
    </row>
    <row r="1100" spans="10:12" x14ac:dyDescent="0.25">
      <c r="J1100" s="144"/>
      <c r="K1100" s="144"/>
      <c r="L1100" s="144"/>
    </row>
    <row r="1101" spans="10:12" x14ac:dyDescent="0.25">
      <c r="J1101" s="144"/>
      <c r="K1101" s="144"/>
      <c r="L1101" s="144"/>
    </row>
    <row r="1102" spans="10:12" x14ac:dyDescent="0.25">
      <c r="J1102" s="144"/>
      <c r="K1102" s="144"/>
      <c r="L1102" s="144"/>
    </row>
    <row r="1103" spans="10:12" x14ac:dyDescent="0.25">
      <c r="J1103" s="144"/>
      <c r="K1103" s="144"/>
      <c r="L1103" s="144"/>
    </row>
    <row r="1104" spans="10:12" x14ac:dyDescent="0.25">
      <c r="J1104" s="144"/>
      <c r="K1104" s="144"/>
      <c r="L1104" s="144"/>
    </row>
    <row r="1105" spans="10:12" x14ac:dyDescent="0.25">
      <c r="J1105" s="144"/>
      <c r="K1105" s="144"/>
      <c r="L1105" s="144"/>
    </row>
    <row r="1106" spans="10:12" x14ac:dyDescent="0.25">
      <c r="J1106" s="144"/>
      <c r="K1106" s="144"/>
      <c r="L1106" s="144"/>
    </row>
    <row r="1107" spans="10:12" x14ac:dyDescent="0.25">
      <c r="J1107" s="144"/>
      <c r="K1107" s="144"/>
      <c r="L1107" s="144"/>
    </row>
    <row r="1108" spans="10:12" x14ac:dyDescent="0.25">
      <c r="J1108" s="144"/>
      <c r="K1108" s="144"/>
      <c r="L1108" s="144"/>
    </row>
    <row r="1109" spans="10:12" x14ac:dyDescent="0.25">
      <c r="J1109" s="144"/>
      <c r="K1109" s="144"/>
      <c r="L1109" s="144"/>
    </row>
    <row r="1110" spans="10:12" x14ac:dyDescent="0.25">
      <c r="J1110" s="144"/>
      <c r="K1110" s="144"/>
      <c r="L1110" s="144"/>
    </row>
    <row r="1111" spans="10:12" x14ac:dyDescent="0.25">
      <c r="J1111" s="144"/>
      <c r="K1111" s="144"/>
      <c r="L1111" s="144"/>
    </row>
    <row r="1112" spans="10:12" x14ac:dyDescent="0.25">
      <c r="J1112" s="144"/>
      <c r="K1112" s="144"/>
      <c r="L1112" s="144"/>
    </row>
    <row r="1113" spans="10:12" x14ac:dyDescent="0.25">
      <c r="J1113" s="144"/>
      <c r="K1113" s="144"/>
      <c r="L1113" s="144"/>
    </row>
    <row r="1114" spans="10:12" x14ac:dyDescent="0.25">
      <c r="J1114" s="144"/>
      <c r="K1114" s="144"/>
      <c r="L1114" s="144"/>
    </row>
    <row r="1115" spans="10:12" x14ac:dyDescent="0.25">
      <c r="J1115" s="144"/>
      <c r="K1115" s="144"/>
      <c r="L1115" s="144"/>
    </row>
    <row r="1116" spans="10:12" x14ac:dyDescent="0.25">
      <c r="J1116" s="144"/>
      <c r="K1116" s="144"/>
      <c r="L1116" s="144"/>
    </row>
    <row r="1117" spans="10:12" x14ac:dyDescent="0.25">
      <c r="J1117" s="144"/>
      <c r="K1117" s="144"/>
      <c r="L1117" s="144"/>
    </row>
    <row r="1118" spans="10:12" x14ac:dyDescent="0.25">
      <c r="J1118" s="144"/>
      <c r="K1118" s="144"/>
      <c r="L1118" s="144"/>
    </row>
    <row r="1119" spans="10:12" x14ac:dyDescent="0.25">
      <c r="J1119" s="144"/>
      <c r="K1119" s="144"/>
      <c r="L1119" s="144"/>
    </row>
    <row r="1120" spans="10:12" x14ac:dyDescent="0.25">
      <c r="J1120" s="144"/>
      <c r="K1120" s="144"/>
      <c r="L1120" s="144"/>
    </row>
    <row r="1121" spans="10:12" x14ac:dyDescent="0.25">
      <c r="J1121" s="144"/>
      <c r="K1121" s="144"/>
      <c r="L1121" s="144"/>
    </row>
    <row r="1122" spans="10:12" x14ac:dyDescent="0.25">
      <c r="J1122" s="144"/>
      <c r="K1122" s="144"/>
      <c r="L1122" s="144"/>
    </row>
    <row r="1123" spans="10:12" x14ac:dyDescent="0.25">
      <c r="J1123" s="144"/>
      <c r="K1123" s="144"/>
      <c r="L1123" s="144"/>
    </row>
    <row r="1124" spans="10:12" x14ac:dyDescent="0.25">
      <c r="J1124" s="144"/>
      <c r="K1124" s="144"/>
      <c r="L1124" s="144"/>
    </row>
    <row r="1125" spans="10:12" x14ac:dyDescent="0.25">
      <c r="J1125" s="144"/>
      <c r="K1125" s="144"/>
      <c r="L1125" s="144"/>
    </row>
    <row r="1126" spans="10:12" x14ac:dyDescent="0.25">
      <c r="J1126" s="144"/>
      <c r="K1126" s="144"/>
      <c r="L1126" s="144"/>
    </row>
    <row r="1127" spans="10:12" x14ac:dyDescent="0.25">
      <c r="J1127" s="144"/>
      <c r="K1127" s="144"/>
      <c r="L1127" s="144"/>
    </row>
    <row r="1128" spans="10:12" x14ac:dyDescent="0.25">
      <c r="J1128" s="144"/>
      <c r="K1128" s="144"/>
      <c r="L1128" s="144"/>
    </row>
    <row r="1129" spans="10:12" x14ac:dyDescent="0.25">
      <c r="J1129" s="144"/>
      <c r="K1129" s="144"/>
      <c r="L1129" s="144"/>
    </row>
    <row r="1130" spans="10:12" x14ac:dyDescent="0.25">
      <c r="J1130" s="144"/>
      <c r="K1130" s="144"/>
      <c r="L1130" s="144"/>
    </row>
    <row r="1131" spans="10:12" x14ac:dyDescent="0.25">
      <c r="J1131" s="144"/>
      <c r="K1131" s="144"/>
      <c r="L1131" s="144"/>
    </row>
    <row r="1132" spans="10:12" x14ac:dyDescent="0.25">
      <c r="J1132" s="144"/>
      <c r="K1132" s="144"/>
      <c r="L1132" s="144"/>
    </row>
    <row r="1133" spans="10:12" x14ac:dyDescent="0.25">
      <c r="J1133" s="144"/>
      <c r="K1133" s="144"/>
      <c r="L1133" s="144"/>
    </row>
    <row r="1134" spans="10:12" x14ac:dyDescent="0.25">
      <c r="J1134" s="144"/>
      <c r="K1134" s="144"/>
      <c r="L1134" s="144"/>
    </row>
    <row r="1135" spans="10:12" x14ac:dyDescent="0.25">
      <c r="J1135" s="144"/>
      <c r="K1135" s="144"/>
      <c r="L1135" s="144"/>
    </row>
    <row r="1136" spans="10:12" x14ac:dyDescent="0.25">
      <c r="J1136" s="144"/>
      <c r="K1136" s="144"/>
      <c r="L1136" s="144"/>
    </row>
    <row r="1137" spans="10:12" x14ac:dyDescent="0.25">
      <c r="J1137" s="144"/>
      <c r="K1137" s="144"/>
      <c r="L1137" s="144"/>
    </row>
    <row r="1138" spans="10:12" x14ac:dyDescent="0.25">
      <c r="J1138" s="144"/>
      <c r="K1138" s="144"/>
      <c r="L1138" s="144"/>
    </row>
    <row r="1139" spans="10:12" x14ac:dyDescent="0.25">
      <c r="J1139" s="144"/>
      <c r="K1139" s="144"/>
      <c r="L1139" s="144"/>
    </row>
    <row r="1140" spans="10:12" x14ac:dyDescent="0.25">
      <c r="J1140" s="144"/>
      <c r="K1140" s="144"/>
      <c r="L1140" s="144"/>
    </row>
    <row r="1141" spans="10:12" x14ac:dyDescent="0.25">
      <c r="J1141" s="144"/>
      <c r="K1141" s="144"/>
      <c r="L1141" s="144"/>
    </row>
    <row r="1142" spans="10:12" x14ac:dyDescent="0.25">
      <c r="J1142" s="144"/>
      <c r="K1142" s="144"/>
      <c r="L1142" s="144"/>
    </row>
    <row r="1143" spans="10:12" x14ac:dyDescent="0.25">
      <c r="J1143" s="144"/>
      <c r="K1143" s="144"/>
      <c r="L1143" s="144"/>
    </row>
    <row r="1144" spans="10:12" x14ac:dyDescent="0.25">
      <c r="J1144" s="144"/>
      <c r="K1144" s="144"/>
      <c r="L1144" s="144"/>
    </row>
    <row r="1145" spans="10:12" x14ac:dyDescent="0.25">
      <c r="J1145" s="144"/>
      <c r="K1145" s="144"/>
      <c r="L1145" s="144"/>
    </row>
    <row r="1146" spans="10:12" x14ac:dyDescent="0.25">
      <c r="J1146" s="144"/>
      <c r="K1146" s="144"/>
      <c r="L1146" s="144"/>
    </row>
    <row r="1147" spans="10:12" x14ac:dyDescent="0.25">
      <c r="J1147" s="144"/>
      <c r="K1147" s="144"/>
      <c r="L1147" s="144"/>
    </row>
    <row r="1148" spans="10:12" x14ac:dyDescent="0.25">
      <c r="J1148" s="144"/>
      <c r="K1148" s="144"/>
      <c r="L1148" s="144"/>
    </row>
    <row r="1149" spans="10:12" x14ac:dyDescent="0.25">
      <c r="J1149" s="144"/>
      <c r="K1149" s="144"/>
      <c r="L1149" s="144"/>
    </row>
    <row r="1150" spans="10:12" x14ac:dyDescent="0.25">
      <c r="J1150" s="144"/>
      <c r="K1150" s="144"/>
      <c r="L1150" s="144"/>
    </row>
    <row r="1151" spans="10:12" x14ac:dyDescent="0.25">
      <c r="J1151" s="144"/>
      <c r="K1151" s="144"/>
      <c r="L1151" s="144"/>
    </row>
    <row r="1152" spans="10:12" x14ac:dyDescent="0.25">
      <c r="J1152" s="144"/>
      <c r="K1152" s="144"/>
      <c r="L1152" s="144"/>
    </row>
    <row r="1153" spans="10:12" x14ac:dyDescent="0.25">
      <c r="J1153" s="144"/>
      <c r="K1153" s="144"/>
      <c r="L1153" s="144"/>
    </row>
    <row r="1154" spans="10:12" x14ac:dyDescent="0.25">
      <c r="J1154" s="144"/>
      <c r="K1154" s="144"/>
      <c r="L1154" s="144"/>
    </row>
    <row r="1155" spans="10:12" x14ac:dyDescent="0.25">
      <c r="J1155" s="144"/>
      <c r="K1155" s="144"/>
      <c r="L1155" s="144"/>
    </row>
    <row r="1156" spans="10:12" x14ac:dyDescent="0.25">
      <c r="J1156" s="144"/>
      <c r="K1156" s="144"/>
      <c r="L1156" s="144"/>
    </row>
    <row r="1157" spans="10:12" x14ac:dyDescent="0.25">
      <c r="J1157" s="144"/>
      <c r="K1157" s="144"/>
      <c r="L1157" s="144"/>
    </row>
    <row r="1158" spans="10:12" x14ac:dyDescent="0.25">
      <c r="J1158" s="144"/>
      <c r="K1158" s="144"/>
      <c r="L1158" s="144"/>
    </row>
    <row r="1159" spans="10:12" x14ac:dyDescent="0.25">
      <c r="J1159" s="144"/>
      <c r="K1159" s="144"/>
      <c r="L1159" s="144"/>
    </row>
    <row r="1160" spans="10:12" x14ac:dyDescent="0.25">
      <c r="J1160" s="144"/>
      <c r="K1160" s="144"/>
      <c r="L1160" s="144"/>
    </row>
    <row r="1161" spans="10:12" x14ac:dyDescent="0.25">
      <c r="J1161" s="144"/>
      <c r="K1161" s="144"/>
      <c r="L1161" s="144"/>
    </row>
    <row r="1162" spans="10:12" x14ac:dyDescent="0.25">
      <c r="J1162" s="144"/>
      <c r="K1162" s="144"/>
      <c r="L1162" s="144"/>
    </row>
    <row r="1163" spans="10:12" x14ac:dyDescent="0.25">
      <c r="J1163" s="144"/>
      <c r="K1163" s="144"/>
      <c r="L1163" s="144"/>
    </row>
    <row r="1164" spans="10:12" x14ac:dyDescent="0.25">
      <c r="J1164" s="144"/>
      <c r="K1164" s="144"/>
      <c r="L1164" s="144"/>
    </row>
    <row r="1165" spans="10:12" x14ac:dyDescent="0.25">
      <c r="J1165" s="144"/>
      <c r="K1165" s="144"/>
      <c r="L1165" s="144"/>
    </row>
    <row r="1166" spans="10:12" x14ac:dyDescent="0.25">
      <c r="J1166" s="144"/>
      <c r="K1166" s="144"/>
      <c r="L1166" s="144"/>
    </row>
    <row r="1167" spans="10:12" x14ac:dyDescent="0.25">
      <c r="J1167" s="144"/>
      <c r="K1167" s="144"/>
      <c r="L1167" s="144"/>
    </row>
    <row r="1168" spans="10:12" x14ac:dyDescent="0.25">
      <c r="J1168" s="144"/>
      <c r="K1168" s="144"/>
      <c r="L1168" s="144"/>
    </row>
    <row r="1169" spans="10:12" x14ac:dyDescent="0.25">
      <c r="J1169" s="144"/>
      <c r="K1169" s="144"/>
      <c r="L1169" s="144"/>
    </row>
    <row r="1170" spans="10:12" x14ac:dyDescent="0.25">
      <c r="J1170" s="144"/>
      <c r="K1170" s="144"/>
      <c r="L1170" s="144"/>
    </row>
    <row r="1171" spans="10:12" x14ac:dyDescent="0.25">
      <c r="J1171" s="144"/>
      <c r="K1171" s="144"/>
      <c r="L1171" s="144"/>
    </row>
    <row r="1172" spans="10:12" x14ac:dyDescent="0.25">
      <c r="J1172" s="144"/>
      <c r="K1172" s="144"/>
      <c r="L1172" s="144"/>
    </row>
    <row r="1173" spans="10:12" x14ac:dyDescent="0.25">
      <c r="J1173" s="144"/>
      <c r="K1173" s="144"/>
      <c r="L1173" s="144"/>
    </row>
    <row r="1174" spans="10:12" x14ac:dyDescent="0.25">
      <c r="J1174" s="144"/>
      <c r="K1174" s="144"/>
      <c r="L1174" s="144"/>
    </row>
    <row r="1175" spans="10:12" x14ac:dyDescent="0.25">
      <c r="J1175" s="144"/>
      <c r="K1175" s="144"/>
      <c r="L1175" s="144"/>
    </row>
    <row r="1176" spans="10:12" x14ac:dyDescent="0.25">
      <c r="J1176" s="144"/>
      <c r="K1176" s="144"/>
      <c r="L1176" s="144"/>
    </row>
    <row r="1177" spans="10:12" x14ac:dyDescent="0.25">
      <c r="J1177" s="144"/>
      <c r="K1177" s="144"/>
      <c r="L1177" s="144"/>
    </row>
    <row r="1178" spans="10:12" x14ac:dyDescent="0.25">
      <c r="J1178" s="144"/>
      <c r="K1178" s="144"/>
      <c r="L1178" s="144"/>
    </row>
    <row r="1179" spans="10:12" x14ac:dyDescent="0.25">
      <c r="J1179" s="144"/>
      <c r="K1179" s="144"/>
      <c r="L1179" s="144"/>
    </row>
    <row r="1180" spans="10:12" x14ac:dyDescent="0.25">
      <c r="J1180" s="144"/>
      <c r="K1180" s="144"/>
      <c r="L1180" s="144"/>
    </row>
    <row r="1181" spans="10:12" x14ac:dyDescent="0.25">
      <c r="J1181" s="144"/>
      <c r="K1181" s="144"/>
      <c r="L1181" s="144"/>
    </row>
    <row r="1182" spans="10:12" x14ac:dyDescent="0.25">
      <c r="J1182" s="144"/>
      <c r="K1182" s="144"/>
      <c r="L1182" s="144"/>
    </row>
    <row r="1183" spans="10:12" x14ac:dyDescent="0.25">
      <c r="J1183" s="144"/>
      <c r="K1183" s="144"/>
      <c r="L1183" s="144"/>
    </row>
    <row r="1184" spans="10:12" x14ac:dyDescent="0.25">
      <c r="J1184" s="144"/>
      <c r="K1184" s="144"/>
      <c r="L1184" s="144"/>
    </row>
    <row r="1185" spans="10:12" x14ac:dyDescent="0.25">
      <c r="J1185" s="144"/>
      <c r="K1185" s="144"/>
      <c r="L1185" s="144"/>
    </row>
    <row r="1186" spans="10:12" x14ac:dyDescent="0.25">
      <c r="J1186" s="144"/>
      <c r="K1186" s="144"/>
      <c r="L1186" s="144"/>
    </row>
    <row r="1187" spans="10:12" x14ac:dyDescent="0.25">
      <c r="J1187" s="144"/>
      <c r="K1187" s="144"/>
      <c r="L1187" s="144"/>
    </row>
    <row r="1188" spans="10:12" x14ac:dyDescent="0.25">
      <c r="J1188" s="144"/>
      <c r="K1188" s="144"/>
      <c r="L1188" s="144"/>
    </row>
    <row r="1189" spans="10:12" x14ac:dyDescent="0.25">
      <c r="J1189" s="144"/>
      <c r="K1189" s="144"/>
      <c r="L1189" s="144"/>
    </row>
    <row r="1190" spans="10:12" x14ac:dyDescent="0.25">
      <c r="J1190" s="144"/>
      <c r="K1190" s="144"/>
      <c r="L1190" s="144"/>
    </row>
    <row r="1191" spans="10:12" x14ac:dyDescent="0.25">
      <c r="J1191" s="144"/>
      <c r="K1191" s="144"/>
      <c r="L1191" s="144"/>
    </row>
    <row r="1192" spans="10:12" x14ac:dyDescent="0.25">
      <c r="J1192" s="144"/>
      <c r="K1192" s="144"/>
      <c r="L1192" s="144"/>
    </row>
    <row r="1193" spans="10:12" x14ac:dyDescent="0.25">
      <c r="J1193" s="144"/>
      <c r="K1193" s="144"/>
      <c r="L1193" s="144"/>
    </row>
    <row r="1194" spans="10:12" x14ac:dyDescent="0.25">
      <c r="J1194" s="144"/>
      <c r="K1194" s="144"/>
      <c r="L1194" s="144"/>
    </row>
    <row r="1195" spans="10:12" x14ac:dyDescent="0.25">
      <c r="J1195" s="144"/>
      <c r="K1195" s="144"/>
      <c r="L1195" s="144"/>
    </row>
    <row r="1196" spans="10:12" x14ac:dyDescent="0.25">
      <c r="J1196" s="144"/>
      <c r="K1196" s="144"/>
      <c r="L1196" s="144"/>
    </row>
    <row r="1197" spans="10:12" x14ac:dyDescent="0.25">
      <c r="J1197" s="144"/>
      <c r="K1197" s="144"/>
      <c r="L1197" s="144"/>
    </row>
    <row r="1198" spans="10:12" x14ac:dyDescent="0.25">
      <c r="J1198" s="144"/>
      <c r="K1198" s="144"/>
      <c r="L1198" s="144"/>
    </row>
    <row r="1199" spans="10:12" x14ac:dyDescent="0.25">
      <c r="J1199" s="144"/>
      <c r="K1199" s="144"/>
      <c r="L1199" s="144"/>
    </row>
    <row r="1200" spans="10:12" x14ac:dyDescent="0.25">
      <c r="J1200" s="144"/>
      <c r="K1200" s="144"/>
      <c r="L1200" s="144"/>
    </row>
    <row r="1201" spans="10:12" x14ac:dyDescent="0.25">
      <c r="J1201" s="144"/>
      <c r="K1201" s="144"/>
      <c r="L1201" s="144"/>
    </row>
    <row r="1202" spans="10:12" x14ac:dyDescent="0.25">
      <c r="J1202" s="144"/>
      <c r="K1202" s="144"/>
      <c r="L1202" s="144"/>
    </row>
    <row r="1203" spans="10:12" x14ac:dyDescent="0.25">
      <c r="J1203" s="144"/>
      <c r="K1203" s="144"/>
      <c r="L1203" s="144"/>
    </row>
    <row r="1204" spans="10:12" x14ac:dyDescent="0.25">
      <c r="J1204" s="144"/>
      <c r="K1204" s="144"/>
      <c r="L1204" s="144"/>
    </row>
    <row r="1205" spans="10:12" x14ac:dyDescent="0.25">
      <c r="J1205" s="144"/>
      <c r="K1205" s="144"/>
      <c r="L1205" s="144"/>
    </row>
    <row r="1206" spans="10:12" x14ac:dyDescent="0.25">
      <c r="J1206" s="144"/>
      <c r="K1206" s="144"/>
      <c r="L1206" s="144"/>
    </row>
    <row r="1207" spans="10:12" x14ac:dyDescent="0.25">
      <c r="J1207" s="144"/>
      <c r="K1207" s="144"/>
      <c r="L1207" s="144"/>
    </row>
    <row r="1208" spans="10:12" x14ac:dyDescent="0.25">
      <c r="J1208" s="144"/>
      <c r="K1208" s="144"/>
      <c r="L1208" s="144"/>
    </row>
    <row r="1209" spans="10:12" x14ac:dyDescent="0.25">
      <c r="J1209" s="144"/>
      <c r="K1209" s="144"/>
      <c r="L1209" s="144"/>
    </row>
    <row r="1210" spans="10:12" x14ac:dyDescent="0.25">
      <c r="J1210" s="144"/>
      <c r="K1210" s="144"/>
      <c r="L1210" s="144"/>
    </row>
    <row r="1211" spans="10:12" x14ac:dyDescent="0.25">
      <c r="J1211" s="144"/>
      <c r="K1211" s="144"/>
      <c r="L1211" s="144"/>
    </row>
    <row r="1212" spans="10:12" x14ac:dyDescent="0.25">
      <c r="J1212" s="144"/>
      <c r="K1212" s="144"/>
      <c r="L1212" s="144"/>
    </row>
    <row r="1213" spans="10:12" x14ac:dyDescent="0.25">
      <c r="J1213" s="144"/>
      <c r="K1213" s="144"/>
      <c r="L1213" s="144"/>
    </row>
    <row r="1214" spans="10:12" x14ac:dyDescent="0.25">
      <c r="J1214" s="144"/>
      <c r="K1214" s="144"/>
      <c r="L1214" s="144"/>
    </row>
    <row r="1215" spans="10:12" x14ac:dyDescent="0.25">
      <c r="J1215" s="144"/>
      <c r="K1215" s="144"/>
      <c r="L1215" s="144"/>
    </row>
    <row r="1216" spans="10:12" x14ac:dyDescent="0.25">
      <c r="J1216" s="144"/>
      <c r="K1216" s="144"/>
      <c r="L1216" s="144"/>
    </row>
    <row r="1217" spans="10:12" x14ac:dyDescent="0.25">
      <c r="J1217" s="144"/>
      <c r="K1217" s="144"/>
      <c r="L1217" s="144"/>
    </row>
    <row r="1218" spans="10:12" x14ac:dyDescent="0.25">
      <c r="J1218" s="144"/>
      <c r="K1218" s="144"/>
      <c r="L1218" s="144"/>
    </row>
    <row r="1219" spans="10:12" x14ac:dyDescent="0.25">
      <c r="J1219" s="144"/>
      <c r="K1219" s="144"/>
      <c r="L1219" s="144"/>
    </row>
    <row r="1220" spans="10:12" x14ac:dyDescent="0.25">
      <c r="J1220" s="144"/>
      <c r="K1220" s="144"/>
      <c r="L1220" s="144"/>
    </row>
    <row r="1221" spans="10:12" x14ac:dyDescent="0.25">
      <c r="J1221" s="144"/>
      <c r="K1221" s="144"/>
      <c r="L1221" s="144"/>
    </row>
    <row r="1222" spans="10:12" x14ac:dyDescent="0.25">
      <c r="J1222" s="144"/>
      <c r="K1222" s="144"/>
      <c r="L1222" s="144"/>
    </row>
    <row r="1223" spans="10:12" x14ac:dyDescent="0.25">
      <c r="J1223" s="144"/>
      <c r="K1223" s="144"/>
      <c r="L1223" s="144"/>
    </row>
    <row r="1224" spans="10:12" x14ac:dyDescent="0.25">
      <c r="J1224" s="144"/>
      <c r="K1224" s="144"/>
      <c r="L1224" s="144"/>
    </row>
    <row r="1225" spans="10:12" x14ac:dyDescent="0.25">
      <c r="J1225" s="144"/>
      <c r="K1225" s="144"/>
      <c r="L1225" s="144"/>
    </row>
    <row r="1226" spans="10:12" x14ac:dyDescent="0.25">
      <c r="J1226" s="144"/>
      <c r="K1226" s="144"/>
      <c r="L1226" s="144"/>
    </row>
    <row r="1227" spans="10:12" x14ac:dyDescent="0.25">
      <c r="J1227" s="144"/>
      <c r="K1227" s="144"/>
      <c r="L1227" s="144"/>
    </row>
    <row r="1228" spans="10:12" x14ac:dyDescent="0.25">
      <c r="J1228" s="144"/>
      <c r="K1228" s="144"/>
      <c r="L1228" s="144"/>
    </row>
    <row r="1229" spans="10:12" x14ac:dyDescent="0.25">
      <c r="J1229" s="144"/>
      <c r="K1229" s="144"/>
      <c r="L1229" s="144"/>
    </row>
    <row r="1230" spans="10:12" x14ac:dyDescent="0.25">
      <c r="J1230" s="144"/>
      <c r="K1230" s="144"/>
      <c r="L1230" s="144"/>
    </row>
    <row r="1231" spans="10:12" x14ac:dyDescent="0.25">
      <c r="J1231" s="144"/>
      <c r="K1231" s="144"/>
      <c r="L1231" s="144"/>
    </row>
    <row r="1232" spans="10:12" x14ac:dyDescent="0.25">
      <c r="J1232" s="144"/>
      <c r="K1232" s="144"/>
      <c r="L1232" s="144"/>
    </row>
    <row r="1233" spans="10:12" x14ac:dyDescent="0.25">
      <c r="J1233" s="144"/>
      <c r="K1233" s="144"/>
      <c r="L1233" s="144"/>
    </row>
    <row r="1234" spans="10:12" x14ac:dyDescent="0.25">
      <c r="J1234" s="144"/>
      <c r="K1234" s="144"/>
      <c r="L1234" s="144"/>
    </row>
    <row r="1235" spans="10:12" x14ac:dyDescent="0.25">
      <c r="J1235" s="144"/>
      <c r="K1235" s="144"/>
      <c r="L1235" s="144"/>
    </row>
    <row r="1236" spans="10:12" x14ac:dyDescent="0.25">
      <c r="J1236" s="144"/>
      <c r="K1236" s="144"/>
      <c r="L1236" s="144"/>
    </row>
    <row r="1237" spans="10:12" x14ac:dyDescent="0.25">
      <c r="J1237" s="144"/>
      <c r="K1237" s="144"/>
      <c r="L1237" s="144"/>
    </row>
    <row r="1238" spans="10:12" x14ac:dyDescent="0.25">
      <c r="J1238" s="144"/>
      <c r="K1238" s="144"/>
      <c r="L1238" s="144"/>
    </row>
    <row r="1239" spans="10:12" x14ac:dyDescent="0.25">
      <c r="J1239" s="144"/>
      <c r="K1239" s="144"/>
      <c r="L1239" s="144"/>
    </row>
    <row r="1240" spans="10:12" x14ac:dyDescent="0.25">
      <c r="J1240" s="144"/>
      <c r="K1240" s="144"/>
      <c r="L1240" s="144"/>
    </row>
    <row r="1241" spans="10:12" x14ac:dyDescent="0.25">
      <c r="J1241" s="144"/>
      <c r="K1241" s="144"/>
      <c r="L1241" s="144"/>
    </row>
    <row r="1242" spans="10:12" x14ac:dyDescent="0.25">
      <c r="J1242" s="144"/>
      <c r="K1242" s="144"/>
      <c r="L1242" s="144"/>
    </row>
    <row r="1243" spans="10:12" x14ac:dyDescent="0.25">
      <c r="J1243" s="144"/>
      <c r="K1243" s="144"/>
      <c r="L1243" s="144"/>
    </row>
    <row r="1244" spans="10:12" x14ac:dyDescent="0.25">
      <c r="J1244" s="144"/>
      <c r="K1244" s="144"/>
      <c r="L1244" s="144"/>
    </row>
    <row r="1245" spans="10:12" x14ac:dyDescent="0.25">
      <c r="J1245" s="144"/>
      <c r="K1245" s="144"/>
      <c r="L1245" s="144"/>
    </row>
    <row r="1246" spans="10:12" x14ac:dyDescent="0.25">
      <c r="J1246" s="144"/>
      <c r="K1246" s="144"/>
      <c r="L1246" s="144"/>
    </row>
    <row r="1247" spans="10:12" x14ac:dyDescent="0.25">
      <c r="J1247" s="144"/>
      <c r="K1247" s="144"/>
      <c r="L1247" s="144"/>
    </row>
    <row r="1248" spans="10:12" x14ac:dyDescent="0.25">
      <c r="J1248" s="144"/>
      <c r="K1248" s="144"/>
      <c r="L1248" s="144"/>
    </row>
    <row r="1249" spans="10:12" x14ac:dyDescent="0.25">
      <c r="J1249" s="144"/>
      <c r="K1249" s="144"/>
      <c r="L1249" s="144"/>
    </row>
    <row r="1250" spans="10:12" x14ac:dyDescent="0.25">
      <c r="J1250" s="144"/>
      <c r="K1250" s="144"/>
      <c r="L1250" s="144"/>
    </row>
    <row r="1251" spans="10:12" x14ac:dyDescent="0.25">
      <c r="J1251" s="144"/>
      <c r="K1251" s="144"/>
      <c r="L1251" s="144"/>
    </row>
    <row r="1252" spans="10:12" x14ac:dyDescent="0.25">
      <c r="J1252" s="144"/>
      <c r="K1252" s="144"/>
      <c r="L1252" s="144"/>
    </row>
    <row r="1253" spans="10:12" x14ac:dyDescent="0.25">
      <c r="J1253" s="144"/>
      <c r="K1253" s="144"/>
      <c r="L1253" s="144"/>
    </row>
    <row r="1254" spans="10:12" x14ac:dyDescent="0.25">
      <c r="J1254" s="144"/>
      <c r="K1254" s="144"/>
      <c r="L1254" s="144"/>
    </row>
    <row r="1255" spans="10:12" x14ac:dyDescent="0.25">
      <c r="J1255" s="144"/>
      <c r="K1255" s="144"/>
      <c r="L1255" s="144"/>
    </row>
    <row r="1256" spans="10:12" x14ac:dyDescent="0.25">
      <c r="J1256" s="144"/>
      <c r="K1256" s="144"/>
      <c r="L1256" s="144"/>
    </row>
    <row r="1257" spans="10:12" x14ac:dyDescent="0.25">
      <c r="J1257" s="144"/>
      <c r="K1257" s="144"/>
      <c r="L1257" s="144"/>
    </row>
    <row r="1258" spans="10:12" x14ac:dyDescent="0.25">
      <c r="J1258" s="144"/>
      <c r="K1258" s="144"/>
      <c r="L1258" s="144"/>
    </row>
    <row r="1259" spans="10:12" x14ac:dyDescent="0.25">
      <c r="J1259" s="144"/>
      <c r="K1259" s="144"/>
      <c r="L1259" s="144"/>
    </row>
    <row r="1260" spans="10:12" x14ac:dyDescent="0.25">
      <c r="J1260" s="144"/>
      <c r="K1260" s="144"/>
      <c r="L1260" s="144"/>
    </row>
    <row r="1261" spans="10:12" x14ac:dyDescent="0.25">
      <c r="J1261" s="144"/>
      <c r="K1261" s="144"/>
      <c r="L1261" s="144"/>
    </row>
    <row r="1262" spans="10:12" x14ac:dyDescent="0.25">
      <c r="J1262" s="144"/>
      <c r="K1262" s="144"/>
      <c r="L1262" s="144"/>
    </row>
    <row r="1263" spans="10:12" x14ac:dyDescent="0.25">
      <c r="J1263" s="144"/>
      <c r="K1263" s="144"/>
      <c r="L1263" s="144"/>
    </row>
    <row r="1264" spans="10:12" x14ac:dyDescent="0.25">
      <c r="J1264" s="144"/>
      <c r="K1264" s="144"/>
      <c r="L1264" s="144"/>
    </row>
    <row r="1265" spans="10:12" x14ac:dyDescent="0.25">
      <c r="J1265" s="144"/>
      <c r="K1265" s="144"/>
      <c r="L1265" s="144"/>
    </row>
    <row r="1266" spans="10:12" x14ac:dyDescent="0.25">
      <c r="J1266" s="144"/>
      <c r="K1266" s="144"/>
      <c r="L1266" s="144"/>
    </row>
    <row r="1267" spans="10:12" x14ac:dyDescent="0.25">
      <c r="J1267" s="144"/>
      <c r="K1267" s="144"/>
      <c r="L1267" s="144"/>
    </row>
    <row r="1268" spans="10:12" x14ac:dyDescent="0.25">
      <c r="J1268" s="144"/>
      <c r="K1268" s="144"/>
      <c r="L1268" s="144"/>
    </row>
    <row r="1269" spans="10:12" x14ac:dyDescent="0.25">
      <c r="J1269" s="144"/>
      <c r="K1269" s="144"/>
      <c r="L1269" s="144"/>
    </row>
    <row r="1270" spans="10:12" x14ac:dyDescent="0.25">
      <c r="J1270" s="144"/>
      <c r="K1270" s="144"/>
      <c r="L1270" s="144"/>
    </row>
    <row r="1271" spans="10:12" x14ac:dyDescent="0.25">
      <c r="J1271" s="144"/>
      <c r="K1271" s="144"/>
      <c r="L1271" s="144"/>
    </row>
    <row r="1272" spans="10:12" x14ac:dyDescent="0.25">
      <c r="J1272" s="144"/>
      <c r="K1272" s="144"/>
      <c r="L1272" s="144"/>
    </row>
    <row r="1273" spans="10:12" x14ac:dyDescent="0.25">
      <c r="J1273" s="144"/>
      <c r="K1273" s="144"/>
      <c r="L1273" s="144"/>
    </row>
    <row r="1274" spans="10:12" x14ac:dyDescent="0.25">
      <c r="J1274" s="144"/>
      <c r="K1274" s="144"/>
      <c r="L1274" s="144"/>
    </row>
    <row r="1275" spans="10:12" x14ac:dyDescent="0.25">
      <c r="J1275" s="144"/>
      <c r="K1275" s="144"/>
      <c r="L1275" s="144"/>
    </row>
    <row r="1276" spans="10:12" x14ac:dyDescent="0.25">
      <c r="J1276" s="144"/>
      <c r="K1276" s="144"/>
      <c r="L1276" s="144"/>
    </row>
    <row r="1277" spans="10:12" x14ac:dyDescent="0.25">
      <c r="J1277" s="144"/>
      <c r="K1277" s="144"/>
      <c r="L1277" s="144"/>
    </row>
    <row r="1278" spans="10:12" x14ac:dyDescent="0.25">
      <c r="J1278" s="144"/>
      <c r="K1278" s="144"/>
      <c r="L1278" s="144"/>
    </row>
    <row r="1279" spans="10:12" x14ac:dyDescent="0.25">
      <c r="J1279" s="144"/>
      <c r="K1279" s="144"/>
      <c r="L1279" s="144"/>
    </row>
    <row r="1280" spans="10:12" x14ac:dyDescent="0.25">
      <c r="J1280" s="144"/>
      <c r="K1280" s="144"/>
      <c r="L1280" s="144"/>
    </row>
    <row r="1281" spans="10:12" x14ac:dyDescent="0.25">
      <c r="J1281" s="144"/>
      <c r="K1281" s="144"/>
      <c r="L1281" s="144"/>
    </row>
    <row r="1282" spans="10:12" x14ac:dyDescent="0.25">
      <c r="J1282" s="144"/>
      <c r="K1282" s="144"/>
      <c r="L1282" s="144"/>
    </row>
    <row r="1283" spans="10:12" x14ac:dyDescent="0.25">
      <c r="J1283" s="144"/>
      <c r="K1283" s="144"/>
      <c r="L1283" s="144"/>
    </row>
    <row r="1284" spans="10:12" x14ac:dyDescent="0.25">
      <c r="J1284" s="144"/>
      <c r="K1284" s="144"/>
      <c r="L1284" s="144"/>
    </row>
    <row r="1285" spans="10:12" x14ac:dyDescent="0.25">
      <c r="J1285" s="144"/>
      <c r="K1285" s="144"/>
      <c r="L1285" s="144"/>
    </row>
    <row r="1286" spans="10:12" x14ac:dyDescent="0.25">
      <c r="J1286" s="144"/>
      <c r="K1286" s="144"/>
      <c r="L1286" s="144"/>
    </row>
    <row r="1287" spans="10:12" x14ac:dyDescent="0.25">
      <c r="J1287" s="144"/>
      <c r="K1287" s="144"/>
      <c r="L1287" s="144"/>
    </row>
    <row r="1288" spans="10:12" x14ac:dyDescent="0.25">
      <c r="J1288" s="144"/>
      <c r="K1288" s="144"/>
      <c r="L1288" s="144"/>
    </row>
    <row r="1289" spans="10:12" x14ac:dyDescent="0.25">
      <c r="J1289" s="144"/>
      <c r="K1289" s="144"/>
      <c r="L1289" s="144"/>
    </row>
    <row r="1290" spans="10:12" x14ac:dyDescent="0.25">
      <c r="J1290" s="144"/>
      <c r="K1290" s="144"/>
      <c r="L1290" s="144"/>
    </row>
    <row r="1291" spans="10:12" x14ac:dyDescent="0.25">
      <c r="J1291" s="144"/>
      <c r="K1291" s="144"/>
      <c r="L1291" s="144"/>
    </row>
    <row r="1292" spans="10:12" x14ac:dyDescent="0.25">
      <c r="J1292" s="144"/>
      <c r="K1292" s="144"/>
      <c r="L1292" s="144"/>
    </row>
    <row r="1293" spans="10:12" x14ac:dyDescent="0.25">
      <c r="J1293" s="144"/>
      <c r="K1293" s="144"/>
      <c r="L1293" s="144"/>
    </row>
    <row r="1294" spans="10:12" x14ac:dyDescent="0.25">
      <c r="J1294" s="144"/>
      <c r="K1294" s="144"/>
      <c r="L1294" s="144"/>
    </row>
    <row r="1295" spans="10:12" x14ac:dyDescent="0.25">
      <c r="J1295" s="144"/>
      <c r="K1295" s="144"/>
      <c r="L1295" s="144"/>
    </row>
    <row r="1296" spans="10:12" x14ac:dyDescent="0.25">
      <c r="J1296" s="144"/>
      <c r="K1296" s="144"/>
      <c r="L1296" s="144"/>
    </row>
    <row r="1297" spans="10:12" x14ac:dyDescent="0.25">
      <c r="J1297" s="144"/>
      <c r="K1297" s="144"/>
      <c r="L1297" s="144"/>
    </row>
    <row r="1298" spans="10:12" x14ac:dyDescent="0.25">
      <c r="J1298" s="144"/>
      <c r="K1298" s="144"/>
      <c r="L1298" s="144"/>
    </row>
    <row r="1299" spans="10:12" x14ac:dyDescent="0.25">
      <c r="J1299" s="144"/>
      <c r="K1299" s="144"/>
      <c r="L1299" s="144"/>
    </row>
    <row r="1300" spans="10:12" x14ac:dyDescent="0.25">
      <c r="J1300" s="144"/>
      <c r="K1300" s="144"/>
      <c r="L1300" s="144"/>
    </row>
    <row r="1301" spans="10:12" x14ac:dyDescent="0.25">
      <c r="J1301" s="144"/>
      <c r="K1301" s="144"/>
      <c r="L1301" s="144"/>
    </row>
    <row r="1302" spans="10:12" x14ac:dyDescent="0.25">
      <c r="J1302" s="144"/>
      <c r="K1302" s="144"/>
      <c r="L1302" s="144"/>
    </row>
    <row r="1303" spans="10:12" x14ac:dyDescent="0.25">
      <c r="J1303" s="144"/>
      <c r="K1303" s="144"/>
      <c r="L1303" s="144"/>
    </row>
    <row r="1304" spans="10:12" x14ac:dyDescent="0.25">
      <c r="J1304" s="144"/>
      <c r="K1304" s="144"/>
      <c r="L1304" s="144"/>
    </row>
    <row r="1305" spans="10:12" x14ac:dyDescent="0.25">
      <c r="J1305" s="144"/>
      <c r="K1305" s="144"/>
      <c r="L1305" s="144"/>
    </row>
    <row r="1306" spans="10:12" x14ac:dyDescent="0.25">
      <c r="J1306" s="144"/>
      <c r="K1306" s="144"/>
      <c r="L1306" s="144"/>
    </row>
    <row r="1307" spans="10:12" x14ac:dyDescent="0.25">
      <c r="J1307" s="144"/>
      <c r="K1307" s="144"/>
      <c r="L1307" s="144"/>
    </row>
    <row r="1308" spans="10:12" x14ac:dyDescent="0.25">
      <c r="J1308" s="144"/>
      <c r="K1308" s="144"/>
      <c r="L1308" s="144"/>
    </row>
    <row r="1309" spans="10:12" x14ac:dyDescent="0.25">
      <c r="J1309" s="144"/>
      <c r="K1309" s="144"/>
      <c r="L1309" s="144"/>
    </row>
    <row r="1310" spans="10:12" x14ac:dyDescent="0.25">
      <c r="J1310" s="144"/>
      <c r="K1310" s="144"/>
      <c r="L1310" s="144"/>
    </row>
    <row r="1311" spans="10:12" x14ac:dyDescent="0.25">
      <c r="J1311" s="144"/>
      <c r="K1311" s="144"/>
      <c r="L1311" s="144"/>
    </row>
    <row r="1312" spans="10:12" x14ac:dyDescent="0.25">
      <c r="J1312" s="144"/>
      <c r="K1312" s="144"/>
      <c r="L1312" s="144"/>
    </row>
    <row r="1313" spans="10:12" x14ac:dyDescent="0.25">
      <c r="J1313" s="144"/>
      <c r="K1313" s="144"/>
      <c r="L1313" s="144"/>
    </row>
    <row r="1314" spans="10:12" x14ac:dyDescent="0.25">
      <c r="J1314" s="144"/>
      <c r="K1314" s="144"/>
      <c r="L1314" s="144"/>
    </row>
    <row r="1315" spans="10:12" x14ac:dyDescent="0.25">
      <c r="J1315" s="144"/>
      <c r="K1315" s="144"/>
      <c r="L1315" s="144"/>
    </row>
    <row r="1316" spans="10:12" x14ac:dyDescent="0.25">
      <c r="J1316" s="144"/>
      <c r="K1316" s="144"/>
      <c r="L1316" s="144"/>
    </row>
    <row r="1317" spans="10:12" x14ac:dyDescent="0.25">
      <c r="J1317" s="144"/>
      <c r="K1317" s="144"/>
      <c r="L1317" s="144"/>
    </row>
    <row r="1318" spans="10:12" x14ac:dyDescent="0.25">
      <c r="J1318" s="144"/>
      <c r="K1318" s="144"/>
      <c r="L1318" s="144"/>
    </row>
    <row r="1319" spans="10:12" x14ac:dyDescent="0.25">
      <c r="J1319" s="144"/>
      <c r="K1319" s="144"/>
      <c r="L1319" s="144"/>
    </row>
    <row r="1320" spans="10:12" x14ac:dyDescent="0.25">
      <c r="J1320" s="144"/>
      <c r="K1320" s="144"/>
      <c r="L1320" s="144"/>
    </row>
    <row r="1321" spans="10:12" x14ac:dyDescent="0.25">
      <c r="J1321" s="144"/>
      <c r="K1321" s="144"/>
      <c r="L1321" s="144"/>
    </row>
    <row r="1322" spans="10:12" x14ac:dyDescent="0.25">
      <c r="J1322" s="144"/>
      <c r="K1322" s="144"/>
      <c r="L1322" s="144"/>
    </row>
    <row r="1323" spans="10:12" x14ac:dyDescent="0.25">
      <c r="J1323" s="144"/>
      <c r="K1323" s="144"/>
      <c r="L1323" s="144"/>
    </row>
    <row r="1324" spans="10:12" x14ac:dyDescent="0.25">
      <c r="J1324" s="144"/>
      <c r="K1324" s="144"/>
      <c r="L1324" s="144"/>
    </row>
    <row r="1325" spans="10:12" x14ac:dyDescent="0.25">
      <c r="J1325" s="144"/>
      <c r="K1325" s="144"/>
      <c r="L1325" s="144"/>
    </row>
    <row r="1326" spans="10:12" x14ac:dyDescent="0.25">
      <c r="J1326" s="144"/>
      <c r="K1326" s="144"/>
      <c r="L1326" s="144"/>
    </row>
    <row r="1327" spans="10:12" x14ac:dyDescent="0.25">
      <c r="J1327" s="144"/>
      <c r="K1327" s="144"/>
      <c r="L1327" s="144"/>
    </row>
    <row r="1328" spans="10:12" x14ac:dyDescent="0.25">
      <c r="J1328" s="144"/>
      <c r="K1328" s="144"/>
      <c r="L1328" s="144"/>
    </row>
    <row r="1329" spans="10:12" x14ac:dyDescent="0.25">
      <c r="J1329" s="144"/>
      <c r="K1329" s="144"/>
      <c r="L1329" s="144"/>
    </row>
    <row r="1330" spans="10:12" x14ac:dyDescent="0.25">
      <c r="J1330" s="144"/>
      <c r="K1330" s="144"/>
      <c r="L1330" s="144"/>
    </row>
    <row r="1331" spans="10:12" x14ac:dyDescent="0.25">
      <c r="J1331" s="144"/>
      <c r="K1331" s="144"/>
      <c r="L1331" s="144"/>
    </row>
    <row r="1332" spans="10:12" x14ac:dyDescent="0.25">
      <c r="J1332" s="144"/>
      <c r="K1332" s="144"/>
      <c r="L1332" s="144"/>
    </row>
    <row r="1333" spans="10:12" x14ac:dyDescent="0.25">
      <c r="J1333" s="144"/>
      <c r="K1333" s="144"/>
      <c r="L1333" s="144"/>
    </row>
    <row r="1334" spans="10:12" x14ac:dyDescent="0.25">
      <c r="J1334" s="144"/>
      <c r="K1334" s="144"/>
      <c r="L1334" s="144"/>
    </row>
    <row r="1335" spans="10:12" x14ac:dyDescent="0.25">
      <c r="J1335" s="144"/>
      <c r="K1335" s="144"/>
      <c r="L1335" s="144"/>
    </row>
    <row r="1336" spans="10:12" x14ac:dyDescent="0.25">
      <c r="J1336" s="144"/>
      <c r="K1336" s="144"/>
      <c r="L1336" s="144"/>
    </row>
    <row r="1337" spans="10:12" x14ac:dyDescent="0.25">
      <c r="J1337" s="144"/>
      <c r="K1337" s="144"/>
      <c r="L1337" s="144"/>
    </row>
    <row r="1338" spans="10:12" x14ac:dyDescent="0.25">
      <c r="J1338" s="144"/>
      <c r="K1338" s="144"/>
      <c r="L1338" s="144"/>
    </row>
    <row r="1339" spans="10:12" x14ac:dyDescent="0.25">
      <c r="J1339" s="144"/>
      <c r="K1339" s="144"/>
      <c r="L1339" s="144"/>
    </row>
    <row r="1340" spans="10:12" x14ac:dyDescent="0.25">
      <c r="J1340" s="144"/>
      <c r="K1340" s="144"/>
      <c r="L1340" s="144"/>
    </row>
    <row r="1341" spans="10:12" x14ac:dyDescent="0.25">
      <c r="J1341" s="144"/>
      <c r="K1341" s="144"/>
      <c r="L1341" s="144"/>
    </row>
    <row r="1342" spans="10:12" x14ac:dyDescent="0.25">
      <c r="J1342" s="144"/>
      <c r="K1342" s="144"/>
      <c r="L1342" s="144"/>
    </row>
    <row r="1343" spans="10:12" x14ac:dyDescent="0.25">
      <c r="J1343" s="144"/>
      <c r="K1343" s="144"/>
      <c r="L1343" s="144"/>
    </row>
    <row r="1344" spans="10:12" x14ac:dyDescent="0.25">
      <c r="J1344" s="144"/>
      <c r="K1344" s="144"/>
      <c r="L1344" s="144"/>
    </row>
    <row r="1345" spans="10:12" x14ac:dyDescent="0.25">
      <c r="J1345" s="144"/>
      <c r="K1345" s="144"/>
      <c r="L1345" s="144"/>
    </row>
    <row r="1346" spans="10:12" x14ac:dyDescent="0.25">
      <c r="J1346" s="144"/>
      <c r="K1346" s="144"/>
      <c r="L1346" s="144"/>
    </row>
    <row r="1347" spans="10:12" x14ac:dyDescent="0.25">
      <c r="J1347" s="144"/>
      <c r="K1347" s="144"/>
      <c r="L1347" s="144"/>
    </row>
    <row r="1348" spans="10:12" x14ac:dyDescent="0.25">
      <c r="J1348" s="144"/>
      <c r="K1348" s="144"/>
      <c r="L1348" s="144"/>
    </row>
    <row r="1349" spans="10:12" x14ac:dyDescent="0.25">
      <c r="J1349" s="144"/>
      <c r="K1349" s="144"/>
      <c r="L1349" s="144"/>
    </row>
    <row r="1350" spans="10:12" x14ac:dyDescent="0.25">
      <c r="J1350" s="144"/>
      <c r="K1350" s="144"/>
      <c r="L1350" s="144"/>
    </row>
    <row r="1351" spans="10:12" x14ac:dyDescent="0.25">
      <c r="J1351" s="144"/>
      <c r="K1351" s="144"/>
      <c r="L1351" s="144"/>
    </row>
    <row r="1352" spans="10:12" x14ac:dyDescent="0.25">
      <c r="J1352" s="144"/>
      <c r="K1352" s="144"/>
      <c r="L1352" s="144"/>
    </row>
    <row r="1353" spans="10:12" x14ac:dyDescent="0.25">
      <c r="J1353" s="144"/>
      <c r="K1353" s="144"/>
      <c r="L1353" s="144"/>
    </row>
    <row r="1354" spans="10:12" x14ac:dyDescent="0.25">
      <c r="J1354" s="144"/>
      <c r="K1354" s="144"/>
      <c r="L1354" s="144"/>
    </row>
    <row r="1355" spans="10:12" x14ac:dyDescent="0.25">
      <c r="J1355" s="144"/>
      <c r="K1355" s="144"/>
      <c r="L1355" s="144"/>
    </row>
    <row r="1356" spans="10:12" x14ac:dyDescent="0.25">
      <c r="J1356" s="144"/>
      <c r="K1356" s="144"/>
      <c r="L1356" s="144"/>
    </row>
    <row r="1357" spans="10:12" x14ac:dyDescent="0.25">
      <c r="J1357" s="144"/>
      <c r="K1357" s="144"/>
      <c r="L1357" s="144"/>
    </row>
    <row r="1358" spans="10:12" x14ac:dyDescent="0.25">
      <c r="J1358" s="144"/>
      <c r="K1358" s="144"/>
      <c r="L1358" s="144"/>
    </row>
    <row r="1359" spans="10:12" x14ac:dyDescent="0.25">
      <c r="J1359" s="144"/>
      <c r="K1359" s="144"/>
      <c r="L1359" s="144"/>
    </row>
    <row r="1360" spans="10:12" x14ac:dyDescent="0.25">
      <c r="J1360" s="144"/>
      <c r="K1360" s="144"/>
      <c r="L1360" s="144"/>
    </row>
    <row r="1361" spans="10:12" x14ac:dyDescent="0.25">
      <c r="J1361" s="144"/>
      <c r="K1361" s="144"/>
      <c r="L1361" s="144"/>
    </row>
    <row r="1362" spans="10:12" x14ac:dyDescent="0.25">
      <c r="J1362" s="144"/>
      <c r="K1362" s="144"/>
      <c r="L1362" s="144"/>
    </row>
    <row r="1363" spans="10:12" x14ac:dyDescent="0.25">
      <c r="J1363" s="144"/>
      <c r="K1363" s="144"/>
      <c r="L1363" s="144"/>
    </row>
    <row r="1364" spans="10:12" x14ac:dyDescent="0.25">
      <c r="J1364" s="144"/>
      <c r="K1364" s="144"/>
      <c r="L1364" s="144"/>
    </row>
    <row r="1365" spans="10:12" x14ac:dyDescent="0.25">
      <c r="J1365" s="144"/>
      <c r="K1365" s="144"/>
      <c r="L1365" s="144"/>
    </row>
    <row r="1366" spans="10:12" x14ac:dyDescent="0.25">
      <c r="J1366" s="144"/>
      <c r="K1366" s="144"/>
      <c r="L1366" s="144"/>
    </row>
    <row r="1367" spans="10:12" x14ac:dyDescent="0.25">
      <c r="J1367" s="144"/>
      <c r="K1367" s="144"/>
      <c r="L1367" s="144"/>
    </row>
    <row r="1368" spans="10:12" x14ac:dyDescent="0.25">
      <c r="J1368" s="144"/>
      <c r="K1368" s="144"/>
      <c r="L1368" s="144"/>
    </row>
    <row r="1369" spans="10:12" x14ac:dyDescent="0.25">
      <c r="J1369" s="144"/>
      <c r="K1369" s="144"/>
      <c r="L1369" s="144"/>
    </row>
    <row r="1370" spans="10:12" x14ac:dyDescent="0.25">
      <c r="J1370" s="144"/>
      <c r="K1370" s="144"/>
      <c r="L1370" s="144"/>
    </row>
    <row r="1371" spans="10:12" x14ac:dyDescent="0.25">
      <c r="J1371" s="144"/>
      <c r="K1371" s="144"/>
      <c r="L1371" s="144"/>
    </row>
    <row r="1372" spans="10:12" x14ac:dyDescent="0.25">
      <c r="J1372" s="144"/>
      <c r="K1372" s="144"/>
      <c r="L1372" s="144"/>
    </row>
    <row r="1373" spans="10:12" x14ac:dyDescent="0.25">
      <c r="J1373" s="144"/>
      <c r="K1373" s="144"/>
      <c r="L1373" s="144"/>
    </row>
    <row r="1374" spans="10:12" x14ac:dyDescent="0.25">
      <c r="J1374" s="144"/>
      <c r="K1374" s="144"/>
      <c r="L1374" s="144"/>
    </row>
    <row r="1375" spans="10:12" x14ac:dyDescent="0.25">
      <c r="J1375" s="144"/>
      <c r="K1375" s="144"/>
      <c r="L1375" s="144"/>
    </row>
    <row r="1376" spans="10:12" x14ac:dyDescent="0.25">
      <c r="J1376" s="144"/>
      <c r="K1376" s="144"/>
      <c r="L1376" s="144"/>
    </row>
    <row r="1377" spans="10:12" x14ac:dyDescent="0.25">
      <c r="J1377" s="144"/>
      <c r="K1377" s="144"/>
      <c r="L1377" s="144"/>
    </row>
    <row r="1378" spans="10:12" x14ac:dyDescent="0.25">
      <c r="J1378" s="144"/>
      <c r="K1378" s="144"/>
      <c r="L1378" s="144"/>
    </row>
    <row r="1379" spans="10:12" x14ac:dyDescent="0.25">
      <c r="J1379" s="144"/>
      <c r="K1379" s="144"/>
      <c r="L1379" s="144"/>
    </row>
    <row r="1380" spans="10:12" x14ac:dyDescent="0.25">
      <c r="J1380" s="144"/>
      <c r="K1380" s="144"/>
      <c r="L1380" s="144"/>
    </row>
    <row r="1381" spans="10:12" x14ac:dyDescent="0.25">
      <c r="J1381" s="144"/>
      <c r="K1381" s="144"/>
      <c r="L1381" s="144"/>
    </row>
    <row r="1382" spans="10:12" x14ac:dyDescent="0.25">
      <c r="J1382" s="144"/>
      <c r="K1382" s="144"/>
      <c r="L1382" s="144"/>
    </row>
    <row r="1383" spans="10:12" x14ac:dyDescent="0.25">
      <c r="J1383" s="144"/>
      <c r="K1383" s="144"/>
      <c r="L1383" s="144"/>
    </row>
    <row r="1384" spans="10:12" x14ac:dyDescent="0.25">
      <c r="J1384" s="144"/>
      <c r="K1384" s="144"/>
      <c r="L1384" s="144"/>
    </row>
    <row r="1385" spans="10:12" x14ac:dyDescent="0.25">
      <c r="J1385" s="144"/>
      <c r="K1385" s="144"/>
      <c r="L1385" s="144"/>
    </row>
    <row r="1386" spans="10:12" x14ac:dyDescent="0.25">
      <c r="J1386" s="144"/>
      <c r="K1386" s="144"/>
      <c r="L1386" s="144"/>
    </row>
    <row r="1387" spans="10:12" x14ac:dyDescent="0.25">
      <c r="J1387" s="144"/>
      <c r="K1387" s="144"/>
      <c r="L1387" s="144"/>
    </row>
    <row r="1388" spans="10:12" x14ac:dyDescent="0.25">
      <c r="J1388" s="144"/>
      <c r="K1388" s="144"/>
      <c r="L1388" s="144"/>
    </row>
    <row r="1389" spans="10:12" x14ac:dyDescent="0.25">
      <c r="J1389" s="144"/>
      <c r="K1389" s="144"/>
      <c r="L1389" s="144"/>
    </row>
    <row r="1390" spans="10:12" x14ac:dyDescent="0.25">
      <c r="J1390" s="144"/>
      <c r="K1390" s="144"/>
      <c r="L1390" s="144"/>
    </row>
    <row r="1391" spans="10:12" x14ac:dyDescent="0.25">
      <c r="J1391" s="144"/>
      <c r="K1391" s="144"/>
      <c r="L1391" s="144"/>
    </row>
    <row r="1392" spans="10:12" x14ac:dyDescent="0.25">
      <c r="J1392" s="144"/>
      <c r="K1392" s="144"/>
      <c r="L1392" s="144"/>
    </row>
    <row r="1393" spans="10:12" x14ac:dyDescent="0.25">
      <c r="J1393" s="144"/>
      <c r="K1393" s="144"/>
      <c r="L1393" s="144"/>
    </row>
    <row r="1394" spans="10:12" x14ac:dyDescent="0.25">
      <c r="J1394" s="144"/>
      <c r="K1394" s="144"/>
      <c r="L1394" s="144"/>
    </row>
    <row r="1395" spans="10:12" x14ac:dyDescent="0.25">
      <c r="J1395" s="144"/>
      <c r="K1395" s="144"/>
      <c r="L1395" s="144"/>
    </row>
    <row r="1396" spans="10:12" x14ac:dyDescent="0.25">
      <c r="J1396" s="144"/>
      <c r="K1396" s="144"/>
      <c r="L1396" s="144"/>
    </row>
    <row r="1397" spans="10:12" x14ac:dyDescent="0.25">
      <c r="J1397" s="144"/>
      <c r="K1397" s="144"/>
      <c r="L1397" s="144"/>
    </row>
    <row r="1398" spans="10:12" x14ac:dyDescent="0.25">
      <c r="J1398" s="144"/>
      <c r="K1398" s="144"/>
      <c r="L1398" s="144"/>
    </row>
    <row r="1399" spans="10:12" x14ac:dyDescent="0.25">
      <c r="J1399" s="144"/>
      <c r="K1399" s="144"/>
      <c r="L1399" s="144"/>
    </row>
    <row r="1400" spans="10:12" x14ac:dyDescent="0.25">
      <c r="J1400" s="144"/>
      <c r="K1400" s="144"/>
      <c r="L1400" s="144"/>
    </row>
    <row r="1401" spans="10:12" x14ac:dyDescent="0.25">
      <c r="J1401" s="144"/>
      <c r="K1401" s="144"/>
      <c r="L1401" s="144"/>
    </row>
    <row r="1402" spans="10:12" x14ac:dyDescent="0.25">
      <c r="J1402" s="144"/>
      <c r="K1402" s="144"/>
      <c r="L1402" s="144"/>
    </row>
    <row r="1403" spans="10:12" x14ac:dyDescent="0.25">
      <c r="J1403" s="144"/>
      <c r="K1403" s="144"/>
      <c r="L1403" s="144"/>
    </row>
    <row r="1404" spans="10:12" x14ac:dyDescent="0.25">
      <c r="J1404" s="144"/>
      <c r="K1404" s="144"/>
      <c r="L1404" s="144"/>
    </row>
    <row r="1405" spans="10:12" x14ac:dyDescent="0.25">
      <c r="J1405" s="144"/>
      <c r="K1405" s="144"/>
      <c r="L1405" s="144"/>
    </row>
    <row r="1406" spans="10:12" x14ac:dyDescent="0.25">
      <c r="J1406" s="144"/>
      <c r="K1406" s="144"/>
      <c r="L1406" s="144"/>
    </row>
    <row r="1407" spans="10:12" x14ac:dyDescent="0.25">
      <c r="J1407" s="144"/>
      <c r="K1407" s="144"/>
      <c r="L1407" s="144"/>
    </row>
    <row r="1408" spans="10:12" x14ac:dyDescent="0.25">
      <c r="J1408" s="144"/>
      <c r="K1408" s="144"/>
      <c r="L1408" s="144"/>
    </row>
    <row r="1409" spans="10:12" x14ac:dyDescent="0.25">
      <c r="J1409" s="144"/>
      <c r="K1409" s="144"/>
      <c r="L1409" s="144"/>
    </row>
    <row r="1410" spans="10:12" x14ac:dyDescent="0.25">
      <c r="J1410" s="144"/>
      <c r="K1410" s="144"/>
      <c r="L1410" s="144"/>
    </row>
    <row r="1411" spans="10:12" x14ac:dyDescent="0.25">
      <c r="J1411" s="144"/>
      <c r="K1411" s="144"/>
      <c r="L1411" s="144"/>
    </row>
    <row r="1412" spans="10:12" x14ac:dyDescent="0.25">
      <c r="J1412" s="144"/>
      <c r="K1412" s="144"/>
      <c r="L1412" s="144"/>
    </row>
    <row r="1413" spans="10:12" x14ac:dyDescent="0.25">
      <c r="J1413" s="144"/>
      <c r="K1413" s="144"/>
      <c r="L1413" s="144"/>
    </row>
    <row r="1414" spans="10:12" x14ac:dyDescent="0.25">
      <c r="J1414" s="144"/>
      <c r="K1414" s="144"/>
      <c r="L1414" s="144"/>
    </row>
    <row r="1415" spans="10:12" x14ac:dyDescent="0.25">
      <c r="J1415" s="144"/>
      <c r="K1415" s="144"/>
      <c r="L1415" s="144"/>
    </row>
    <row r="1416" spans="10:12" x14ac:dyDescent="0.25">
      <c r="J1416" s="144"/>
      <c r="K1416" s="144"/>
      <c r="L1416" s="144"/>
    </row>
    <row r="1417" spans="10:12" x14ac:dyDescent="0.25">
      <c r="J1417" s="144"/>
      <c r="K1417" s="144"/>
      <c r="L1417" s="144"/>
    </row>
    <row r="1418" spans="10:12" x14ac:dyDescent="0.25">
      <c r="J1418" s="144"/>
      <c r="K1418" s="144"/>
      <c r="L1418" s="144"/>
    </row>
    <row r="1419" spans="10:12" x14ac:dyDescent="0.25">
      <c r="J1419" s="144"/>
      <c r="K1419" s="144"/>
      <c r="L1419" s="144"/>
    </row>
    <row r="1420" spans="10:12" x14ac:dyDescent="0.25">
      <c r="J1420" s="144"/>
      <c r="K1420" s="144"/>
      <c r="L1420" s="144"/>
    </row>
    <row r="1421" spans="10:12" x14ac:dyDescent="0.25">
      <c r="J1421" s="144"/>
      <c r="K1421" s="144"/>
      <c r="L1421" s="144"/>
    </row>
    <row r="1422" spans="10:12" x14ac:dyDescent="0.25">
      <c r="J1422" s="144"/>
      <c r="K1422" s="144"/>
      <c r="L1422" s="144"/>
    </row>
    <row r="1423" spans="10:12" x14ac:dyDescent="0.25">
      <c r="J1423" s="144"/>
      <c r="K1423" s="144"/>
      <c r="L1423" s="144"/>
    </row>
    <row r="1424" spans="10:12" x14ac:dyDescent="0.25">
      <c r="J1424" s="144"/>
      <c r="K1424" s="144"/>
      <c r="L1424" s="144"/>
    </row>
    <row r="1425" spans="10:12" x14ac:dyDescent="0.25">
      <c r="J1425" s="144"/>
      <c r="K1425" s="144"/>
      <c r="L1425" s="144"/>
    </row>
    <row r="1426" spans="10:12" x14ac:dyDescent="0.25">
      <c r="J1426" s="144"/>
      <c r="K1426" s="144"/>
      <c r="L1426" s="144"/>
    </row>
    <row r="1427" spans="10:12" x14ac:dyDescent="0.25">
      <c r="J1427" s="144"/>
      <c r="K1427" s="144"/>
      <c r="L1427" s="144"/>
    </row>
    <row r="1428" spans="10:12" x14ac:dyDescent="0.25">
      <c r="J1428" s="144"/>
      <c r="K1428" s="144"/>
      <c r="L1428" s="144"/>
    </row>
    <row r="1429" spans="10:12" x14ac:dyDescent="0.25">
      <c r="J1429" s="144"/>
      <c r="K1429" s="144"/>
      <c r="L1429" s="144"/>
    </row>
    <row r="1430" spans="10:12" x14ac:dyDescent="0.25">
      <c r="J1430" s="144"/>
      <c r="K1430" s="144"/>
      <c r="L1430" s="144"/>
    </row>
    <row r="1431" spans="10:12" x14ac:dyDescent="0.25">
      <c r="J1431" s="144"/>
      <c r="K1431" s="144"/>
      <c r="L1431" s="144"/>
    </row>
    <row r="1432" spans="10:12" x14ac:dyDescent="0.25">
      <c r="J1432" s="144"/>
      <c r="K1432" s="144"/>
      <c r="L1432" s="144"/>
    </row>
    <row r="1433" spans="10:12" x14ac:dyDescent="0.25">
      <c r="J1433" s="144"/>
      <c r="K1433" s="144"/>
      <c r="L1433" s="144"/>
    </row>
    <row r="1434" spans="10:12" x14ac:dyDescent="0.25">
      <c r="J1434" s="144"/>
      <c r="K1434" s="144"/>
      <c r="L1434" s="144"/>
    </row>
    <row r="1435" spans="10:12" x14ac:dyDescent="0.25">
      <c r="J1435" s="144"/>
      <c r="K1435" s="144"/>
      <c r="L1435" s="144"/>
    </row>
    <row r="1436" spans="10:12" x14ac:dyDescent="0.25">
      <c r="J1436" s="144"/>
      <c r="K1436" s="144"/>
      <c r="L1436" s="144"/>
    </row>
    <row r="1437" spans="10:12" x14ac:dyDescent="0.25">
      <c r="J1437" s="144"/>
      <c r="K1437" s="144"/>
      <c r="L1437" s="144"/>
    </row>
    <row r="1438" spans="10:12" x14ac:dyDescent="0.25">
      <c r="J1438" s="144"/>
      <c r="K1438" s="144"/>
      <c r="L1438" s="144"/>
    </row>
    <row r="1439" spans="10:12" x14ac:dyDescent="0.25">
      <c r="J1439" s="144"/>
      <c r="K1439" s="144"/>
      <c r="L1439" s="144"/>
    </row>
    <row r="1440" spans="10:12" x14ac:dyDescent="0.25">
      <c r="J1440" s="144"/>
      <c r="K1440" s="144"/>
      <c r="L1440" s="144"/>
    </row>
    <row r="1441" spans="10:12" x14ac:dyDescent="0.25">
      <c r="J1441" s="144"/>
      <c r="K1441" s="144"/>
      <c r="L1441" s="144"/>
    </row>
    <row r="1442" spans="10:12" x14ac:dyDescent="0.25">
      <c r="J1442" s="144"/>
      <c r="K1442" s="144"/>
      <c r="L1442" s="144"/>
    </row>
    <row r="1443" spans="10:12" x14ac:dyDescent="0.25">
      <c r="J1443" s="144"/>
      <c r="K1443" s="144"/>
      <c r="L1443" s="144"/>
    </row>
    <row r="1444" spans="10:12" x14ac:dyDescent="0.25">
      <c r="J1444" s="144"/>
      <c r="K1444" s="144"/>
      <c r="L1444" s="144"/>
    </row>
    <row r="1445" spans="10:12" x14ac:dyDescent="0.25">
      <c r="J1445" s="144"/>
      <c r="K1445" s="144"/>
      <c r="L1445" s="144"/>
    </row>
    <row r="1446" spans="10:12" x14ac:dyDescent="0.25">
      <c r="J1446" s="144"/>
      <c r="K1446" s="144"/>
      <c r="L1446" s="144"/>
    </row>
    <row r="1447" spans="10:12" x14ac:dyDescent="0.25">
      <c r="J1447" s="144"/>
      <c r="K1447" s="144"/>
      <c r="L1447" s="144"/>
    </row>
    <row r="1448" spans="10:12" x14ac:dyDescent="0.25">
      <c r="J1448" s="144"/>
      <c r="K1448" s="144"/>
      <c r="L1448" s="144"/>
    </row>
    <row r="1449" spans="10:12" x14ac:dyDescent="0.25">
      <c r="J1449" s="144"/>
      <c r="K1449" s="144"/>
      <c r="L1449" s="144"/>
    </row>
    <row r="1450" spans="10:12" x14ac:dyDescent="0.25">
      <c r="J1450" s="144"/>
      <c r="K1450" s="144"/>
      <c r="L1450" s="144"/>
    </row>
    <row r="1451" spans="10:12" x14ac:dyDescent="0.25">
      <c r="J1451" s="144"/>
      <c r="K1451" s="144"/>
      <c r="L1451" s="144"/>
    </row>
    <row r="1452" spans="10:12" x14ac:dyDescent="0.25">
      <c r="J1452" s="144"/>
      <c r="K1452" s="144"/>
      <c r="L1452" s="144"/>
    </row>
    <row r="1453" spans="10:12" x14ac:dyDescent="0.25">
      <c r="J1453" s="144"/>
      <c r="K1453" s="144"/>
      <c r="L1453" s="144"/>
    </row>
    <row r="1454" spans="10:12" x14ac:dyDescent="0.25">
      <c r="J1454" s="144"/>
      <c r="K1454" s="144"/>
      <c r="L1454" s="144"/>
    </row>
    <row r="1455" spans="10:12" x14ac:dyDescent="0.25">
      <c r="J1455" s="144"/>
      <c r="K1455" s="144"/>
      <c r="L1455" s="144"/>
    </row>
    <row r="1456" spans="10:12" x14ac:dyDescent="0.25">
      <c r="J1456" s="144"/>
      <c r="K1456" s="144"/>
      <c r="L1456" s="144"/>
    </row>
    <row r="1457" spans="10:12" x14ac:dyDescent="0.25">
      <c r="J1457" s="144"/>
      <c r="K1457" s="144"/>
      <c r="L1457" s="144"/>
    </row>
    <row r="1458" spans="10:12" x14ac:dyDescent="0.25">
      <c r="J1458" s="144"/>
      <c r="K1458" s="144"/>
      <c r="L1458" s="144"/>
    </row>
    <row r="1459" spans="10:12" x14ac:dyDescent="0.25">
      <c r="J1459" s="144"/>
      <c r="K1459" s="144"/>
      <c r="L1459" s="144"/>
    </row>
    <row r="1460" spans="10:12" x14ac:dyDescent="0.25">
      <c r="J1460" s="144"/>
      <c r="K1460" s="144"/>
      <c r="L1460" s="144"/>
    </row>
    <row r="1461" spans="10:12" x14ac:dyDescent="0.25">
      <c r="J1461" s="144"/>
      <c r="K1461" s="144"/>
      <c r="L1461" s="144"/>
    </row>
    <row r="1462" spans="10:12" x14ac:dyDescent="0.25">
      <c r="J1462" s="144"/>
      <c r="K1462" s="144"/>
      <c r="L1462" s="144"/>
    </row>
    <row r="1463" spans="10:12" x14ac:dyDescent="0.25">
      <c r="J1463" s="144"/>
      <c r="K1463" s="144"/>
      <c r="L1463" s="144"/>
    </row>
    <row r="1464" spans="10:12" x14ac:dyDescent="0.25">
      <c r="J1464" s="144"/>
      <c r="K1464" s="144"/>
      <c r="L1464" s="144"/>
    </row>
    <row r="1465" spans="10:12" x14ac:dyDescent="0.25">
      <c r="J1465" s="144"/>
      <c r="K1465" s="144"/>
      <c r="L1465" s="144"/>
    </row>
    <row r="1466" spans="10:12" x14ac:dyDescent="0.25">
      <c r="J1466" s="144"/>
      <c r="K1466" s="144"/>
      <c r="L1466" s="144"/>
    </row>
    <row r="1467" spans="10:12" x14ac:dyDescent="0.25">
      <c r="J1467" s="144"/>
      <c r="K1467" s="144"/>
      <c r="L1467" s="144"/>
    </row>
    <row r="1468" spans="10:12" x14ac:dyDescent="0.25">
      <c r="J1468" s="144"/>
      <c r="K1468" s="144"/>
      <c r="L1468" s="144"/>
    </row>
    <row r="1469" spans="10:12" x14ac:dyDescent="0.25">
      <c r="J1469" s="144"/>
      <c r="K1469" s="144"/>
      <c r="L1469" s="144"/>
    </row>
    <row r="1470" spans="10:12" x14ac:dyDescent="0.25">
      <c r="J1470" s="144"/>
      <c r="K1470" s="144"/>
      <c r="L1470" s="144"/>
    </row>
    <row r="1471" spans="10:12" x14ac:dyDescent="0.25">
      <c r="J1471" s="144"/>
      <c r="K1471" s="144"/>
      <c r="L1471" s="144"/>
    </row>
    <row r="1472" spans="10:12" x14ac:dyDescent="0.25">
      <c r="J1472" s="144"/>
      <c r="K1472" s="144"/>
      <c r="L1472" s="144"/>
    </row>
    <row r="1473" spans="10:12" x14ac:dyDescent="0.25">
      <c r="J1473" s="144"/>
      <c r="K1473" s="144"/>
      <c r="L1473" s="144"/>
    </row>
    <row r="1474" spans="10:12" x14ac:dyDescent="0.25">
      <c r="J1474" s="144"/>
      <c r="K1474" s="144"/>
      <c r="L1474" s="144"/>
    </row>
    <row r="1475" spans="10:12" x14ac:dyDescent="0.25">
      <c r="J1475" s="144"/>
      <c r="K1475" s="144"/>
      <c r="L1475" s="144"/>
    </row>
    <row r="1476" spans="10:12" x14ac:dyDescent="0.25">
      <c r="J1476" s="144"/>
      <c r="K1476" s="144"/>
      <c r="L1476" s="144"/>
    </row>
    <row r="1477" spans="10:12" x14ac:dyDescent="0.25">
      <c r="J1477" s="144"/>
      <c r="K1477" s="144"/>
      <c r="L1477" s="144"/>
    </row>
    <row r="1478" spans="10:12" x14ac:dyDescent="0.25">
      <c r="J1478" s="144"/>
      <c r="K1478" s="144"/>
      <c r="L1478" s="144"/>
    </row>
    <row r="1479" spans="10:12" x14ac:dyDescent="0.25">
      <c r="J1479" s="144"/>
      <c r="K1479" s="144"/>
      <c r="L1479" s="144"/>
    </row>
    <row r="1480" spans="10:12" x14ac:dyDescent="0.25">
      <c r="J1480" s="144"/>
      <c r="K1480" s="144"/>
      <c r="L1480" s="144"/>
    </row>
    <row r="1481" spans="10:12" x14ac:dyDescent="0.25">
      <c r="J1481" s="144"/>
      <c r="K1481" s="144"/>
      <c r="L1481" s="144"/>
    </row>
    <row r="1482" spans="10:12" x14ac:dyDescent="0.25">
      <c r="J1482" s="144"/>
      <c r="K1482" s="144"/>
      <c r="L1482" s="144"/>
    </row>
    <row r="1483" spans="10:12" x14ac:dyDescent="0.25">
      <c r="J1483" s="144"/>
      <c r="K1483" s="144"/>
      <c r="L1483" s="144"/>
    </row>
    <row r="1484" spans="10:12" x14ac:dyDescent="0.25">
      <c r="J1484" s="144"/>
      <c r="K1484" s="144"/>
      <c r="L1484" s="144"/>
    </row>
    <row r="1485" spans="10:12" x14ac:dyDescent="0.25">
      <c r="J1485" s="144"/>
      <c r="K1485" s="144"/>
      <c r="L1485" s="144"/>
    </row>
    <row r="1486" spans="10:12" x14ac:dyDescent="0.25">
      <c r="J1486" s="144"/>
      <c r="K1486" s="144"/>
      <c r="L1486" s="144"/>
    </row>
    <row r="1487" spans="10:12" x14ac:dyDescent="0.25">
      <c r="J1487" s="144"/>
      <c r="K1487" s="144"/>
      <c r="L1487" s="144"/>
    </row>
    <row r="1488" spans="10:12" x14ac:dyDescent="0.25">
      <c r="J1488" s="144"/>
      <c r="K1488" s="144"/>
      <c r="L1488" s="144"/>
    </row>
    <row r="1489" spans="10:12" x14ac:dyDescent="0.25">
      <c r="J1489" s="144"/>
      <c r="K1489" s="144"/>
      <c r="L1489" s="144"/>
    </row>
    <row r="1490" spans="10:12" x14ac:dyDescent="0.25">
      <c r="J1490" s="144"/>
      <c r="K1490" s="144"/>
      <c r="L1490" s="144"/>
    </row>
    <row r="1491" spans="10:12" x14ac:dyDescent="0.25">
      <c r="J1491" s="144"/>
      <c r="K1491" s="144"/>
      <c r="L1491" s="144"/>
    </row>
    <row r="1492" spans="10:12" x14ac:dyDescent="0.25">
      <c r="J1492" s="144"/>
      <c r="K1492" s="144"/>
      <c r="L1492" s="144"/>
    </row>
    <row r="1493" spans="10:12" x14ac:dyDescent="0.25">
      <c r="J1493" s="144"/>
      <c r="K1493" s="144"/>
      <c r="L1493" s="144"/>
    </row>
    <row r="1494" spans="10:12" x14ac:dyDescent="0.25">
      <c r="J1494" s="144"/>
      <c r="K1494" s="144"/>
      <c r="L1494" s="144"/>
    </row>
    <row r="1495" spans="10:12" x14ac:dyDescent="0.25">
      <c r="J1495" s="144"/>
      <c r="K1495" s="144"/>
      <c r="L1495" s="144"/>
    </row>
    <row r="1496" spans="10:12" x14ac:dyDescent="0.25">
      <c r="J1496" s="144"/>
      <c r="K1496" s="144"/>
      <c r="L1496" s="144"/>
    </row>
    <row r="1497" spans="10:12" x14ac:dyDescent="0.25">
      <c r="J1497" s="144"/>
      <c r="K1497" s="144"/>
      <c r="L1497" s="144"/>
    </row>
    <row r="1498" spans="10:12" x14ac:dyDescent="0.25">
      <c r="J1498" s="144"/>
      <c r="K1498" s="144"/>
      <c r="L1498" s="144"/>
    </row>
    <row r="1499" spans="10:12" x14ac:dyDescent="0.25">
      <c r="J1499" s="144"/>
      <c r="K1499" s="144"/>
      <c r="L1499" s="144"/>
    </row>
    <row r="1500" spans="10:12" x14ac:dyDescent="0.25">
      <c r="J1500" s="144"/>
      <c r="K1500" s="144"/>
      <c r="L1500" s="144"/>
    </row>
    <row r="1501" spans="10:12" x14ac:dyDescent="0.25">
      <c r="J1501" s="144"/>
      <c r="K1501" s="144"/>
      <c r="L1501" s="144"/>
    </row>
    <row r="1502" spans="10:12" x14ac:dyDescent="0.25">
      <c r="J1502" s="144"/>
      <c r="K1502" s="144"/>
      <c r="L1502" s="144"/>
    </row>
    <row r="1503" spans="10:12" x14ac:dyDescent="0.25">
      <c r="J1503" s="144"/>
      <c r="K1503" s="144"/>
      <c r="L1503" s="144"/>
    </row>
    <row r="1504" spans="10:12" x14ac:dyDescent="0.25">
      <c r="J1504" s="144"/>
      <c r="K1504" s="144"/>
      <c r="L1504" s="144"/>
    </row>
    <row r="1505" spans="10:12" x14ac:dyDescent="0.25">
      <c r="J1505" s="144"/>
      <c r="K1505" s="144"/>
      <c r="L1505" s="144"/>
    </row>
    <row r="1506" spans="10:12" x14ac:dyDescent="0.25">
      <c r="J1506" s="144"/>
      <c r="K1506" s="144"/>
      <c r="L1506" s="144"/>
    </row>
    <row r="1507" spans="10:12" x14ac:dyDescent="0.25">
      <c r="J1507" s="144"/>
      <c r="K1507" s="144"/>
      <c r="L1507" s="144"/>
    </row>
    <row r="1508" spans="10:12" x14ac:dyDescent="0.25">
      <c r="J1508" s="144"/>
      <c r="K1508" s="144"/>
      <c r="L1508" s="144"/>
    </row>
    <row r="1509" spans="10:12" x14ac:dyDescent="0.25">
      <c r="J1509" s="144"/>
      <c r="K1509" s="144"/>
      <c r="L1509" s="144"/>
    </row>
    <row r="1510" spans="10:12" x14ac:dyDescent="0.25">
      <c r="J1510" s="144"/>
      <c r="K1510" s="144"/>
      <c r="L1510" s="144"/>
    </row>
    <row r="1511" spans="10:12" x14ac:dyDescent="0.25">
      <c r="J1511" s="144"/>
      <c r="K1511" s="144"/>
      <c r="L1511" s="144"/>
    </row>
    <row r="1512" spans="10:12" x14ac:dyDescent="0.25">
      <c r="J1512" s="144"/>
      <c r="K1512" s="144"/>
      <c r="L1512" s="144"/>
    </row>
    <row r="1513" spans="10:12" x14ac:dyDescent="0.25">
      <c r="J1513" s="144"/>
      <c r="K1513" s="144"/>
      <c r="L1513" s="144"/>
    </row>
    <row r="1514" spans="10:12" x14ac:dyDescent="0.25">
      <c r="J1514" s="144"/>
      <c r="K1514" s="144"/>
      <c r="L1514" s="144"/>
    </row>
    <row r="1515" spans="10:12" x14ac:dyDescent="0.25">
      <c r="J1515" s="144"/>
      <c r="K1515" s="144"/>
      <c r="L1515" s="144"/>
    </row>
    <row r="1516" spans="10:12" x14ac:dyDescent="0.25">
      <c r="J1516" s="144"/>
      <c r="K1516" s="144"/>
      <c r="L1516" s="144"/>
    </row>
    <row r="1517" spans="10:12" x14ac:dyDescent="0.25">
      <c r="J1517" s="144"/>
      <c r="K1517" s="144"/>
      <c r="L1517" s="144"/>
    </row>
    <row r="1518" spans="10:12" x14ac:dyDescent="0.25">
      <c r="J1518" s="144"/>
      <c r="K1518" s="144"/>
      <c r="L1518" s="144"/>
    </row>
    <row r="1519" spans="10:12" x14ac:dyDescent="0.25">
      <c r="J1519" s="144"/>
      <c r="K1519" s="144"/>
      <c r="L1519" s="144"/>
    </row>
    <row r="1520" spans="10:12" x14ac:dyDescent="0.25">
      <c r="J1520" s="144"/>
      <c r="K1520" s="144"/>
      <c r="L1520" s="144"/>
    </row>
    <row r="1521" spans="10:12" x14ac:dyDescent="0.25">
      <c r="J1521" s="144"/>
      <c r="K1521" s="144"/>
      <c r="L1521" s="144"/>
    </row>
    <row r="1522" spans="10:12" x14ac:dyDescent="0.25">
      <c r="J1522" s="144"/>
      <c r="K1522" s="144"/>
      <c r="L1522" s="144"/>
    </row>
    <row r="1523" spans="10:12" x14ac:dyDescent="0.25">
      <c r="J1523" s="144"/>
      <c r="K1523" s="144"/>
      <c r="L1523" s="144"/>
    </row>
    <row r="1524" spans="10:12" x14ac:dyDescent="0.25">
      <c r="J1524" s="144"/>
      <c r="K1524" s="144"/>
      <c r="L1524" s="144"/>
    </row>
    <row r="1525" spans="10:12" x14ac:dyDescent="0.25">
      <c r="J1525" s="144"/>
      <c r="K1525" s="144"/>
      <c r="L1525" s="144"/>
    </row>
    <row r="1526" spans="10:12" x14ac:dyDescent="0.25">
      <c r="J1526" s="144"/>
      <c r="K1526" s="144"/>
      <c r="L1526" s="144"/>
    </row>
    <row r="1527" spans="10:12" x14ac:dyDescent="0.25">
      <c r="J1527" s="144"/>
      <c r="K1527" s="144"/>
      <c r="L1527" s="144"/>
    </row>
    <row r="1528" spans="10:12" x14ac:dyDescent="0.25">
      <c r="J1528" s="144"/>
      <c r="K1528" s="144"/>
      <c r="L1528" s="144"/>
    </row>
    <row r="1529" spans="10:12" x14ac:dyDescent="0.25">
      <c r="J1529" s="144"/>
      <c r="K1529" s="144"/>
      <c r="L1529" s="144"/>
    </row>
    <row r="1530" spans="10:12" x14ac:dyDescent="0.25">
      <c r="J1530" s="144"/>
      <c r="K1530" s="144"/>
      <c r="L1530" s="144"/>
    </row>
    <row r="1531" spans="10:12" x14ac:dyDescent="0.25">
      <c r="J1531" s="144"/>
      <c r="K1531" s="144"/>
      <c r="L1531" s="144"/>
    </row>
    <row r="1532" spans="10:12" x14ac:dyDescent="0.25">
      <c r="J1532" s="144"/>
      <c r="K1532" s="144"/>
      <c r="L1532" s="144"/>
    </row>
    <row r="1533" spans="10:12" x14ac:dyDescent="0.25">
      <c r="J1533" s="144"/>
      <c r="K1533" s="144"/>
      <c r="L1533" s="144"/>
    </row>
    <row r="1534" spans="10:12" x14ac:dyDescent="0.25">
      <c r="J1534" s="144"/>
      <c r="K1534" s="144"/>
      <c r="L1534" s="144"/>
    </row>
    <row r="1535" spans="10:12" x14ac:dyDescent="0.25">
      <c r="J1535" s="144"/>
      <c r="K1535" s="144"/>
      <c r="L1535" s="144"/>
    </row>
    <row r="1536" spans="10:12" x14ac:dyDescent="0.25">
      <c r="J1536" s="144"/>
      <c r="K1536" s="144"/>
      <c r="L1536" s="144"/>
    </row>
    <row r="1537" spans="10:12" x14ac:dyDescent="0.25">
      <c r="J1537" s="144"/>
      <c r="K1537" s="144"/>
      <c r="L1537" s="144"/>
    </row>
    <row r="1538" spans="10:12" x14ac:dyDescent="0.25">
      <c r="J1538" s="144"/>
      <c r="K1538" s="144"/>
      <c r="L1538" s="144"/>
    </row>
    <row r="1539" spans="10:12" x14ac:dyDescent="0.25">
      <c r="J1539" s="144"/>
      <c r="K1539" s="144"/>
      <c r="L1539" s="144"/>
    </row>
    <row r="1540" spans="10:12" x14ac:dyDescent="0.25">
      <c r="J1540" s="144"/>
      <c r="K1540" s="144"/>
      <c r="L1540" s="144"/>
    </row>
    <row r="1541" spans="10:12" x14ac:dyDescent="0.25">
      <c r="J1541" s="144"/>
      <c r="K1541" s="144"/>
      <c r="L1541" s="144"/>
    </row>
    <row r="1542" spans="10:12" x14ac:dyDescent="0.25">
      <c r="J1542" s="144"/>
      <c r="K1542" s="144"/>
      <c r="L1542" s="144"/>
    </row>
    <row r="1543" spans="10:12" x14ac:dyDescent="0.25">
      <c r="J1543" s="144"/>
      <c r="K1543" s="144"/>
      <c r="L1543" s="144"/>
    </row>
    <row r="1544" spans="10:12" x14ac:dyDescent="0.25">
      <c r="J1544" s="144"/>
      <c r="K1544" s="144"/>
      <c r="L1544" s="144"/>
    </row>
    <row r="1545" spans="10:12" x14ac:dyDescent="0.25">
      <c r="J1545" s="144"/>
      <c r="K1545" s="144"/>
      <c r="L1545" s="144"/>
    </row>
    <row r="1546" spans="10:12" x14ac:dyDescent="0.25">
      <c r="J1546" s="144"/>
      <c r="K1546" s="144"/>
      <c r="L1546" s="144"/>
    </row>
    <row r="1547" spans="10:12" x14ac:dyDescent="0.25">
      <c r="J1547" s="144"/>
      <c r="K1547" s="144"/>
      <c r="L1547" s="144"/>
    </row>
    <row r="1548" spans="10:12" x14ac:dyDescent="0.25">
      <c r="J1548" s="144"/>
      <c r="K1548" s="144"/>
      <c r="L1548" s="144"/>
    </row>
    <row r="1549" spans="10:12" x14ac:dyDescent="0.25">
      <c r="J1549" s="144"/>
      <c r="K1549" s="144"/>
      <c r="L1549" s="144"/>
    </row>
    <row r="1550" spans="10:12" x14ac:dyDescent="0.25">
      <c r="J1550" s="144"/>
      <c r="K1550" s="144"/>
      <c r="L1550" s="144"/>
    </row>
    <row r="1551" spans="10:12" x14ac:dyDescent="0.25">
      <c r="J1551" s="144"/>
      <c r="K1551" s="144"/>
      <c r="L1551" s="144"/>
    </row>
    <row r="1552" spans="10:12" x14ac:dyDescent="0.25">
      <c r="J1552" s="144"/>
      <c r="K1552" s="144"/>
      <c r="L1552" s="144"/>
    </row>
    <row r="1553" spans="10:12" x14ac:dyDescent="0.25">
      <c r="J1553" s="144"/>
      <c r="K1553" s="144"/>
      <c r="L1553" s="144"/>
    </row>
    <row r="1554" spans="10:12" x14ac:dyDescent="0.25">
      <c r="J1554" s="144"/>
      <c r="K1554" s="144"/>
      <c r="L1554" s="144"/>
    </row>
    <row r="1555" spans="10:12" x14ac:dyDescent="0.25">
      <c r="J1555" s="144"/>
      <c r="K1555" s="144"/>
      <c r="L1555" s="144"/>
    </row>
    <row r="1556" spans="10:12" x14ac:dyDescent="0.25">
      <c r="J1556" s="144"/>
      <c r="K1556" s="144"/>
      <c r="L1556" s="144"/>
    </row>
    <row r="1557" spans="10:12" x14ac:dyDescent="0.25">
      <c r="J1557" s="144"/>
      <c r="K1557" s="144"/>
      <c r="L1557" s="144"/>
    </row>
    <row r="1558" spans="10:12" x14ac:dyDescent="0.25">
      <c r="J1558" s="144"/>
      <c r="K1558" s="144"/>
      <c r="L1558" s="144"/>
    </row>
    <row r="1559" spans="10:12" x14ac:dyDescent="0.25">
      <c r="J1559" s="144"/>
      <c r="K1559" s="144"/>
      <c r="L1559" s="144"/>
    </row>
    <row r="1560" spans="10:12" x14ac:dyDescent="0.25">
      <c r="J1560" s="144"/>
      <c r="K1560" s="144"/>
      <c r="L1560" s="144"/>
    </row>
    <row r="1561" spans="10:12" x14ac:dyDescent="0.25">
      <c r="J1561" s="144"/>
      <c r="K1561" s="144"/>
      <c r="L1561" s="144"/>
    </row>
    <row r="1562" spans="10:12" x14ac:dyDescent="0.25">
      <c r="J1562" s="144"/>
      <c r="K1562" s="144"/>
      <c r="L1562" s="144"/>
    </row>
    <row r="1563" spans="10:12" x14ac:dyDescent="0.25">
      <c r="J1563" s="144"/>
      <c r="K1563" s="144"/>
      <c r="L1563" s="144"/>
    </row>
    <row r="1564" spans="10:12" x14ac:dyDescent="0.25">
      <c r="J1564" s="144"/>
      <c r="K1564" s="144"/>
      <c r="L1564" s="144"/>
    </row>
    <row r="1565" spans="10:12" x14ac:dyDescent="0.25">
      <c r="J1565" s="144"/>
      <c r="K1565" s="144"/>
      <c r="L1565" s="144"/>
    </row>
    <row r="1566" spans="10:12" x14ac:dyDescent="0.25">
      <c r="J1566" s="144"/>
      <c r="K1566" s="144"/>
      <c r="L1566" s="144"/>
    </row>
    <row r="1567" spans="10:12" x14ac:dyDescent="0.25">
      <c r="J1567" s="144"/>
      <c r="K1567" s="144"/>
      <c r="L1567" s="144"/>
    </row>
    <row r="1568" spans="10:12" x14ac:dyDescent="0.25">
      <c r="J1568" s="144"/>
      <c r="K1568" s="144"/>
      <c r="L1568" s="144"/>
    </row>
    <row r="1569" spans="10:12" x14ac:dyDescent="0.25">
      <c r="J1569" s="144"/>
      <c r="K1569" s="144"/>
      <c r="L1569" s="144"/>
    </row>
    <row r="1570" spans="10:12" x14ac:dyDescent="0.25">
      <c r="J1570" s="144"/>
      <c r="K1570" s="144"/>
      <c r="L1570" s="144"/>
    </row>
    <row r="1571" spans="10:12" x14ac:dyDescent="0.25">
      <c r="J1571" s="144"/>
      <c r="K1571" s="144"/>
      <c r="L1571" s="144"/>
    </row>
    <row r="1572" spans="10:12" x14ac:dyDescent="0.25">
      <c r="J1572" s="144"/>
      <c r="K1572" s="144"/>
      <c r="L1572" s="144"/>
    </row>
    <row r="1573" spans="10:12" x14ac:dyDescent="0.25">
      <c r="J1573" s="144"/>
      <c r="K1573" s="144"/>
      <c r="L1573" s="144"/>
    </row>
    <row r="1574" spans="10:12" x14ac:dyDescent="0.25">
      <c r="J1574" s="144"/>
      <c r="K1574" s="144"/>
      <c r="L1574" s="144"/>
    </row>
    <row r="1575" spans="10:12" x14ac:dyDescent="0.25">
      <c r="J1575" s="144"/>
      <c r="K1575" s="144"/>
      <c r="L1575" s="144"/>
    </row>
    <row r="1576" spans="10:12" x14ac:dyDescent="0.25">
      <c r="J1576" s="144"/>
      <c r="K1576" s="144"/>
      <c r="L1576" s="144"/>
    </row>
    <row r="1577" spans="10:12" x14ac:dyDescent="0.25">
      <c r="J1577" s="144"/>
      <c r="K1577" s="144"/>
      <c r="L1577" s="144"/>
    </row>
    <row r="1578" spans="10:12" x14ac:dyDescent="0.25">
      <c r="J1578" s="144"/>
      <c r="K1578" s="144"/>
      <c r="L1578" s="144"/>
    </row>
    <row r="1579" spans="10:12" x14ac:dyDescent="0.25">
      <c r="J1579" s="144"/>
      <c r="K1579" s="144"/>
      <c r="L1579" s="144"/>
    </row>
    <row r="1580" spans="10:12" x14ac:dyDescent="0.25">
      <c r="J1580" s="144"/>
      <c r="K1580" s="144"/>
      <c r="L1580" s="144"/>
    </row>
    <row r="1581" spans="10:12" x14ac:dyDescent="0.25">
      <c r="J1581" s="144"/>
      <c r="K1581" s="144"/>
      <c r="L1581" s="144"/>
    </row>
    <row r="1582" spans="10:12" x14ac:dyDescent="0.25">
      <c r="J1582" s="144"/>
      <c r="K1582" s="144"/>
      <c r="L1582" s="144"/>
    </row>
    <row r="1583" spans="10:12" x14ac:dyDescent="0.25">
      <c r="J1583" s="144"/>
      <c r="K1583" s="144"/>
      <c r="L1583" s="144"/>
    </row>
    <row r="1584" spans="10:12" x14ac:dyDescent="0.25">
      <c r="J1584" s="144"/>
      <c r="K1584" s="144"/>
      <c r="L1584" s="144"/>
    </row>
    <row r="1585" spans="10:12" x14ac:dyDescent="0.25">
      <c r="J1585" s="144"/>
      <c r="K1585" s="144"/>
      <c r="L1585" s="144"/>
    </row>
    <row r="1586" spans="10:12" x14ac:dyDescent="0.25">
      <c r="J1586" s="144"/>
      <c r="K1586" s="144"/>
      <c r="L1586" s="144"/>
    </row>
    <row r="1587" spans="10:12" x14ac:dyDescent="0.25">
      <c r="J1587" s="144"/>
      <c r="K1587" s="144"/>
      <c r="L1587" s="144"/>
    </row>
    <row r="1588" spans="10:12" x14ac:dyDescent="0.25">
      <c r="J1588" s="144"/>
      <c r="K1588" s="144"/>
      <c r="L1588" s="144"/>
    </row>
    <row r="1589" spans="10:12" x14ac:dyDescent="0.25">
      <c r="J1589" s="144"/>
      <c r="K1589" s="144"/>
      <c r="L1589" s="144"/>
    </row>
    <row r="1590" spans="10:12" x14ac:dyDescent="0.25">
      <c r="J1590" s="144"/>
      <c r="K1590" s="144"/>
      <c r="L1590" s="144"/>
    </row>
    <row r="1591" spans="10:12" x14ac:dyDescent="0.25">
      <c r="J1591" s="144"/>
      <c r="K1591" s="144"/>
      <c r="L1591" s="144"/>
    </row>
  </sheetData>
  <sheetProtection password="EFD2" sheet="1" objects="1" scenarios="1" selectLockedCells="1"/>
  <mergeCells count="2">
    <mergeCell ref="F2:L2"/>
    <mergeCell ref="Q4:R4"/>
  </mergeCells>
  <conditionalFormatting sqref="E5">
    <cfRule type="cellIs" dxfId="191" priority="133" operator="equal">
      <formula>"DP"</formula>
    </cfRule>
    <cfRule type="cellIs" dxfId="190" priority="134" operator="equal">
      <formula>"DPR"</formula>
    </cfRule>
  </conditionalFormatting>
  <conditionalFormatting sqref="F5:L5">
    <cfRule type="cellIs" dxfId="189" priority="135" operator="equal">
      <formula>"No"</formula>
    </cfRule>
  </conditionalFormatting>
  <conditionalFormatting sqref="N5:AA5">
    <cfRule type="cellIs" dxfId="188" priority="130" operator="equal">
      <formula>"????"</formula>
    </cfRule>
    <cfRule type="cellIs" dxfId="187" priority="131" operator="equal">
      <formula>"EXC"</formula>
    </cfRule>
    <cfRule type="cellIs" dxfId="186" priority="132" operator="equal">
      <formula>"ABS"</formula>
    </cfRule>
  </conditionalFormatting>
  <conditionalFormatting sqref="B5">
    <cfRule type="cellIs" dxfId="185" priority="129" operator="equal">
      <formula>TRUE</formula>
    </cfRule>
  </conditionalFormatting>
  <conditionalFormatting sqref="AA4">
    <cfRule type="cellIs" dxfId="184" priority="64" operator="equal">
      <formula>1</formula>
    </cfRule>
    <cfRule type="cellIs" dxfId="183" priority="65" operator="notEqual">
      <formula>1</formula>
    </cfRule>
  </conditionalFormatting>
  <conditionalFormatting sqref="E6">
    <cfRule type="cellIs" dxfId="182" priority="61" operator="equal">
      <formula>"DP"</formula>
    </cfRule>
    <cfRule type="cellIs" dxfId="181" priority="62" operator="equal">
      <formula>"DPR"</formula>
    </cfRule>
  </conditionalFormatting>
  <conditionalFormatting sqref="F6:L6">
    <cfRule type="cellIs" dxfId="180" priority="63" operator="equal">
      <formula>"No"</formula>
    </cfRule>
  </conditionalFormatting>
  <conditionalFormatting sqref="N6:AA6">
    <cfRule type="cellIs" dxfId="179" priority="58" operator="equal">
      <formula>"????"</formula>
    </cfRule>
    <cfRule type="cellIs" dxfId="178" priority="59" operator="equal">
      <formula>"EXC"</formula>
    </cfRule>
    <cfRule type="cellIs" dxfId="177" priority="60" operator="equal">
      <formula>"ABS"</formula>
    </cfRule>
  </conditionalFormatting>
  <conditionalFormatting sqref="B6">
    <cfRule type="cellIs" dxfId="176" priority="57" operator="equal">
      <formula>TRUE</formula>
    </cfRule>
  </conditionalFormatting>
  <conditionalFormatting sqref="E7">
    <cfRule type="cellIs" dxfId="175" priority="54" operator="equal">
      <formula>"DP"</formula>
    </cfRule>
    <cfRule type="cellIs" dxfId="174" priority="55" operator="equal">
      <formula>"DPR"</formula>
    </cfRule>
  </conditionalFormatting>
  <conditionalFormatting sqref="F7:L7">
    <cfRule type="cellIs" dxfId="173" priority="56" operator="equal">
      <formula>"No"</formula>
    </cfRule>
  </conditionalFormatting>
  <conditionalFormatting sqref="N7:AA7">
    <cfRule type="cellIs" dxfId="172" priority="51" operator="equal">
      <formula>"????"</formula>
    </cfRule>
    <cfRule type="cellIs" dxfId="171" priority="52" operator="equal">
      <formula>"EXC"</formula>
    </cfRule>
    <cfRule type="cellIs" dxfId="170" priority="53" operator="equal">
      <formula>"ABS"</formula>
    </cfRule>
  </conditionalFormatting>
  <conditionalFormatting sqref="B7">
    <cfRule type="cellIs" dxfId="169" priority="50" operator="equal">
      <formula>TRUE</formula>
    </cfRule>
  </conditionalFormatting>
  <conditionalFormatting sqref="E8">
    <cfRule type="cellIs" dxfId="168" priority="47" operator="equal">
      <formula>"DP"</formula>
    </cfRule>
    <cfRule type="cellIs" dxfId="167" priority="48" operator="equal">
      <formula>"DPR"</formula>
    </cfRule>
  </conditionalFormatting>
  <conditionalFormatting sqref="F8:L8">
    <cfRule type="cellIs" dxfId="166" priority="49" operator="equal">
      <formula>"No"</formula>
    </cfRule>
  </conditionalFormatting>
  <conditionalFormatting sqref="N8:AA8">
    <cfRule type="cellIs" dxfId="165" priority="44" operator="equal">
      <formula>"????"</formula>
    </cfRule>
    <cfRule type="cellIs" dxfId="164" priority="45" operator="equal">
      <formula>"EXC"</formula>
    </cfRule>
    <cfRule type="cellIs" dxfId="163" priority="46" operator="equal">
      <formula>"ABS"</formula>
    </cfRule>
  </conditionalFormatting>
  <conditionalFormatting sqref="B8">
    <cfRule type="cellIs" dxfId="162" priority="43" operator="equal">
      <formula>TRUE</formula>
    </cfRule>
  </conditionalFormatting>
  <conditionalFormatting sqref="E9">
    <cfRule type="cellIs" dxfId="161" priority="40" operator="equal">
      <formula>"DP"</formula>
    </cfRule>
    <cfRule type="cellIs" dxfId="160" priority="41" operator="equal">
      <formula>"DPR"</formula>
    </cfRule>
  </conditionalFormatting>
  <conditionalFormatting sqref="F9:L9">
    <cfRule type="cellIs" dxfId="159" priority="42" operator="equal">
      <formula>"No"</formula>
    </cfRule>
  </conditionalFormatting>
  <conditionalFormatting sqref="N9:AA9">
    <cfRule type="cellIs" dxfId="158" priority="37" operator="equal">
      <formula>"????"</formula>
    </cfRule>
    <cfRule type="cellIs" dxfId="157" priority="38" operator="equal">
      <formula>"EXC"</formula>
    </cfRule>
    <cfRule type="cellIs" dxfId="156" priority="39" operator="equal">
      <formula>"ABS"</formula>
    </cfRule>
  </conditionalFormatting>
  <conditionalFormatting sqref="B9">
    <cfRule type="cellIs" dxfId="155" priority="36" operator="equal">
      <formula>TRUE</formula>
    </cfRule>
  </conditionalFormatting>
  <conditionalFormatting sqref="E10">
    <cfRule type="cellIs" dxfId="154" priority="33" operator="equal">
      <formula>"DP"</formula>
    </cfRule>
    <cfRule type="cellIs" dxfId="153" priority="34" operator="equal">
      <formula>"DPR"</formula>
    </cfRule>
  </conditionalFormatting>
  <conditionalFormatting sqref="F10:L10">
    <cfRule type="cellIs" dxfId="152" priority="35" operator="equal">
      <formula>"No"</formula>
    </cfRule>
  </conditionalFormatting>
  <conditionalFormatting sqref="N10:AA10">
    <cfRule type="cellIs" dxfId="151" priority="30" operator="equal">
      <formula>"????"</formula>
    </cfRule>
    <cfRule type="cellIs" dxfId="150" priority="31" operator="equal">
      <formula>"EXC"</formula>
    </cfRule>
    <cfRule type="cellIs" dxfId="149" priority="32" operator="equal">
      <formula>"ABS"</formula>
    </cfRule>
  </conditionalFormatting>
  <conditionalFormatting sqref="B10">
    <cfRule type="cellIs" dxfId="148" priority="29" operator="equal">
      <formula>TRUE</formula>
    </cfRule>
  </conditionalFormatting>
  <conditionalFormatting sqref="E11">
    <cfRule type="cellIs" dxfId="147" priority="26" operator="equal">
      <formula>"DP"</formula>
    </cfRule>
    <cfRule type="cellIs" dxfId="146" priority="27" operator="equal">
      <formula>"DPR"</formula>
    </cfRule>
  </conditionalFormatting>
  <conditionalFormatting sqref="F11:L11">
    <cfRule type="cellIs" dxfId="145" priority="28" operator="equal">
      <formula>"No"</formula>
    </cfRule>
  </conditionalFormatting>
  <conditionalFormatting sqref="N11:AA11">
    <cfRule type="cellIs" dxfId="144" priority="23" operator="equal">
      <formula>"????"</formula>
    </cfRule>
    <cfRule type="cellIs" dxfId="143" priority="24" operator="equal">
      <formula>"EXC"</formula>
    </cfRule>
    <cfRule type="cellIs" dxfId="142" priority="25" operator="equal">
      <formula>"ABS"</formula>
    </cfRule>
  </conditionalFormatting>
  <conditionalFormatting sqref="B11">
    <cfRule type="cellIs" dxfId="141" priority="22" operator="equal">
      <formula>TRUE</formula>
    </cfRule>
  </conditionalFormatting>
  <conditionalFormatting sqref="E12">
    <cfRule type="cellIs" dxfId="140" priority="19" operator="equal">
      <formula>"DP"</formula>
    </cfRule>
    <cfRule type="cellIs" dxfId="139" priority="20" operator="equal">
      <formula>"DPR"</formula>
    </cfRule>
  </conditionalFormatting>
  <conditionalFormatting sqref="F12:L12">
    <cfRule type="cellIs" dxfId="138" priority="21" operator="equal">
      <formula>"No"</formula>
    </cfRule>
  </conditionalFormatting>
  <conditionalFormatting sqref="N12:AA12">
    <cfRule type="cellIs" dxfId="137" priority="16" operator="equal">
      <formula>"????"</formula>
    </cfRule>
    <cfRule type="cellIs" dxfId="136" priority="17" operator="equal">
      <formula>"EXC"</formula>
    </cfRule>
    <cfRule type="cellIs" dxfId="135" priority="18" operator="equal">
      <formula>"ABS"</formula>
    </cfRule>
  </conditionalFormatting>
  <conditionalFormatting sqref="B12">
    <cfRule type="cellIs" dxfId="134" priority="15" operator="equal">
      <formula>TRUE</formula>
    </cfRule>
  </conditionalFormatting>
  <conditionalFormatting sqref="E13">
    <cfRule type="cellIs" dxfId="133" priority="12" operator="equal">
      <formula>"DP"</formula>
    </cfRule>
    <cfRule type="cellIs" dxfId="132" priority="13" operator="equal">
      <formula>"DPR"</formula>
    </cfRule>
  </conditionalFormatting>
  <conditionalFormatting sqref="F13:L13">
    <cfRule type="cellIs" dxfId="131" priority="14" operator="equal">
      <formula>"No"</formula>
    </cfRule>
  </conditionalFormatting>
  <conditionalFormatting sqref="N13:AA13">
    <cfRule type="cellIs" dxfId="130" priority="9" operator="equal">
      <formula>"????"</formula>
    </cfRule>
    <cfRule type="cellIs" dxfId="129" priority="10" operator="equal">
      <formula>"EXC"</formula>
    </cfRule>
    <cfRule type="cellIs" dxfId="128" priority="11" operator="equal">
      <formula>"ABS"</formula>
    </cfRule>
  </conditionalFormatting>
  <conditionalFormatting sqref="B13">
    <cfRule type="cellIs" dxfId="127" priority="8" operator="equal">
      <formula>TRUE</formula>
    </cfRule>
  </conditionalFormatting>
  <conditionalFormatting sqref="E14">
    <cfRule type="cellIs" dxfId="126" priority="5" operator="equal">
      <formula>"DP"</formula>
    </cfRule>
    <cfRule type="cellIs" dxfId="125" priority="6" operator="equal">
      <formula>"DPR"</formula>
    </cfRule>
  </conditionalFormatting>
  <conditionalFormatting sqref="F14:L14">
    <cfRule type="cellIs" dxfId="124" priority="7" operator="equal">
      <formula>"No"</formula>
    </cfRule>
  </conditionalFormatting>
  <conditionalFormatting sqref="N14:AA14">
    <cfRule type="cellIs" dxfId="123" priority="2" operator="equal">
      <formula>"????"</formula>
    </cfRule>
    <cfRule type="cellIs" dxfId="122" priority="3" operator="equal">
      <formula>"EXC"</formula>
    </cfRule>
    <cfRule type="cellIs" dxfId="121" priority="4" operator="equal">
      <formula>"ABS"</formula>
    </cfRule>
  </conditionalFormatting>
  <conditionalFormatting sqref="B14">
    <cfRule type="cellIs" dxfId="12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45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Y180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5" sqref="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143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75.714285714285708</v>
      </c>
      <c r="F3" s="23">
        <f>IF(SUM(F6:F1999)=0,"",AVERAGE(F6:F1999))</f>
        <v>63.095238095238095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>
        <v>120</v>
      </c>
      <c r="F6" s="107">
        <f t="shared" ref="F6:F15" si="0">IF(E6="ABS",E6,IF(E6="","",E6/$E$2*100))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>
        <v>60</v>
      </c>
      <c r="F7" s="107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>
        <v>0</v>
      </c>
      <c r="F8" s="107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>
        <v>240</v>
      </c>
      <c r="F9" s="107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 t="s">
        <v>245</v>
      </c>
      <c r="F10" s="107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>
        <v>22</v>
      </c>
      <c r="F11" s="107">
        <f t="shared" si="0"/>
        <v>18.333333333333332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>
        <v>44</v>
      </c>
      <c r="F13" s="107">
        <f t="shared" si="0"/>
        <v>36.666666666666664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>
        <v>44</v>
      </c>
      <c r="F14" s="107">
        <f t="shared" si="0"/>
        <v>36.666666666666664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 t="s">
        <v>245</v>
      </c>
      <c r="F15" s="107" t="str">
        <f t="shared" si="0"/>
        <v>ABS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E1072" s="144"/>
    </row>
    <row r="1073" spans="5:5" x14ac:dyDescent="0.25">
      <c r="E1073" s="144"/>
    </row>
    <row r="1074" spans="5:5" x14ac:dyDescent="0.25">
      <c r="E1074" s="144"/>
    </row>
    <row r="1075" spans="5:5" x14ac:dyDescent="0.25">
      <c r="E1075" s="144"/>
    </row>
    <row r="1076" spans="5:5" x14ac:dyDescent="0.25">
      <c r="E1076" s="144"/>
    </row>
    <row r="1077" spans="5:5" x14ac:dyDescent="0.25">
      <c r="E1077" s="144"/>
    </row>
    <row r="1078" spans="5:5" x14ac:dyDescent="0.25">
      <c r="E1078" s="144"/>
    </row>
    <row r="1079" spans="5:5" x14ac:dyDescent="0.25">
      <c r="E1079" s="144"/>
    </row>
    <row r="1080" spans="5:5" x14ac:dyDescent="0.25">
      <c r="E1080" s="144"/>
    </row>
    <row r="1081" spans="5:5" x14ac:dyDescent="0.25">
      <c r="E1081" s="144"/>
    </row>
    <row r="1082" spans="5:5" x14ac:dyDescent="0.25">
      <c r="E1082" s="144"/>
    </row>
    <row r="1083" spans="5:5" x14ac:dyDescent="0.25">
      <c r="E1083" s="144"/>
    </row>
    <row r="1084" spans="5:5" x14ac:dyDescent="0.25">
      <c r="E1084" s="144"/>
    </row>
    <row r="1085" spans="5:5" x14ac:dyDescent="0.25">
      <c r="E1085" s="144"/>
    </row>
    <row r="1086" spans="5:5" x14ac:dyDescent="0.25">
      <c r="E1086" s="144"/>
    </row>
    <row r="1087" spans="5:5" x14ac:dyDescent="0.25">
      <c r="E1087" s="144"/>
    </row>
    <row r="1088" spans="5:5" x14ac:dyDescent="0.25">
      <c r="E1088" s="144"/>
    </row>
    <row r="1089" spans="5:5" x14ac:dyDescent="0.25">
      <c r="E1089" s="144"/>
    </row>
    <row r="1090" spans="5:5" x14ac:dyDescent="0.25">
      <c r="E1090" s="144"/>
    </row>
    <row r="1091" spans="5:5" x14ac:dyDescent="0.25">
      <c r="E1091" s="144"/>
    </row>
    <row r="1092" spans="5:5" x14ac:dyDescent="0.25">
      <c r="E1092" s="144"/>
    </row>
    <row r="1093" spans="5:5" x14ac:dyDescent="0.25">
      <c r="E1093" s="144"/>
    </row>
    <row r="1094" spans="5:5" x14ac:dyDescent="0.25">
      <c r="E1094" s="144"/>
    </row>
    <row r="1095" spans="5:5" x14ac:dyDescent="0.25">
      <c r="E1095" s="144"/>
    </row>
    <row r="1096" spans="5:5" x14ac:dyDescent="0.25">
      <c r="E1096" s="144"/>
    </row>
    <row r="1097" spans="5:5" x14ac:dyDescent="0.25">
      <c r="E1097" s="144"/>
    </row>
    <row r="1098" spans="5:5" x14ac:dyDescent="0.25">
      <c r="E1098" s="144"/>
    </row>
    <row r="1099" spans="5:5" x14ac:dyDescent="0.25">
      <c r="E1099" s="144"/>
    </row>
    <row r="1100" spans="5:5" x14ac:dyDescent="0.25">
      <c r="E1100" s="144"/>
    </row>
    <row r="1101" spans="5:5" x14ac:dyDescent="0.25">
      <c r="E1101" s="144"/>
    </row>
    <row r="1102" spans="5:5" x14ac:dyDescent="0.25">
      <c r="E1102" s="144"/>
    </row>
    <row r="1103" spans="5:5" x14ac:dyDescent="0.25">
      <c r="E1103" s="144"/>
    </row>
    <row r="1104" spans="5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</sheetData>
  <sheetProtection password="EFD2" sheet="1" objects="1" scenarios="1" selectLockedCells="1"/>
  <conditionalFormatting sqref="E6:F6">
    <cfRule type="cellIs" dxfId="119" priority="30" operator="equal">
      <formula>"ABS"</formula>
    </cfRule>
  </conditionalFormatting>
  <conditionalFormatting sqref="E6">
    <cfRule type="cellIs" dxfId="118" priority="31" operator="greaterThan">
      <formula>$E$2</formula>
    </cfRule>
  </conditionalFormatting>
  <conditionalFormatting sqref="B6">
    <cfRule type="cellIs" dxfId="117" priority="28" operator="equal">
      <formula>TRUE</formula>
    </cfRule>
  </conditionalFormatting>
  <conditionalFormatting sqref="E7:F7">
    <cfRule type="cellIs" dxfId="116" priority="26" operator="equal">
      <formula>"ABS"</formula>
    </cfRule>
  </conditionalFormatting>
  <conditionalFormatting sqref="E7">
    <cfRule type="cellIs" dxfId="115" priority="27" operator="greaterThan">
      <formula>$E$2</formula>
    </cfRule>
  </conditionalFormatting>
  <conditionalFormatting sqref="B7">
    <cfRule type="cellIs" dxfId="114" priority="25" operator="equal">
      <formula>TRUE</formula>
    </cfRule>
  </conditionalFormatting>
  <conditionalFormatting sqref="E8:F8">
    <cfRule type="cellIs" dxfId="113" priority="23" operator="equal">
      <formula>"ABS"</formula>
    </cfRule>
  </conditionalFormatting>
  <conditionalFormatting sqref="E8">
    <cfRule type="cellIs" dxfId="112" priority="24" operator="greaterThan">
      <formula>$E$2</formula>
    </cfRule>
  </conditionalFormatting>
  <conditionalFormatting sqref="B8">
    <cfRule type="cellIs" dxfId="111" priority="22" operator="equal">
      <formula>TRUE</formula>
    </cfRule>
  </conditionalFormatting>
  <conditionalFormatting sqref="E9:F9">
    <cfRule type="cellIs" dxfId="110" priority="20" operator="equal">
      <formula>"ABS"</formula>
    </cfRule>
  </conditionalFormatting>
  <conditionalFormatting sqref="E9">
    <cfRule type="cellIs" dxfId="109" priority="21" operator="greaterThan">
      <formula>$E$2</formula>
    </cfRule>
  </conditionalFormatting>
  <conditionalFormatting sqref="B9">
    <cfRule type="cellIs" dxfId="108" priority="19" operator="equal">
      <formula>TRUE</formula>
    </cfRule>
  </conditionalFormatting>
  <conditionalFormatting sqref="E10:F10">
    <cfRule type="cellIs" dxfId="107" priority="17" operator="equal">
      <formula>"ABS"</formula>
    </cfRule>
  </conditionalFormatting>
  <conditionalFormatting sqref="E10">
    <cfRule type="cellIs" dxfId="106" priority="18" operator="greaterThan">
      <formula>$E$2</formula>
    </cfRule>
  </conditionalFormatting>
  <conditionalFormatting sqref="B10">
    <cfRule type="cellIs" dxfId="105" priority="16" operator="equal">
      <formula>TRUE</formula>
    </cfRule>
  </conditionalFormatting>
  <conditionalFormatting sqref="E11:F11">
    <cfRule type="cellIs" dxfId="104" priority="14" operator="equal">
      <formula>"ABS"</formula>
    </cfRule>
  </conditionalFormatting>
  <conditionalFormatting sqref="E11">
    <cfRule type="cellIs" dxfId="103" priority="15" operator="greaterThan">
      <formula>$E$2</formula>
    </cfRule>
  </conditionalFormatting>
  <conditionalFormatting sqref="B11">
    <cfRule type="cellIs" dxfId="102" priority="13" operator="equal">
      <formula>TRUE</formula>
    </cfRule>
  </conditionalFormatting>
  <conditionalFormatting sqref="E12:F12">
    <cfRule type="cellIs" dxfId="101" priority="11" operator="equal">
      <formula>"ABS"</formula>
    </cfRule>
  </conditionalFormatting>
  <conditionalFormatting sqref="E12">
    <cfRule type="cellIs" dxfId="100" priority="12" operator="greaterThan">
      <formula>$E$2</formula>
    </cfRule>
  </conditionalFormatting>
  <conditionalFormatting sqref="B12">
    <cfRule type="cellIs" dxfId="99" priority="10" operator="equal">
      <formula>TRUE</formula>
    </cfRule>
  </conditionalFormatting>
  <conditionalFormatting sqref="E13:F13">
    <cfRule type="cellIs" dxfId="98" priority="8" operator="equal">
      <formula>"ABS"</formula>
    </cfRule>
  </conditionalFormatting>
  <conditionalFormatting sqref="E13">
    <cfRule type="cellIs" dxfId="97" priority="9" operator="greaterThan">
      <formula>$E$2</formula>
    </cfRule>
  </conditionalFormatting>
  <conditionalFormatting sqref="B13">
    <cfRule type="cellIs" dxfId="96" priority="7" operator="equal">
      <formula>TRUE</formula>
    </cfRule>
  </conditionalFormatting>
  <conditionalFormatting sqref="E14:F14">
    <cfRule type="cellIs" dxfId="95" priority="5" operator="equal">
      <formula>"ABS"</formula>
    </cfRule>
  </conditionalFormatting>
  <conditionalFormatting sqref="E14">
    <cfRule type="cellIs" dxfId="94" priority="6" operator="greaterThan">
      <formula>$E$2</formula>
    </cfRule>
  </conditionalFormatting>
  <conditionalFormatting sqref="B14">
    <cfRule type="cellIs" dxfId="93" priority="4" operator="equal">
      <formula>TRUE</formula>
    </cfRule>
  </conditionalFormatting>
  <conditionalFormatting sqref="E15:F15">
    <cfRule type="cellIs" dxfId="92" priority="2" operator="equal">
      <formula>"ABS"</formula>
    </cfRule>
  </conditionalFormatting>
  <conditionalFormatting sqref="E15">
    <cfRule type="cellIs" dxfId="91" priority="3" operator="greaterThan">
      <formula>$E$2</formula>
    </cfRule>
  </conditionalFormatting>
  <conditionalFormatting sqref="B15">
    <cfRule type="cellIs" dxfId="9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Y168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: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144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 t="str">
        <f>IF(SUM(E6:E1999)=0,"",AVERAGE(E6:E1999))</f>
        <v/>
      </c>
      <c r="F3" s="23" t="str">
        <f>IF(SUM(F6:F1999)=0,"",AVERAGE(F6:F1999))</f>
        <v/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/>
      <c r="F13" s="107" t="str">
        <f t="shared" si="0"/>
        <v/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/>
      <c r="F14" s="107" t="str">
        <f t="shared" si="0"/>
        <v/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E1115" s="144"/>
    </row>
    <row r="1116" spans="3:5" x14ac:dyDescent="0.25">
      <c r="E1116" s="144"/>
    </row>
    <row r="1117" spans="3:5" x14ac:dyDescent="0.25">
      <c r="E1117" s="144"/>
    </row>
    <row r="1118" spans="3:5" x14ac:dyDescent="0.25">
      <c r="E1118" s="144"/>
    </row>
    <row r="1119" spans="3:5" x14ac:dyDescent="0.25">
      <c r="E1119" s="144"/>
    </row>
    <row r="1120" spans="3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</sheetData>
  <sheetProtection password="EFD2" sheet="1" objects="1" scenarios="1" selectLockedCells="1"/>
  <conditionalFormatting sqref="E6:F6">
    <cfRule type="cellIs" dxfId="89" priority="29" operator="equal">
      <formula>"ABS"</formula>
    </cfRule>
  </conditionalFormatting>
  <conditionalFormatting sqref="E6">
    <cfRule type="cellIs" dxfId="88" priority="30" operator="greaterThan">
      <formula>$E$2</formula>
    </cfRule>
  </conditionalFormatting>
  <conditionalFormatting sqref="B6">
    <cfRule type="cellIs" dxfId="87" priority="28" operator="equal">
      <formula>TRUE</formula>
    </cfRule>
  </conditionalFormatting>
  <conditionalFormatting sqref="E7:F7">
    <cfRule type="cellIs" dxfId="86" priority="26" operator="equal">
      <formula>"ABS"</formula>
    </cfRule>
  </conditionalFormatting>
  <conditionalFormatting sqref="E7">
    <cfRule type="cellIs" dxfId="85" priority="27" operator="greaterThan">
      <formula>$E$2</formula>
    </cfRule>
  </conditionalFormatting>
  <conditionalFormatting sqref="B7">
    <cfRule type="cellIs" dxfId="84" priority="25" operator="equal">
      <formula>TRUE</formula>
    </cfRule>
  </conditionalFormatting>
  <conditionalFormatting sqref="E8:F8">
    <cfRule type="cellIs" dxfId="83" priority="23" operator="equal">
      <formula>"ABS"</formula>
    </cfRule>
  </conditionalFormatting>
  <conditionalFormatting sqref="E8">
    <cfRule type="cellIs" dxfId="82" priority="24" operator="greaterThan">
      <formula>$E$2</formula>
    </cfRule>
  </conditionalFormatting>
  <conditionalFormatting sqref="B8">
    <cfRule type="cellIs" dxfId="81" priority="22" operator="equal">
      <formula>TRUE</formula>
    </cfRule>
  </conditionalFormatting>
  <conditionalFormatting sqref="E9:F9">
    <cfRule type="cellIs" dxfId="80" priority="20" operator="equal">
      <formula>"ABS"</formula>
    </cfRule>
  </conditionalFormatting>
  <conditionalFormatting sqref="E9">
    <cfRule type="cellIs" dxfId="79" priority="21" operator="greaterThan">
      <formula>$E$2</formula>
    </cfRule>
  </conditionalFormatting>
  <conditionalFormatting sqref="B9">
    <cfRule type="cellIs" dxfId="78" priority="19" operator="equal">
      <formula>TRUE</formula>
    </cfRule>
  </conditionalFormatting>
  <conditionalFormatting sqref="E10:F10">
    <cfRule type="cellIs" dxfId="77" priority="17" operator="equal">
      <formula>"ABS"</formula>
    </cfRule>
  </conditionalFormatting>
  <conditionalFormatting sqref="E10">
    <cfRule type="cellIs" dxfId="76" priority="18" operator="greaterThan">
      <formula>$E$2</formula>
    </cfRule>
  </conditionalFormatting>
  <conditionalFormatting sqref="B10">
    <cfRule type="cellIs" dxfId="75" priority="16" operator="equal">
      <formula>TRUE</formula>
    </cfRule>
  </conditionalFormatting>
  <conditionalFormatting sqref="E11:F11">
    <cfRule type="cellIs" dxfId="74" priority="14" operator="equal">
      <formula>"ABS"</formula>
    </cfRule>
  </conditionalFormatting>
  <conditionalFormatting sqref="E11">
    <cfRule type="cellIs" dxfId="73" priority="15" operator="greaterThan">
      <formula>$E$2</formula>
    </cfRule>
  </conditionalFormatting>
  <conditionalFormatting sqref="B11">
    <cfRule type="cellIs" dxfId="72" priority="13" operator="equal">
      <formula>TRUE</formula>
    </cfRule>
  </conditionalFormatting>
  <conditionalFormatting sqref="E12:F12">
    <cfRule type="cellIs" dxfId="71" priority="11" operator="equal">
      <formula>"ABS"</formula>
    </cfRule>
  </conditionalFormatting>
  <conditionalFormatting sqref="E12">
    <cfRule type="cellIs" dxfId="70" priority="12" operator="greaterThan">
      <formula>$E$2</formula>
    </cfRule>
  </conditionalFormatting>
  <conditionalFormatting sqref="B12">
    <cfRule type="cellIs" dxfId="69" priority="10" operator="equal">
      <formula>TRUE</formula>
    </cfRule>
  </conditionalFormatting>
  <conditionalFormatting sqref="E13:F13">
    <cfRule type="cellIs" dxfId="68" priority="8" operator="equal">
      <formula>"ABS"</formula>
    </cfRule>
  </conditionalFormatting>
  <conditionalFormatting sqref="E13">
    <cfRule type="cellIs" dxfId="67" priority="9" operator="greaterThan">
      <formula>$E$2</formula>
    </cfRule>
  </conditionalFormatting>
  <conditionalFormatting sqref="B13">
    <cfRule type="cellIs" dxfId="66" priority="7" operator="equal">
      <formula>TRUE</formula>
    </cfRule>
  </conditionalFormatting>
  <conditionalFormatting sqref="E14:F14">
    <cfRule type="cellIs" dxfId="65" priority="5" operator="equal">
      <formula>"ABS"</formula>
    </cfRule>
  </conditionalFormatting>
  <conditionalFormatting sqref="E14">
    <cfRule type="cellIs" dxfId="64" priority="6" operator="greaterThan">
      <formula>$E$2</formula>
    </cfRule>
  </conditionalFormatting>
  <conditionalFormatting sqref="B14">
    <cfRule type="cellIs" dxfId="63" priority="4" operator="equal">
      <formula>TRUE</formula>
    </cfRule>
  </conditionalFormatting>
  <conditionalFormatting sqref="E15:F15">
    <cfRule type="cellIs" dxfId="62" priority="2" operator="equal">
      <formula>"ABS"</formula>
    </cfRule>
  </conditionalFormatting>
  <conditionalFormatting sqref="E15">
    <cfRule type="cellIs" dxfId="61" priority="3" operator="greaterThan">
      <formula>$E$2</formula>
    </cfRule>
  </conditionalFormatting>
  <conditionalFormatting sqref="B15">
    <cfRule type="cellIs" dxfId="6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Y139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4" sqref="E14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138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60</v>
      </c>
      <c r="F3" s="23">
        <f>IF(SUM(F6:F1999)=0,"",AVERAGE(F6:F1999))</f>
        <v>50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>
        <v>60</v>
      </c>
      <c r="F13" s="107">
        <f t="shared" si="0"/>
        <v>50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/>
      <c r="F14" s="107" t="str">
        <f t="shared" si="0"/>
        <v/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E1097" s="144"/>
    </row>
    <row r="1098" spans="3:5" x14ac:dyDescent="0.25">
      <c r="E1098" s="144"/>
    </row>
    <row r="1099" spans="3:5" x14ac:dyDescent="0.25">
      <c r="E1099" s="144"/>
    </row>
    <row r="1100" spans="3:5" x14ac:dyDescent="0.25">
      <c r="E1100" s="144"/>
    </row>
    <row r="1101" spans="3:5" x14ac:dyDescent="0.25">
      <c r="E1101" s="144"/>
    </row>
    <row r="1102" spans="3:5" x14ac:dyDescent="0.25">
      <c r="E1102" s="144"/>
    </row>
    <row r="1103" spans="3:5" x14ac:dyDescent="0.25">
      <c r="E1103" s="144"/>
    </row>
    <row r="1104" spans="3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</sheetData>
  <sheetProtection password="EFD2" sheet="1" objects="1" scenarios="1" selectLockedCells="1"/>
  <conditionalFormatting sqref="E6:F6">
    <cfRule type="cellIs" dxfId="59" priority="29" operator="equal">
      <formula>"ABS"</formula>
    </cfRule>
  </conditionalFormatting>
  <conditionalFormatting sqref="E6">
    <cfRule type="cellIs" dxfId="58" priority="30" operator="greaterThan">
      <formula>$E$2</formula>
    </cfRule>
  </conditionalFormatting>
  <conditionalFormatting sqref="B6">
    <cfRule type="cellIs" dxfId="57" priority="28" operator="equal">
      <formula>TRUE</formula>
    </cfRule>
  </conditionalFormatting>
  <conditionalFormatting sqref="E7:F7">
    <cfRule type="cellIs" dxfId="56" priority="26" operator="equal">
      <formula>"ABS"</formula>
    </cfRule>
  </conditionalFormatting>
  <conditionalFormatting sqref="E7">
    <cfRule type="cellIs" dxfId="55" priority="27" operator="greaterThan">
      <formula>$E$2</formula>
    </cfRule>
  </conditionalFormatting>
  <conditionalFormatting sqref="B7">
    <cfRule type="cellIs" dxfId="54" priority="25" operator="equal">
      <formula>TRUE</formula>
    </cfRule>
  </conditionalFormatting>
  <conditionalFormatting sqref="E8:F8">
    <cfRule type="cellIs" dxfId="53" priority="23" operator="equal">
      <formula>"ABS"</formula>
    </cfRule>
  </conditionalFormatting>
  <conditionalFormatting sqref="E8">
    <cfRule type="cellIs" dxfId="52" priority="24" operator="greaterThan">
      <formula>$E$2</formula>
    </cfRule>
  </conditionalFormatting>
  <conditionalFormatting sqref="B8">
    <cfRule type="cellIs" dxfId="51" priority="22" operator="equal">
      <formula>TRUE</formula>
    </cfRule>
  </conditionalFormatting>
  <conditionalFormatting sqref="E9:F9">
    <cfRule type="cellIs" dxfId="50" priority="20" operator="equal">
      <formula>"ABS"</formula>
    </cfRule>
  </conditionalFormatting>
  <conditionalFormatting sqref="E9">
    <cfRule type="cellIs" dxfId="49" priority="21" operator="greaterThan">
      <formula>$E$2</formula>
    </cfRule>
  </conditionalFormatting>
  <conditionalFormatting sqref="B9">
    <cfRule type="cellIs" dxfId="48" priority="19" operator="equal">
      <formula>TRUE</formula>
    </cfRule>
  </conditionalFormatting>
  <conditionalFormatting sqref="E10:F10">
    <cfRule type="cellIs" dxfId="47" priority="17" operator="equal">
      <formula>"ABS"</formula>
    </cfRule>
  </conditionalFormatting>
  <conditionalFormatting sqref="E10">
    <cfRule type="cellIs" dxfId="46" priority="18" operator="greaterThan">
      <formula>$E$2</formula>
    </cfRule>
  </conditionalFormatting>
  <conditionalFormatting sqref="B10">
    <cfRule type="cellIs" dxfId="45" priority="16" operator="equal">
      <formula>TRUE</formula>
    </cfRule>
  </conditionalFormatting>
  <conditionalFormatting sqref="E11:F11">
    <cfRule type="cellIs" dxfId="44" priority="14" operator="equal">
      <formula>"ABS"</formula>
    </cfRule>
  </conditionalFormatting>
  <conditionalFormatting sqref="E11">
    <cfRule type="cellIs" dxfId="43" priority="15" operator="greaterThan">
      <formula>$E$2</formula>
    </cfRule>
  </conditionalFormatting>
  <conditionalFormatting sqref="B11">
    <cfRule type="cellIs" dxfId="42" priority="13" operator="equal">
      <formula>TRUE</formula>
    </cfRule>
  </conditionalFormatting>
  <conditionalFormatting sqref="E12:F12">
    <cfRule type="cellIs" dxfId="41" priority="11" operator="equal">
      <formula>"ABS"</formula>
    </cfRule>
  </conditionalFormatting>
  <conditionalFormatting sqref="E12">
    <cfRule type="cellIs" dxfId="40" priority="12" operator="greaterThan">
      <formula>$E$2</formula>
    </cfRule>
  </conditionalFormatting>
  <conditionalFormatting sqref="B12">
    <cfRule type="cellIs" dxfId="39" priority="10" operator="equal">
      <formula>TRUE</formula>
    </cfRule>
  </conditionalFormatting>
  <conditionalFormatting sqref="E13:F13">
    <cfRule type="cellIs" dxfId="38" priority="8" operator="equal">
      <formula>"ABS"</formula>
    </cfRule>
  </conditionalFormatting>
  <conditionalFormatting sqref="E13">
    <cfRule type="cellIs" dxfId="37" priority="9" operator="greaterThan">
      <formula>$E$2</formula>
    </cfRule>
  </conditionalFormatting>
  <conditionalFormatting sqref="B13">
    <cfRule type="cellIs" dxfId="36" priority="7" operator="equal">
      <formula>TRUE</formula>
    </cfRule>
  </conditionalFormatting>
  <conditionalFormatting sqref="E14:F14">
    <cfRule type="cellIs" dxfId="35" priority="5" operator="equal">
      <formula>"ABS"</formula>
    </cfRule>
  </conditionalFormatting>
  <conditionalFormatting sqref="E14">
    <cfRule type="cellIs" dxfId="34" priority="6" operator="greaterThan">
      <formula>$E$2</formula>
    </cfRule>
  </conditionalFormatting>
  <conditionalFormatting sqref="B14">
    <cfRule type="cellIs" dxfId="33" priority="4" operator="equal">
      <formula>TRUE</formula>
    </cfRule>
  </conditionalFormatting>
  <conditionalFormatting sqref="E15:F15">
    <cfRule type="cellIs" dxfId="32" priority="2" operator="equal">
      <formula>"ABS"</formula>
    </cfRule>
  </conditionalFormatting>
  <conditionalFormatting sqref="E15">
    <cfRule type="cellIs" dxfId="31" priority="3" operator="greaterThan">
      <formula>$E$2</formula>
    </cfRule>
  </conditionalFormatting>
  <conditionalFormatting sqref="B15">
    <cfRule type="cellIs" dxfId="3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Y181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3" sqref="E13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173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60</v>
      </c>
      <c r="F3" s="23">
        <f>IF(SUM(F6:F1999)=0,"",AVERAGE(F6:F1999))</f>
        <v>50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/>
      <c r="F13" s="107" t="str">
        <f t="shared" si="0"/>
        <v/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>
        <v>60</v>
      </c>
      <c r="F14" s="107">
        <f t="shared" si="0"/>
        <v>50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E1028" s="144"/>
    </row>
    <row r="1029" spans="3:5" x14ac:dyDescent="0.25">
      <c r="E1029" s="144"/>
    </row>
    <row r="1030" spans="3:5" x14ac:dyDescent="0.25">
      <c r="E1030" s="144"/>
    </row>
    <row r="1031" spans="3:5" x14ac:dyDescent="0.25">
      <c r="E1031" s="144"/>
    </row>
    <row r="1032" spans="3:5" x14ac:dyDescent="0.25">
      <c r="E1032" s="144"/>
    </row>
    <row r="1033" spans="3:5" x14ac:dyDescent="0.25">
      <c r="E1033" s="144"/>
    </row>
    <row r="1034" spans="3:5" x14ac:dyDescent="0.25">
      <c r="E1034" s="144"/>
    </row>
    <row r="1035" spans="3:5" x14ac:dyDescent="0.25">
      <c r="E1035" s="144"/>
    </row>
    <row r="1036" spans="3:5" x14ac:dyDescent="0.25">
      <c r="E1036" s="144"/>
    </row>
    <row r="1037" spans="3:5" x14ac:dyDescent="0.25">
      <c r="E1037" s="144"/>
    </row>
    <row r="1038" spans="3:5" x14ac:dyDescent="0.25">
      <c r="E1038" s="144"/>
    </row>
    <row r="1039" spans="3:5" x14ac:dyDescent="0.25">
      <c r="E1039" s="144"/>
    </row>
    <row r="1040" spans="3:5" x14ac:dyDescent="0.25">
      <c r="E1040" s="144"/>
    </row>
    <row r="1041" spans="5:5" x14ac:dyDescent="0.25">
      <c r="E1041" s="144"/>
    </row>
    <row r="1042" spans="5:5" x14ac:dyDescent="0.25">
      <c r="E1042" s="144"/>
    </row>
    <row r="1043" spans="5:5" x14ac:dyDescent="0.25">
      <c r="E1043" s="144"/>
    </row>
    <row r="1044" spans="5:5" x14ac:dyDescent="0.25">
      <c r="E1044" s="144"/>
    </row>
    <row r="1045" spans="5:5" x14ac:dyDescent="0.25">
      <c r="E1045" s="144"/>
    </row>
    <row r="1046" spans="5:5" x14ac:dyDescent="0.25">
      <c r="E1046" s="144"/>
    </row>
    <row r="1047" spans="5:5" x14ac:dyDescent="0.25">
      <c r="E1047" s="144"/>
    </row>
    <row r="1048" spans="5:5" x14ac:dyDescent="0.25">
      <c r="E1048" s="144"/>
    </row>
    <row r="1049" spans="5:5" x14ac:dyDescent="0.25">
      <c r="E1049" s="144"/>
    </row>
    <row r="1050" spans="5:5" x14ac:dyDescent="0.25">
      <c r="E1050" s="144"/>
    </row>
    <row r="1051" spans="5:5" x14ac:dyDescent="0.25">
      <c r="E1051" s="144"/>
    </row>
    <row r="1052" spans="5:5" x14ac:dyDescent="0.25">
      <c r="E1052" s="144"/>
    </row>
    <row r="1053" spans="5:5" x14ac:dyDescent="0.25">
      <c r="E1053" s="144"/>
    </row>
    <row r="1054" spans="5:5" x14ac:dyDescent="0.25">
      <c r="E1054" s="144"/>
    </row>
    <row r="1055" spans="5:5" x14ac:dyDescent="0.25">
      <c r="E1055" s="144"/>
    </row>
    <row r="1056" spans="5:5" x14ac:dyDescent="0.25">
      <c r="E1056" s="144"/>
    </row>
    <row r="1057" spans="5:5" x14ac:dyDescent="0.25">
      <c r="E1057" s="144"/>
    </row>
    <row r="1058" spans="5:5" x14ac:dyDescent="0.25">
      <c r="E1058" s="144"/>
    </row>
    <row r="1059" spans="5:5" x14ac:dyDescent="0.25">
      <c r="E1059" s="144"/>
    </row>
    <row r="1060" spans="5:5" x14ac:dyDescent="0.25">
      <c r="E1060" s="144"/>
    </row>
    <row r="1061" spans="5:5" x14ac:dyDescent="0.25">
      <c r="E1061" s="144"/>
    </row>
    <row r="1062" spans="5:5" x14ac:dyDescent="0.25">
      <c r="E1062" s="144"/>
    </row>
    <row r="1063" spans="5:5" x14ac:dyDescent="0.25">
      <c r="E1063" s="144"/>
    </row>
    <row r="1064" spans="5:5" x14ac:dyDescent="0.25">
      <c r="E1064" s="144"/>
    </row>
    <row r="1065" spans="5:5" x14ac:dyDescent="0.25">
      <c r="E1065" s="144"/>
    </row>
    <row r="1066" spans="5:5" x14ac:dyDescent="0.25">
      <c r="E1066" s="144"/>
    </row>
    <row r="1067" spans="5:5" x14ac:dyDescent="0.25">
      <c r="E1067" s="144"/>
    </row>
    <row r="1068" spans="5:5" x14ac:dyDescent="0.25">
      <c r="E1068" s="144"/>
    </row>
    <row r="1069" spans="5:5" x14ac:dyDescent="0.25">
      <c r="E1069" s="144"/>
    </row>
    <row r="1070" spans="5:5" x14ac:dyDescent="0.25">
      <c r="E1070" s="144"/>
    </row>
    <row r="1071" spans="5:5" x14ac:dyDescent="0.25">
      <c r="E1071" s="144"/>
    </row>
    <row r="1072" spans="5:5" x14ac:dyDescent="0.25">
      <c r="E1072" s="144"/>
    </row>
    <row r="1073" spans="5:5" x14ac:dyDescent="0.25">
      <c r="E1073" s="144"/>
    </row>
    <row r="1074" spans="5:5" x14ac:dyDescent="0.25">
      <c r="E1074" s="144"/>
    </row>
    <row r="1075" spans="5:5" x14ac:dyDescent="0.25">
      <c r="E1075" s="144"/>
    </row>
    <row r="1076" spans="5:5" x14ac:dyDescent="0.25">
      <c r="E1076" s="144"/>
    </row>
    <row r="1077" spans="5:5" x14ac:dyDescent="0.25">
      <c r="E1077" s="144"/>
    </row>
    <row r="1078" spans="5:5" x14ac:dyDescent="0.25">
      <c r="E1078" s="144"/>
    </row>
    <row r="1079" spans="5:5" x14ac:dyDescent="0.25">
      <c r="E1079" s="144"/>
    </row>
    <row r="1080" spans="5:5" x14ac:dyDescent="0.25">
      <c r="E1080" s="144"/>
    </row>
    <row r="1081" spans="5:5" x14ac:dyDescent="0.25">
      <c r="E1081" s="144"/>
    </row>
    <row r="1082" spans="5:5" x14ac:dyDescent="0.25">
      <c r="E1082" s="144"/>
    </row>
    <row r="1083" spans="5:5" x14ac:dyDescent="0.25">
      <c r="E1083" s="144"/>
    </row>
    <row r="1084" spans="5:5" x14ac:dyDescent="0.25">
      <c r="E1084" s="144"/>
    </row>
    <row r="1085" spans="5:5" x14ac:dyDescent="0.25">
      <c r="E1085" s="144"/>
    </row>
    <row r="1086" spans="5:5" x14ac:dyDescent="0.25">
      <c r="E1086" s="144"/>
    </row>
    <row r="1087" spans="5:5" x14ac:dyDescent="0.25">
      <c r="E1087" s="144"/>
    </row>
    <row r="1088" spans="5:5" x14ac:dyDescent="0.25">
      <c r="E1088" s="144"/>
    </row>
    <row r="1089" spans="5:5" x14ac:dyDescent="0.25">
      <c r="E1089" s="144"/>
    </row>
    <row r="1090" spans="5:5" x14ac:dyDescent="0.25">
      <c r="E1090" s="144"/>
    </row>
    <row r="1091" spans="5:5" x14ac:dyDescent="0.25">
      <c r="E1091" s="144"/>
    </row>
    <row r="1092" spans="5:5" x14ac:dyDescent="0.25">
      <c r="E1092" s="144"/>
    </row>
    <row r="1093" spans="5:5" x14ac:dyDescent="0.25">
      <c r="E1093" s="144"/>
    </row>
    <row r="1094" spans="5:5" x14ac:dyDescent="0.25">
      <c r="E1094" s="144"/>
    </row>
    <row r="1095" spans="5:5" x14ac:dyDescent="0.25">
      <c r="E1095" s="144"/>
    </row>
    <row r="1096" spans="5:5" x14ac:dyDescent="0.25">
      <c r="E1096" s="144"/>
    </row>
    <row r="1097" spans="5:5" x14ac:dyDescent="0.25">
      <c r="E1097" s="144"/>
    </row>
    <row r="1098" spans="5:5" x14ac:dyDescent="0.25">
      <c r="E1098" s="144"/>
    </row>
    <row r="1099" spans="5:5" x14ac:dyDescent="0.25">
      <c r="E1099" s="144"/>
    </row>
    <row r="1100" spans="5:5" x14ac:dyDescent="0.25">
      <c r="E1100" s="144"/>
    </row>
    <row r="1101" spans="5:5" x14ac:dyDescent="0.25">
      <c r="E1101" s="144"/>
    </row>
    <row r="1102" spans="5:5" x14ac:dyDescent="0.25">
      <c r="E1102" s="144"/>
    </row>
    <row r="1103" spans="5:5" x14ac:dyDescent="0.25">
      <c r="E1103" s="144"/>
    </row>
    <row r="1104" spans="5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  <row r="1810" spans="5:5" x14ac:dyDescent="0.25">
      <c r="E1810" s="144"/>
    </row>
    <row r="1811" spans="5:5" x14ac:dyDescent="0.25">
      <c r="E1811" s="144"/>
    </row>
    <row r="1812" spans="5:5" x14ac:dyDescent="0.25">
      <c r="E1812" s="144"/>
    </row>
    <row r="1813" spans="5:5" x14ac:dyDescent="0.25">
      <c r="E1813" s="144"/>
    </row>
    <row r="1814" spans="5:5" x14ac:dyDescent="0.25">
      <c r="E1814" s="144"/>
    </row>
  </sheetData>
  <sheetProtection password="EFD2" sheet="1" objects="1" scenarios="1" selectLockedCells="1"/>
  <conditionalFormatting sqref="E6:F6">
    <cfRule type="cellIs" dxfId="29" priority="29" operator="equal">
      <formula>"ABS"</formula>
    </cfRule>
  </conditionalFormatting>
  <conditionalFormatting sqref="E6">
    <cfRule type="cellIs" dxfId="28" priority="30" operator="greaterThan">
      <formula>$E$2</formula>
    </cfRule>
  </conditionalFormatting>
  <conditionalFormatting sqref="B6">
    <cfRule type="cellIs" dxfId="27" priority="28" operator="equal">
      <formula>TRUE</formula>
    </cfRule>
  </conditionalFormatting>
  <conditionalFormatting sqref="E7:F7">
    <cfRule type="cellIs" dxfId="26" priority="26" operator="equal">
      <formula>"ABS"</formula>
    </cfRule>
  </conditionalFormatting>
  <conditionalFormatting sqref="E7">
    <cfRule type="cellIs" dxfId="25" priority="27" operator="greaterThan">
      <formula>$E$2</formula>
    </cfRule>
  </conditionalFormatting>
  <conditionalFormatting sqref="B7">
    <cfRule type="cellIs" dxfId="24" priority="25" operator="equal">
      <formula>TRUE</formula>
    </cfRule>
  </conditionalFormatting>
  <conditionalFormatting sqref="E8:F8">
    <cfRule type="cellIs" dxfId="23" priority="23" operator="equal">
      <formula>"ABS"</formula>
    </cfRule>
  </conditionalFormatting>
  <conditionalFormatting sqref="E8">
    <cfRule type="cellIs" dxfId="22" priority="24" operator="greaterThan">
      <formula>$E$2</formula>
    </cfRule>
  </conditionalFormatting>
  <conditionalFormatting sqref="B8">
    <cfRule type="cellIs" dxfId="21" priority="22" operator="equal">
      <formula>TRUE</formula>
    </cfRule>
  </conditionalFormatting>
  <conditionalFormatting sqref="E9:F9">
    <cfRule type="cellIs" dxfId="20" priority="20" operator="equal">
      <formula>"ABS"</formula>
    </cfRule>
  </conditionalFormatting>
  <conditionalFormatting sqref="E9">
    <cfRule type="cellIs" dxfId="19" priority="21" operator="greaterThan">
      <formula>$E$2</formula>
    </cfRule>
  </conditionalFormatting>
  <conditionalFormatting sqref="B9">
    <cfRule type="cellIs" dxfId="18" priority="19" operator="equal">
      <formula>TRUE</formula>
    </cfRule>
  </conditionalFormatting>
  <conditionalFormatting sqref="E10:F10">
    <cfRule type="cellIs" dxfId="17" priority="17" operator="equal">
      <formula>"ABS"</formula>
    </cfRule>
  </conditionalFormatting>
  <conditionalFormatting sqref="E10">
    <cfRule type="cellIs" dxfId="16" priority="18" operator="greaterThan">
      <formula>$E$2</formula>
    </cfRule>
  </conditionalFormatting>
  <conditionalFormatting sqref="B10">
    <cfRule type="cellIs" dxfId="15" priority="16" operator="equal">
      <formula>TRUE</formula>
    </cfRule>
  </conditionalFormatting>
  <conditionalFormatting sqref="E11:F11">
    <cfRule type="cellIs" dxfId="14" priority="14" operator="equal">
      <formula>"ABS"</formula>
    </cfRule>
  </conditionalFormatting>
  <conditionalFormatting sqref="E11">
    <cfRule type="cellIs" dxfId="13" priority="15" operator="greaterThan">
      <formula>$E$2</formula>
    </cfRule>
  </conditionalFormatting>
  <conditionalFormatting sqref="B11">
    <cfRule type="cellIs" dxfId="12" priority="13" operator="equal">
      <formula>TRUE</formula>
    </cfRule>
  </conditionalFormatting>
  <conditionalFormatting sqref="E12:F12">
    <cfRule type="cellIs" dxfId="11" priority="11" operator="equal">
      <formula>"ABS"</formula>
    </cfRule>
  </conditionalFormatting>
  <conditionalFormatting sqref="E12">
    <cfRule type="cellIs" dxfId="10" priority="12" operator="greaterThan">
      <formula>$E$2</formula>
    </cfRule>
  </conditionalFormatting>
  <conditionalFormatting sqref="B12">
    <cfRule type="cellIs" dxfId="9" priority="10" operator="equal">
      <formula>TRUE</formula>
    </cfRule>
  </conditionalFormatting>
  <conditionalFormatting sqref="E13:F13">
    <cfRule type="cellIs" dxfId="8" priority="8" operator="equal">
      <formula>"ABS"</formula>
    </cfRule>
  </conditionalFormatting>
  <conditionalFormatting sqref="E13">
    <cfRule type="cellIs" dxfId="7" priority="9" operator="greaterThan">
      <formula>$E$2</formula>
    </cfRule>
  </conditionalFormatting>
  <conditionalFormatting sqref="B13">
    <cfRule type="cellIs" dxfId="6" priority="7" operator="equal">
      <formula>TRUE</formula>
    </cfRule>
  </conditionalFormatting>
  <conditionalFormatting sqref="E14:F14">
    <cfRule type="cellIs" dxfId="5" priority="5" operator="equal">
      <formula>"ABS"</formula>
    </cfRule>
  </conditionalFormatting>
  <conditionalFormatting sqref="E14">
    <cfRule type="cellIs" dxfId="4" priority="6" operator="greaterThan">
      <formula>$E$2</formula>
    </cfRule>
  </conditionalFormatting>
  <conditionalFormatting sqref="B14">
    <cfRule type="cellIs" dxfId="3" priority="4" operator="equal">
      <formula>TRUE</formula>
    </cfRule>
  </conditionalFormatting>
  <conditionalFormatting sqref="E15:F15">
    <cfRule type="cellIs" dxfId="2" priority="2" operator="equal">
      <formula>"ABS"</formula>
    </cfRule>
  </conditionalFormatting>
  <conditionalFormatting sqref="E15">
    <cfRule type="cellIs" dxfId="1" priority="3" operator="greaterThan">
      <formula>$E$2</formula>
    </cfRule>
  </conditionalFormatting>
  <conditionalFormatting sqref="B15">
    <cfRule type="cellIs" dxfId="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30</vt:i4>
      </vt:variant>
    </vt:vector>
  </HeadingPairs>
  <TitlesOfParts>
    <vt:vector size="56" baseType="lpstr">
      <vt:lpstr>VULA LAB</vt:lpstr>
      <vt:lpstr>VULA TUTORIALS</vt:lpstr>
      <vt:lpstr>SUMMARY SHEET BEFORE SUPP</vt:lpstr>
      <vt:lpstr>SUMMARY SHEET AFTER SUPP </vt:lpstr>
      <vt:lpstr>WEB APP Config</vt:lpstr>
      <vt:lpstr>Macro Controls</vt:lpstr>
      <vt:lpstr>Peoplesoft Classlist</vt:lpstr>
      <vt:lpstr>MASTER</vt:lpstr>
      <vt:lpstr>LAB EXAM</vt:lpstr>
      <vt:lpstr>LAB AFTERNOON</vt:lpstr>
      <vt:lpstr>TUTORIALS</vt:lpstr>
      <vt:lpstr>WPS</vt:lpstr>
      <vt:lpstr>CT1</vt:lpstr>
      <vt:lpstr>CT2</vt:lpstr>
      <vt:lpstr>CT3</vt:lpstr>
      <vt:lpstr>CT4</vt:lpstr>
      <vt:lpstr>CT5</vt:lpstr>
      <vt:lpstr>CLASS TESTS</vt:lpstr>
      <vt:lpstr>OTHER 1</vt:lpstr>
      <vt:lpstr>OTHER 2</vt:lpstr>
      <vt:lpstr>OTHER 3</vt:lpstr>
      <vt:lpstr>DP RULES</vt:lpstr>
      <vt:lpstr>FINAL EXAM P1</vt:lpstr>
      <vt:lpstr>FINAL EXAM P2</vt:lpstr>
      <vt:lpstr>SUPP EXAM</vt:lpstr>
      <vt:lpstr>DEFERRED EXAM</vt:lpstr>
      <vt:lpstr>CATEGORY_NAME_CELL</vt:lpstr>
      <vt:lpstr>COURSE_NAME</vt:lpstr>
      <vt:lpstr>DISPLAY_HISTOGRAM_CELL</vt:lpstr>
      <vt:lpstr>MULTI_SHEET_CELL</vt:lpstr>
      <vt:lpstr>NUM_CATS</vt:lpstr>
      <vt:lpstr>'SUMMARY SHEET AFTER SUPP '!Print_Area</vt:lpstr>
      <vt:lpstr>'SUMMARY SHEET BEFORE SUPP'!Print_Area</vt:lpstr>
      <vt:lpstr>'CLASS TESTS'!Print_Titles</vt:lpstr>
      <vt:lpstr>'CT1'!Print_Titles</vt:lpstr>
      <vt:lpstr>'CT2'!Print_Titles</vt:lpstr>
      <vt:lpstr>'CT3'!Print_Titles</vt:lpstr>
      <vt:lpstr>'CT4'!Print_Titles</vt:lpstr>
      <vt:lpstr>'CT5'!Print_Titles</vt:lpstr>
      <vt:lpstr>'DEFERRED EXAM'!Print_Titles</vt:lpstr>
      <vt:lpstr>'DP RULES'!Print_Titles</vt:lpstr>
      <vt:lpstr>'FINAL EXAM P1'!Print_Titles</vt:lpstr>
      <vt:lpstr>'FINAL EXAM P2'!Print_Titles</vt:lpstr>
      <vt:lpstr>'LAB AFTERNOON'!Print_Titles</vt:lpstr>
      <vt:lpstr>'LAB EXAM'!Print_Titles</vt:lpstr>
      <vt:lpstr>MASTER!Print_Titles</vt:lpstr>
      <vt:lpstr>'OTHER 1'!Print_Titles</vt:lpstr>
      <vt:lpstr>'OTHER 2'!Print_Titles</vt:lpstr>
      <vt:lpstr>'OTHER 3'!Print_Titles</vt:lpstr>
      <vt:lpstr>'SUPP EXAM'!Print_Titles</vt:lpstr>
      <vt:lpstr>TUTORIALS!Print_Titles</vt:lpstr>
      <vt:lpstr>WPS!Print_Titles</vt:lpstr>
      <vt:lpstr>SINGLE_SHEET_CELL</vt:lpstr>
      <vt:lpstr>STUDENT_ID_CELL</vt:lpstr>
      <vt:lpstr>TABLE_PREFIX</vt:lpstr>
      <vt:lpstr>TYPE_CELL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Angus C</dc:creator>
  <cp:lastModifiedBy>Angus Comrie</cp:lastModifiedBy>
  <cp:lastPrinted>2014-01-23T15:22:16Z</cp:lastPrinted>
  <dcterms:created xsi:type="dcterms:W3CDTF">2012-12-07T20:04:48Z</dcterms:created>
  <dcterms:modified xsi:type="dcterms:W3CDTF">2014-02-04T11:14:53Z</dcterms:modified>
</cp:coreProperties>
</file>